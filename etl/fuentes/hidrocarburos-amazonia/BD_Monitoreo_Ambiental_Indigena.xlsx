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de datos" sheetId="1" r:id="rId4"/>
    <sheet state="visible" name="Agrupados por Federación" sheetId="2" r:id="rId5"/>
    <sheet state="visible" name="Términos traducidos" sheetId="3" r:id="rId6"/>
    <sheet state="visible" name="Seguimiento de validación - Eco" sheetId="4" r:id="rId7"/>
    <sheet state="visible" name="Estandarización" sheetId="5" r:id="rId8"/>
  </sheets>
  <definedNames>
    <definedName hidden="1" localSheetId="0" name="_xlnm._FilterDatabase">'Base de datos'!$A$1:$AB$995</definedName>
    <definedName hidden="1" localSheetId="0" name="Z_614D2B46_B56F_43D6_ABD8_81E51209EC1A_.wvu.FilterData">'Base de datos'!$A$1:$AB$937</definedName>
    <definedName hidden="1" localSheetId="0" name="Z_2CD00BCC_80B9_49DB_AE54_5DEE464BEC3A_.wvu.FilterData">'Base de datos'!$A$1:$AA$937</definedName>
  </definedNames>
  <calcPr/>
  <customWorkbookViews>
    <customWorkbookView activeSheetId="0" maximized="1" windowHeight="0" windowWidth="0" guid="{614D2B46-B56F-43D6-ABD8-81E51209EC1A}" name="Claudia"/>
    <customWorkbookView activeSheetId="0" maximized="1" windowHeight="0" windowWidth="0" guid="{2CD00BCC-80B9-49DB-AE54-5DEE464BEC3A}" name="Filter Laura"/>
  </customWorkbookViews>
  <pivotCaches>
    <pivotCache cacheId="0" r:id="rId9"/>
    <pivotCache cacheId="1" r:id="rId10"/>
  </pivotCaches>
  <extLst>
    <ext uri="GoogleSheetsCustomDataVersion2">
      <go:sheetsCustomData xmlns:go="http://customooxmlschemas.google.com/" r:id="rId11" roundtripDataChecksum="FJqLctulrtYbNAio40Y4zMdTMe4lZeGp5g22tH2IK/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941">
      <text>
        <t xml:space="preserve">No indica ["N", "O", "R", "S"] (Base de datos antigua Equidad) Fila 475
======</t>
      </text>
    </comment>
    <comment authorId="0" ref="O938">
      <text>
        <t xml:space="preserve">No indica ["N", "O", "R", "S"] (Base de datos antigua Equidad) Fila 469
======</t>
      </text>
    </comment>
    <comment authorId="0" ref="B603">
      <text>
        <t xml:space="preserve">Base de datos antigua Equidad (fila 471)
======</t>
      </text>
    </comment>
    <comment authorId="0" ref="B602">
      <text>
        <t xml:space="preserve">Base de datos antigua Equidad (fila 471)
======</t>
      </text>
    </comment>
    <comment authorId="0" ref="B601">
      <text>
        <t xml:space="preserve">Base de datos antigua Equidad (fila 41)
======</t>
      </text>
    </comment>
    <comment authorId="0" ref="B600">
      <text>
        <t xml:space="preserve">Base de datos antigua Equidad (fila 40)
======</t>
      </text>
    </comment>
    <comment authorId="0" ref="B503">
      <text>
        <t xml:space="preserve">Base de datos antigua Equidad (fila 471)
======</t>
      </text>
    </comment>
  </commentList>
</comments>
</file>

<file path=xl/sharedStrings.xml><?xml version="1.0" encoding="utf-8"?>
<sst xmlns="http://schemas.openxmlformats.org/spreadsheetml/2006/main" count="21654" uniqueCount="3133">
  <si>
    <t>Número</t>
  </si>
  <si>
    <t>Código</t>
  </si>
  <si>
    <t>Federación</t>
  </si>
  <si>
    <t>Fuente de información</t>
  </si>
  <si>
    <t xml:space="preserve">Zona de Monitoreo </t>
  </si>
  <si>
    <t>Cuando se detectó el impacto?</t>
  </si>
  <si>
    <t>Cuando ocurrió?</t>
  </si>
  <si>
    <t>Año de occurrencia</t>
  </si>
  <si>
    <t>Tipo de impacto</t>
  </si>
  <si>
    <t>Fuente de impacto</t>
  </si>
  <si>
    <t>Impacto nuevo o antiguo</t>
  </si>
  <si>
    <t>Lote</t>
  </si>
  <si>
    <t>Empresa involucrada</t>
  </si>
  <si>
    <t>Descripción detallada</t>
  </si>
  <si>
    <t>Descripción detallada de ubicación</t>
  </si>
  <si>
    <t>Zona UTM</t>
  </si>
  <si>
    <t>Altitud y error</t>
  </si>
  <si>
    <t>UTM X</t>
  </si>
  <si>
    <t>UTM Y</t>
  </si>
  <si>
    <t>Latitud</t>
  </si>
  <si>
    <t>Longitud</t>
  </si>
  <si>
    <t xml:space="preserve">Monitor </t>
  </si>
  <si>
    <t>Otros testigos</t>
  </si>
  <si>
    <t>Hubo remediación o algúna limpieza?</t>
  </si>
  <si>
    <t>Que tipo de remediación?</t>
  </si>
  <si>
    <t>Responsable</t>
  </si>
  <si>
    <t>Estado (por validar/validación parcial/validación final)</t>
  </si>
  <si>
    <t>Comentarios</t>
  </si>
  <si>
    <t>N°</t>
  </si>
  <si>
    <t>Término inglés</t>
  </si>
  <si>
    <t>Posibles traducciones</t>
  </si>
  <si>
    <t>PRD20182</t>
  </si>
  <si>
    <t>Comentarios sobre traducciones</t>
  </si>
  <si>
    <t>Responsable que registra</t>
  </si>
  <si>
    <t>Estado (por validar/validado)</t>
  </si>
  <si>
    <t>Kelly</t>
  </si>
  <si>
    <t>Claudia</t>
  </si>
  <si>
    <t>Ale</t>
  </si>
  <si>
    <t>Angela</t>
  </si>
  <si>
    <t>Kely</t>
  </si>
  <si>
    <t>Sump Tank</t>
  </si>
  <si>
    <t>Tanque de sumidero/sump tank</t>
  </si>
  <si>
    <t>Laura</t>
  </si>
  <si>
    <t>Por validar</t>
  </si>
  <si>
    <t>Salt lick</t>
  </si>
  <si>
    <t>Colpa artificial</t>
  </si>
  <si>
    <t>COUNT of Número</t>
  </si>
  <si>
    <t>ACODECOSPAT</t>
  </si>
  <si>
    <t>FECONACO</t>
  </si>
  <si>
    <t>FECONACO, OPIKAFPE</t>
  </si>
  <si>
    <t>FECONACOR</t>
  </si>
  <si>
    <t>FEDIQUEP</t>
  </si>
  <si>
    <t>OEFA, FECONACO</t>
  </si>
  <si>
    <t>OEFA, FEDIQUEP</t>
  </si>
  <si>
    <t>OEFA, OPIKAFPE</t>
  </si>
  <si>
    <t>OEFA, OSINERGMIN, FECONACO</t>
  </si>
  <si>
    <t>OEFA,. FECONACO</t>
  </si>
  <si>
    <t>OPIKAFPE</t>
  </si>
  <si>
    <t>OSINERGMIN, FECONACO</t>
  </si>
  <si>
    <t>Grand Total</t>
  </si>
  <si>
    <t>Topiplan/topping plant</t>
  </si>
  <si>
    <t>Planta de destilación inicial</t>
  </si>
  <si>
    <t>Dump site</t>
  </si>
  <si>
    <t>Botadero</t>
  </si>
  <si>
    <t>Drums</t>
  </si>
  <si>
    <t>Tambor</t>
  </si>
  <si>
    <t>Pordria uniformizarse solo a Barril.</t>
  </si>
  <si>
    <t>Drums/barrel</t>
  </si>
  <si>
    <t>Barril</t>
  </si>
  <si>
    <t>Lady</t>
  </si>
  <si>
    <t>Oil</t>
  </si>
  <si>
    <t>Crudo</t>
  </si>
  <si>
    <t>Tributary stream</t>
  </si>
  <si>
    <t>Afluente</t>
  </si>
  <si>
    <t>Leakage</t>
  </si>
  <si>
    <t>Fuga</t>
  </si>
  <si>
    <t>Coated</t>
  </si>
  <si>
    <t>Cubierto</t>
  </si>
  <si>
    <t>Discharge</t>
  </si>
  <si>
    <t>Descarga</t>
  </si>
  <si>
    <t>Reinjection</t>
  </si>
  <si>
    <t>Reinyección</t>
  </si>
  <si>
    <t>Bottom</t>
  </si>
  <si>
    <t>En el fondo</t>
  </si>
  <si>
    <t>To flow along</t>
  </si>
  <si>
    <t>Fluye a lo largo</t>
  </si>
  <si>
    <t>To flow into</t>
  </si>
  <si>
    <t>Fluye hacia</t>
  </si>
  <si>
    <t xml:space="preserve">Podria uniformizarse solo a "Fluye a lo largo" </t>
  </si>
  <si>
    <t>Informe ODK</t>
  </si>
  <si>
    <t>Capahuari Sur</t>
  </si>
  <si>
    <t>iron cramp</t>
  </si>
  <si>
    <r>
      <rPr>
        <rFont val="Arial"/>
        <color theme="1"/>
      </rPr>
      <t xml:space="preserve">No encuentro significado </t>
    </r>
    <r>
      <rPr>
        <rFont val="Arial"/>
        <color rgb="FFFF0000"/>
      </rPr>
      <t>(Nina: probablemente es un termino equivocado - podría referirse a la palabra "clamp" - grapa, o abrazadera</t>
    </r>
  </si>
  <si>
    <t>iron crump</t>
  </si>
  <si>
    <r>
      <rPr>
        <rFont val="Arial"/>
        <color theme="1"/>
      </rPr>
      <t xml:space="preserve">No encuentro significado </t>
    </r>
    <r>
      <rPr>
        <rFont val="Arial"/>
        <color rgb="FFFF0000"/>
      </rPr>
      <t>Igual que arriba - puede referirse a "clamp" (grapa/abrazadera)</t>
    </r>
  </si>
  <si>
    <t>cramp on the break</t>
  </si>
  <si>
    <r>
      <rPr>
        <rFont val="Arial"/>
        <color theme="1"/>
      </rPr>
      <t xml:space="preserve">No encuentro significado </t>
    </r>
    <r>
      <rPr>
        <rFont val="Arial"/>
        <color rgb="FFFF0000"/>
      </rPr>
      <t>(Nina: raro.. abrazadera en el freno? No tiene sentido.</t>
    </r>
  </si>
  <si>
    <t>Derrame de crudo</t>
  </si>
  <si>
    <t>Batería</t>
  </si>
  <si>
    <t>Antiguo</t>
  </si>
  <si>
    <t>Lote 1AB/192</t>
  </si>
  <si>
    <t>Pluspetrol Norte</t>
  </si>
  <si>
    <t>containment dike</t>
  </si>
  <si>
    <r>
      <rPr>
        <rFont val="Calibri"/>
        <color theme="1"/>
        <sz val="10.0"/>
      </rPr>
      <t>Contaminacion de pozo crudo en cocha y aguajal. Afecta caza y pesca. Ramar de Q..R</t>
    </r>
    <r>
      <rPr>
        <rFont val="Calibri"/>
        <color rgb="FFFF0000"/>
        <sz val="10.0"/>
      </rPr>
      <t>í</t>
    </r>
  </si>
  <si>
    <r>
      <rPr>
        <rFont val="Arial"/>
        <color rgb="FF000000"/>
      </rPr>
      <t>Dique</t>
    </r>
    <r>
      <rPr>
        <rFont val="Arial"/>
        <color rgb="FF000000"/>
      </rPr>
      <t xml:space="preserve"> de contención</t>
    </r>
  </si>
  <si>
    <t>Batería Capahuari Norte, comunidad Titiyacu</t>
  </si>
  <si>
    <t>18S</t>
  </si>
  <si>
    <t>flare</t>
  </si>
  <si>
    <t>Mechero</t>
  </si>
  <si>
    <t>Rafael Dahua</t>
  </si>
  <si>
    <t>released</t>
  </si>
  <si>
    <t>Derrame</t>
  </si>
  <si>
    <t>.</t>
  </si>
  <si>
    <t>soil</t>
  </si>
  <si>
    <t>Suelo</t>
  </si>
  <si>
    <t>1. Validado parcial</t>
  </si>
  <si>
    <t>De acuerdo a fuente Nina, se modificó Rafael Sandi a Rafael Dahua en columna V</t>
  </si>
  <si>
    <t>encompass</t>
  </si>
  <si>
    <t>Abarcar</t>
  </si>
  <si>
    <t>bulk drum</t>
  </si>
  <si>
    <t>Barrill</t>
  </si>
  <si>
    <r>
      <rPr>
        <rFont val="Arial"/>
        <color theme="1"/>
      </rPr>
      <t xml:space="preserve">Pordria uniformizarse solo a Barril. </t>
    </r>
    <r>
      <rPr>
        <rFont val="Arial"/>
        <color rgb="FFFF0000"/>
      </rPr>
      <t xml:space="preserve">Nina: si; la diferencia entre "drum", "barrel" y "bulk" es en la cantidad que contienen. En órden de magnitud, un barrel es el mas pequeño (42 galones), después viene el drum (50 galones), y luego el bulk drum (119 galones). </t>
    </r>
  </si>
  <si>
    <t>Flood area</t>
  </si>
  <si>
    <t xml:space="preserve">Aguajal </t>
  </si>
  <si>
    <t>Dependiendo del contexto - la traducción literal sería "area sumergida". Quisas agregar también "Área sumergida"</t>
  </si>
  <si>
    <t>break</t>
  </si>
  <si>
    <t>Rotura</t>
  </si>
  <si>
    <t>surrounding</t>
  </si>
  <si>
    <t>Al rededor</t>
  </si>
  <si>
    <t>production line</t>
  </si>
  <si>
    <t>Línea de producción</t>
  </si>
  <si>
    <t>bags of oil</t>
  </si>
  <si>
    <t>Bolsas de crudo</t>
  </si>
  <si>
    <t>oil-recovered bags</t>
  </si>
  <si>
    <t>Bolsa de crudo recuperado</t>
  </si>
  <si>
    <t>Pordria uniformizarse solo a Bolsa de crudo</t>
  </si>
  <si>
    <t>Collecting point</t>
  </si>
  <si>
    <t>Punto de recolección</t>
  </si>
  <si>
    <t>Oil emerging/oil rising</t>
  </si>
  <si>
    <t xml:space="preserve">Aparición de crudo </t>
  </si>
  <si>
    <t>COUNTA of Código</t>
  </si>
  <si>
    <t>shaken with a stick</t>
  </si>
  <si>
    <t>Crudo sacudido con un palo</t>
  </si>
  <si>
    <t>0. Por validar</t>
  </si>
  <si>
    <t>2. Validado final</t>
  </si>
  <si>
    <t>TJG201940</t>
  </si>
  <si>
    <t>INFORME N° 001-2019-MONITOR AMBIENTAL/ ALTO TIGRE 12 de Octubre</t>
  </si>
  <si>
    <r>
      <rPr>
        <rFont val="Calibri"/>
        <color theme="1"/>
        <sz val="10.0"/>
      </rPr>
      <t xml:space="preserve">San Jacinto </t>
    </r>
    <r>
      <rPr>
        <rFont val="Calibri"/>
        <color rgb="FFFF0000"/>
        <sz val="10.0"/>
      </rPr>
      <t>&amp; 1A</t>
    </r>
  </si>
  <si>
    <t>Ana Paula</t>
  </si>
  <si>
    <t>Cielo</t>
  </si>
  <si>
    <t>Frontera Energy</t>
  </si>
  <si>
    <t>Tierra con petroleo</t>
  </si>
  <si>
    <t>12 de octubre</t>
  </si>
  <si>
    <t>Jhon García</t>
  </si>
  <si>
    <t>Monitores OPIKAFPE</t>
  </si>
  <si>
    <t>Se agregó en columna M "Frontera Energy" y se agregó en columna E "&amp; 1A"</t>
  </si>
  <si>
    <t>PRS20172</t>
  </si>
  <si>
    <t>Árboles talados</t>
  </si>
  <si>
    <t>oleoducto</t>
  </si>
  <si>
    <t>Tala de arboles para hacer oleoducto tobiria Ramar norte</t>
  </si>
  <si>
    <t>oleoducto tobiria Ramar norte en comunidad Paniyacu</t>
  </si>
  <si>
    <t>1. De acuerdo a fuente Nina, se modificó Rafael Sandi a Rafael Dahua en columna V
 2. De acuerdo a fuente Nina, el valor en columna K es "Antiguo", pero de acuerdo con "antiguo Equidad" es "nuevo".
 3. De acuerdo a fuente antigua Equidad, el valor es "Ducto", no "oleoducto"</t>
  </si>
  <si>
    <t>PRD20172</t>
  </si>
  <si>
    <t>Pozo</t>
  </si>
  <si>
    <t>Nuevo</t>
  </si>
  <si>
    <t>Tierra removida, tala arboles por petroleo escondido afecta cocha, colpa y aguajal cerca de Rama de capahuari yacu</t>
  </si>
  <si>
    <t>1. De acuerdo a fuente Nina, se modificó Rafael Sandi a Rafael Dahua en columna V
 2. Se eliminó "crudo" 
 3. De acuerdo a fuente Nina, es "Antiguo" y de acuerdo a Antiguo Equidad es "nuevo".</t>
  </si>
  <si>
    <t>PRD201409</t>
  </si>
  <si>
    <t>Registro GPS y Formulario en papel</t>
  </si>
  <si>
    <t>Hay barriles antiguos de metal, residuos plásticos y otros restos botados. El agua se ve contaminada con crudo en la superficie, visiblemente notable. Esta quebrada fluye hacia el río Capahuari.</t>
  </si>
  <si>
    <t>Pozo 2, Batería Capahuari Norte.</t>
  </si>
  <si>
    <t>PRD201406</t>
  </si>
  <si>
    <t>otro</t>
  </si>
  <si>
    <t xml:space="preserve"> Tubería de metal abandonada en el bosque.</t>
  </si>
  <si>
    <t>parte trasera de Batería Capahuari Norte, a 500 m de los pozos 10 y 12.</t>
  </si>
  <si>
    <t>PJB201101</t>
  </si>
  <si>
    <t>Derrame nuevo de petróleo</t>
  </si>
  <si>
    <t>PlusPetrol Norte S.A</t>
  </si>
  <si>
    <t>Pasivo ambiental/ Sitio PAC</t>
  </si>
  <si>
    <t>Batería Capahuari Norte.</t>
  </si>
  <si>
    <t>Juan José Butuna Dahua, Exon Molina, Telmo</t>
  </si>
  <si>
    <t>UTM X y Y están OK. Se agrego Lat y log</t>
  </si>
  <si>
    <t>Sealing</t>
  </si>
  <si>
    <t>PEH201824</t>
  </si>
  <si>
    <t>Sellado</t>
  </si>
  <si>
    <t>Waste</t>
  </si>
  <si>
    <t>Derrame antiguo de petróleo</t>
  </si>
  <si>
    <t>Occidental Petroleum</t>
  </si>
  <si>
    <t xml:space="preserve">Evidencia de crudo en el suelo de los tiempos de Oxy. </t>
  </si>
  <si>
    <t>Titiyacu.</t>
  </si>
  <si>
    <t>Elmer Hualinga</t>
  </si>
  <si>
    <t>PRD20181</t>
  </si>
  <si>
    <t>17/01/2018</t>
  </si>
  <si>
    <t>Tierra removida y contaminacion y tala debido a plátaforma. Queman petroleo. Afecta cocha, colpa y aguajal</t>
  </si>
  <si>
    <t>Rafael Sandi</t>
  </si>
  <si>
    <t>PRD201410</t>
  </si>
  <si>
    <t>Hay barriles de metal y plástico botados y pedazos de tubería y otros restos.</t>
  </si>
  <si>
    <t>Frente al pozo 6 y 8, Batería Capahuari norte.</t>
  </si>
  <si>
    <t>PEH201823</t>
  </si>
  <si>
    <t xml:space="preserve">Evidencia de crudo en el suelo. </t>
  </si>
  <si>
    <t>PRD201408</t>
  </si>
  <si>
    <t xml:space="preserve">Anteriormente este sitio ha sido lugar de dos otros derrames por lo menos que no fueron adecuadamente remediados. La comunidad caza en el área e incluso toma el agua. </t>
  </si>
  <si>
    <t>A 50m de la entrada de los pozos 6 y 8, en Batería Capahuari Norte.</t>
  </si>
  <si>
    <t>PTA201001</t>
  </si>
  <si>
    <t>El incidente afecta al territorio de la Comunidad Nativa Titiyacu. Los registros muestran una válvula que bota crudo directamente al medioambiente. El crudo cubre una área significativa y migra hacia una quebrada que eventualmente termina en la quebrada Capahuari. No hay ninguna medida preventiva implementada para contener la contaminación.</t>
  </si>
  <si>
    <t>Telmo Arahuanaza</t>
  </si>
  <si>
    <t>Todo el UTM X y Y, y la log y lat están OK. Pero están en diferentes columnas.</t>
  </si>
  <si>
    <t>PRD20201</t>
  </si>
  <si>
    <t>Mensaje de texto</t>
  </si>
  <si>
    <t>Capahuari Norte</t>
  </si>
  <si>
    <t>Derrame de hidrocarburos en capahuari Norte</t>
  </si>
  <si>
    <t>Batería capahuari norte</t>
  </si>
  <si>
    <t>PJV201607</t>
  </si>
  <si>
    <t>odk</t>
  </si>
  <si>
    <t>19/05/2016</t>
  </si>
  <si>
    <t xml:space="preserve">
</t>
  </si>
  <si>
    <t xml:space="preserve"> Se identifica  información en torno a "Descripción detallada de ubicación", sin embargo, no se mencionan las coordenadas. </t>
  </si>
  <si>
    <t>"De vido" cambia a "Debido"</t>
  </si>
  <si>
    <t>1. De acuerdo a fuente Nina, se agregó "&amp; 1A" a "San Jacinto" en columna E. 2. Se cambió "Oxy" a "Occidental Petroleum Corporation (OXY)" en columna M</t>
  </si>
  <si>
    <t>Derrame antiguo y botadero en el territorio de la comunidad Titiyacu. Actualmente es una colpa activa.</t>
  </si>
  <si>
    <t xml:space="preserve">En el territorio de la comunidad de Titiyacu </t>
  </si>
  <si>
    <t>Jhon Vega</t>
  </si>
  <si>
    <t xml:space="preserve">1.- Se modifico la columna "F" (¿cuándo se detectó el impacto?") en base al formato de"día/mes/año" 2.- Se traslado información de "Descripción detallada" a "Descripción de ubicación" </t>
  </si>
  <si>
    <t>Residuos</t>
  </si>
  <si>
    <t>PRD20191</t>
  </si>
  <si>
    <t>Mapeo</t>
  </si>
  <si>
    <t>1. Por equis motivos decía la descripción en el código. Ya recuperé el código</t>
  </si>
  <si>
    <t>1. Se agregó antiguo en columna K</t>
  </si>
  <si>
    <t>Surface (area)</t>
  </si>
  <si>
    <t>Área/superficie</t>
  </si>
  <si>
    <t>Tubería</t>
  </si>
  <si>
    <t>1. Se tradujo la columna Y y se cambió "fuga" por "derrame" para estandarizar.
2. Por equis motivos decía la descripción en el código. Ya recuperé el código</t>
  </si>
  <si>
    <t>Operacional</t>
  </si>
  <si>
    <t>1.- Se modifico la columna "F" (¿cuándo se detectó el impacto?") en base al formato de"día/mes/año" 2.- Se corrobora lo mencionado en "Descripción detallada de ubicación", es decir, ausencia de las coordenadas</t>
  </si>
  <si>
    <t>to overflow</t>
  </si>
  <si>
    <t>Al llegar, la empresa ya ha empezado con su plan de contingencia. Se ve un estimado de 150 bolsas de crudo, y todavía trazas de crudo en la quebrada que desemboca en rio Capahuari. Afectación de 1,4 hectareas, 450 metros desde la fuente</t>
  </si>
  <si>
    <t>Desbordado</t>
  </si>
  <si>
    <t>Plátaforma Capahuari norte</t>
  </si>
  <si>
    <t xml:space="preserve">1.- Se modifico la columna "F" (¿cuándo se detectó el impacto?") en base al formato de"día/mes/año" 2.- Se identifica  información en torno a "Descripción detallada de ubicación", sin embargo, no se mencionan las coordenadas. </t>
  </si>
  <si>
    <t>Downstream</t>
  </si>
  <si>
    <t xml:space="preserve">1.- Se modifico la columna "F" (¿cuándo se detectó el impacto?") en base al formato de"día/mes/año" 2.- Se identifica la ausencia de información en torno a "Descripción detallada de ubicación", por lo tanto, también de las coordenadas. </t>
  </si>
  <si>
    <t>Aguas abajo/río abajo</t>
  </si>
  <si>
    <t xml:space="preserve">1.- Se modifico la columna "F" (¿cuándo se detectó el impacto?") en base al formato de"día/mes/año" 2.- Se identifica la ausencia de información en torno a "Descripción detallada" y "Descripción detallada de ubicación", por lo tanto, también de las coordenadas. </t>
  </si>
  <si>
    <t>Peter Rodriguez, Aymara León, Malquia Dahua</t>
  </si>
  <si>
    <t>Water mixed with oil</t>
  </si>
  <si>
    <t>Absorventes, recojo de crudo en bolsas de plastico</t>
  </si>
  <si>
    <t>Agua mezclada con crudo</t>
  </si>
  <si>
    <t>Leak point</t>
  </si>
  <si>
    <t>Punto de fuga</t>
  </si>
  <si>
    <t xml:space="preserve">1.- Se modifico la columna "F" (¿cuándo se detectó el impacto?") en base al formato de"día/mes/año" 2.- Se identifica nformación en torno a"Descripción detallada de ubicación", sin embargo, no se mencionan las coordenadas. </t>
  </si>
  <si>
    <t>PRD201412</t>
  </si>
  <si>
    <t>1.- Se modifico la columna "F" (¿cuándo se detectó el impacto?") en base al formato de"día/mes/año" 2.- Se realizo la traducción de "Descripción detallada"</t>
  </si>
  <si>
    <t>Remediation works</t>
  </si>
  <si>
    <t>Trabajos de remediación</t>
  </si>
  <si>
    <t>1.- Se modifico la columna "F" (¿cuándo se detectó el impacto?") en base al formato de"día/mes/año" 2.- Se realizo la traducción de "Tipo de remediación"</t>
  </si>
  <si>
    <t>Debris</t>
  </si>
  <si>
    <t>1.- Se modifico la columna "F" (¿cuándo se detectó el impacto?") en base al formato de"día/mes/año" 2.- Se traslado información de "Descripción detallada" a "Descripción de ubicación", verificando la ausencia de información de las coordenadas.</t>
  </si>
  <si>
    <t>Podrían uniformizarse solo por Residuos</t>
  </si>
  <si>
    <t>Al inicio de la descripcion de la columna N decía "Derrame de petróleo del tanque 1450", sin embargo, en la base de datos "antigua Equidad" no se señala ese dato</t>
  </si>
  <si>
    <t>CA: Fecha modificada a formado D/M/A</t>
  </si>
  <si>
    <t>Buried pipeline</t>
  </si>
  <si>
    <t>Tubo enterrado</t>
  </si>
  <si>
    <t>Cambio en columna W: El valor "&amp;#233" es una representación en HTML del carácter "é"</t>
  </si>
  <si>
    <t>De acuerdo a fuente Nina, es "nuevo" en columna K.</t>
  </si>
  <si>
    <t>De acuerdo a fuente Nina, se agregó "&amp; 1A" a "San Jacinto" en columna E</t>
  </si>
  <si>
    <t>"Colcha" impacted</t>
  </si>
  <si>
    <t>De acuerdo con fuente antiguo equidad, se cambió la info</t>
  </si>
  <si>
    <t>Cocha impactada</t>
  </si>
  <si>
    <t>Debe ser cocha impactada, "colcha" seguramente es cocha mal escrita</t>
  </si>
  <si>
    <t>De acuerdo con Nina Equidad, "Depósito de material" cambia a botadero</t>
  </si>
  <si>
    <t>De acuerdo con Nina Equidad, es Nuevo y no Operacional. Se revisó antigua Equidad y allí sí es Operacional.</t>
  </si>
  <si>
    <t>Containment barriers</t>
  </si>
  <si>
    <t>Barreras de contención</t>
  </si>
  <si>
    <t>Decía COE201402 pero el monitor tiene los iniciales JG</t>
  </si>
  <si>
    <t>Dice COE en el codigo cuando los iniciales del monitor son FS (eso afecta a los codigos de otros casos porque el mismo monitor ha registrado varios casos en el mismo año)</t>
  </si>
  <si>
    <t>Leaky pipeline</t>
  </si>
  <si>
    <t>Tubería con fugas</t>
  </si>
  <si>
    <t>Dudo sobre la traducción de "topping plant", no traduje la frase.</t>
  </si>
  <si>
    <t>El evento original se dio 19/12/2016</t>
  </si>
  <si>
    <t>Vegetation-covered slope</t>
  </si>
  <si>
    <t>El evento original se dio en 19/02/1999</t>
  </si>
  <si>
    <r>
      <rPr>
        <rFont val="Arial"/>
        <color rgb="FF000000"/>
      </rPr>
      <t xml:space="preserve">Una pendiente </t>
    </r>
    <r>
      <rPr>
        <rFont val="Arial"/>
        <color rgb="FF000000"/>
      </rPr>
      <t>cubierta con vegetación</t>
    </r>
  </si>
  <si>
    <t>En la base de datos original, el texto de las descripción de ubicación es el de la fila 143 en esta tabla</t>
  </si>
  <si>
    <t>Produced water</t>
  </si>
  <si>
    <t>Agua de producción</t>
  </si>
  <si>
    <t>En la columna N se detallas dos eventos con coordenadas, las que podrían haber afectado al evento principal</t>
  </si>
  <si>
    <t>En la descripción se especifican las coordenadas de una instalación abandonada</t>
  </si>
  <si>
    <t>Creek</t>
  </si>
  <si>
    <t>Quebrada</t>
  </si>
  <si>
    <t xml:space="preserve">En la descripción se señala que la empresa a cargo es Petroperu S.A. Sin embargo en la columna Empresa involucrada se encuentra "Pacific Stratus Energy del Perú, S.A.". Se agregó Petroperu S.A. a la menciona columna, corresponde verificar si se mantiene a Pacific también. </t>
  </si>
  <si>
    <t>Podrían uniformizarse solo por Quebrada</t>
  </si>
  <si>
    <t>Falta revisar traducción</t>
  </si>
  <si>
    <t>La descripción señala dos coordenadas, una es detallada en el sistema Lat/Long y la otra en el sistema UTM</t>
  </si>
  <si>
    <t>Las UTM X y Y están ok, pero la log y lat de acuerdo a la BD deberían ser: -2.5616635 y -76.193007, ya que las UTM no considera todas las decimales. Asimismo, están en columnas diferentes.</t>
  </si>
  <si>
    <t>Stream</t>
  </si>
  <si>
    <t xml:space="preserve">Long y lati están OK. Los datos UTM X y Y si se encuentran en la base de datos de coordenadas, pero tienen decimales. </t>
  </si>
  <si>
    <t>No hay coordenadas en DD o DDU.</t>
  </si>
  <si>
    <t>No hay coordenadas en DD o DDU. No lo encontré en ninguna de las cuatro bases de datos. Lo encontré en uno que no tenía código. BD: Antigua Equidad. Site: Central Production Facility 7, platform x47 spill. The oil spill took place in the Comunidad  San José de Nueva Esperanza area.  An stream was polluted in its upperparts and oil moved more than 35 km along.  The oil spill affected the Quebrada Nayanmacu. Traducción: Instalación de Producción Central 7, plataforma x47 derrame. El derrame de petróleo ocurrió en la zona de la Comunidad San José de Nueva Esperanza. Un arroyo fue contaminado en sus partes superiores y el petróleo se desplazó más de 35 km. El derrame de petróleo afectó la Quebrada Nayanmacu.</t>
  </si>
  <si>
    <t>Discharging oil pool</t>
  </si>
  <si>
    <t>Pozo de crudo</t>
  </si>
  <si>
    <t>Pozo de descarga de crudo</t>
  </si>
  <si>
    <t>No hay coordenadas en DD o DDU. Traducción: El derrame ocurrió en la parte inferior del tanque.</t>
  </si>
  <si>
    <t>No hay coordenadas en DD o DDU. traducción: El evento ocurrió debido a una falla al realizar una operación de bombeo de petróleo desde Batería 1 hasta un tanque ubicado en la Plataforma 114. El tanque se desbordó y 0.5 barriles de petróleo impactaron en el suelo natural. The event took place due to a failure when undertaking an oil operation to pump oil from Batería 1 to a tank located in Platform 114. The tank overflowed and 0.5 barrels of oil impacted on natural ground.</t>
  </si>
  <si>
    <t>Location</t>
  </si>
  <si>
    <t>Sitio</t>
  </si>
  <si>
    <t xml:space="preserve">No hay coordenadas en DD o DDU. Traducción: Hubo un gran derrame de petróleo dentro de las instalaciones petroleras. El petróleo llegó a las cunetas de drenaje de agua y se extendió por los alrededores. Probablemente alcanzó cuerpos de agua. </t>
  </si>
  <si>
    <t>Small tributary stream</t>
  </si>
  <si>
    <t>Quebrada pequeña</t>
  </si>
  <si>
    <t>Pipe/pipeline</t>
  </si>
  <si>
    <t>No hay coordenadas en DD o DDU. Traducción: Leakage from a tank which is owned to PlusPetrol company</t>
  </si>
  <si>
    <t>Tuberia</t>
  </si>
  <si>
    <t>*Tuberia es distinta a Oleoducto. Agragar: North Peruvian Pipeline (ONP) como Oleoducto</t>
  </si>
  <si>
    <t>No hay coordenadas en DD o DDU. Traducción: Un repentino aumento del nivel de aceite en el área de tratamiento arrastró el aceite hacia los quemadores. Finalmente, cayó dentro de la zanja y llegó al tanque de sumidero, que se desbordó.</t>
  </si>
  <si>
    <t>Chu ntsa/ Chuuntsa</t>
  </si>
  <si>
    <t>No hay identificador único</t>
  </si>
  <si>
    <r>
      <rPr>
        <rFont val="Arial"/>
        <color theme="1"/>
      </rPr>
      <t xml:space="preserve">No se entiende, quizas es una palabra nativa. Podría referirse a </t>
    </r>
    <r>
      <rPr>
        <rFont val="Arial"/>
        <i/>
        <color theme="1"/>
      </rPr>
      <t xml:space="preserve">chunta, </t>
    </r>
    <r>
      <rPr>
        <rFont val="Arial"/>
        <color theme="1"/>
      </rPr>
      <t>un tipo de palmera</t>
    </r>
  </si>
  <si>
    <t>No tiene código propio</t>
  </si>
  <si>
    <t>Collecting oil</t>
  </si>
  <si>
    <t xml:space="preserve">No tiene código propio </t>
  </si>
  <si>
    <t>Recuperación de crudo</t>
  </si>
  <si>
    <t xml:space="preserve">No tiene código propio  1.- Se modifico la columna "F" (¿cuándo se detectó el impacto?") en base al formato de"día/mes/año" 2.- Se identifica  información en torno a "Descripción detallada de ubicación", sin embargo, no se mencionan las coordenadas. </t>
  </si>
  <si>
    <t xml:space="preserve">No tiene código propio 1.- Se modifico la columna "F" (¿cuándo se detectó el impacto?") en base al formato de"día/mes/año" 2.- Se identifica  información en torno a "Descripción detallada de ubicación", sin embargo, no se mencionan las coordenadas. </t>
  </si>
  <si>
    <t>AGREGAR:</t>
  </si>
  <si>
    <t>No tiene código propio 1.- Se modifico la columna "F" (¿cuándo se detectó el impacto?") en base al formato de"día/mes/año" 2.- Se identifica  información en torno a "Descripción detallada"</t>
  </si>
  <si>
    <t xml:space="preserve">North Peruvian Pipeline (ONP) </t>
  </si>
  <si>
    <t>Oleoducto Norperuano</t>
  </si>
  <si>
    <t xml:space="preserve">No tiene código propio 1.- Se modifico la columna "F" (¿cuándo se detectó el impacto?") en base al formato de"día/mes/año" 2.- Se identifica  información en torno a"Descripción detallada de ubicación", sin embargo, no se mencionan las coordenadas. </t>
  </si>
  <si>
    <t>Oil containment clamp in pipeline</t>
  </si>
  <si>
    <t>Grapa para contener petroleo</t>
  </si>
  <si>
    <t>No tiene código propio. Se modifico la columna "F" (¿cuándo se detectó el impacto?") en base al formato de"día/mes/año"</t>
  </si>
  <si>
    <t>No tiene coordenadas</t>
  </si>
  <si>
    <t>No tiene coordenadas.</t>
  </si>
  <si>
    <t>No tiene coordenadas. Cambios menores en la columna N</t>
  </si>
  <si>
    <t>No tiene coordenadas. No estoy segura de la traducción de la frase "flood area" en la columna N. La traducción directa es "área inundada"</t>
  </si>
  <si>
    <t>No tiene coordenadas. Se agregó dato a la columna O</t>
  </si>
  <si>
    <t>No tiene coordenadas. Se agregó dato de la columna N a la columna O</t>
  </si>
  <si>
    <t>No tiene coordenadas. Se ajusto el formato de la fecha F.</t>
  </si>
  <si>
    <t>No tiene coordenadas. Se ajustó la traducción de la columna N</t>
  </si>
  <si>
    <t>No tiene coordenadas. Tengo dudas sobre la traducción de la columna N. La frase en inglés original es "Oil emerging".</t>
  </si>
  <si>
    <t>No tiene un código propio</t>
  </si>
  <si>
    <t xml:space="preserve">No tiene un código propio 1.- Se modifico la columna "F" (¿cuándo se detectó el impacto?") en base al formato de"día/mes/año" 2.- Se identifica  información en torno a "Descripción detallada de ubicación", sin embargo, no se mencionan las coordenadas. </t>
  </si>
  <si>
    <t>Se agregó dato a la columna O</t>
  </si>
  <si>
    <t>Se agregó en columna K "Nuevo"</t>
  </si>
  <si>
    <t>Se agregó en columna M "Frontera Energy"</t>
  </si>
  <si>
    <t>Se agregó un dato adicional en la columna N. No tiene coordenadas</t>
  </si>
  <si>
    <t>Se ajustó la traducción en la columna N</t>
  </si>
  <si>
    <t>Se cambió en la columna K de "Operacional" a "Nuevo".</t>
  </si>
  <si>
    <t>Se colocó parte de los datos que estaban en la columna O en la columna N, para que solo quede la ubicación específica. Se tradujo la columna Y. Se ajusto el formato de la fecha F.</t>
  </si>
  <si>
    <t>Se copió el dato de la columna O a la columna N</t>
  </si>
  <si>
    <t>Se corrigió la columna N</t>
  </si>
  <si>
    <t>Se corrigió la columna N y O.</t>
  </si>
  <si>
    <t>Se corrigió la columna N y O. El evento original se produjo aproximadamente en 1998</t>
  </si>
  <si>
    <t>Tubería de metal botada.</t>
  </si>
  <si>
    <t>pozo 9, Batería Capahuari Norte.</t>
  </si>
  <si>
    <t>PRD201404</t>
  </si>
  <si>
    <t>Se rebalsó el sump tank.</t>
  </si>
  <si>
    <t>Batería Capahuari Norte, a 500 m del pozo 9.</t>
  </si>
  <si>
    <t>Se corrigió la redacción del texto de la columna N</t>
  </si>
  <si>
    <t>Se corrigió la redacción del texto de la columna N.</t>
  </si>
  <si>
    <t>Se corrigió la redacción del texto de la columna N. No tiene coordenadas</t>
  </si>
  <si>
    <t xml:space="preserve">Se corrigió la redacción del texto de la columna N. No tiene coordenadas. </t>
  </si>
  <si>
    <t>Se corrigió la traducción de la columna N</t>
  </si>
  <si>
    <t>Se corrigió la traducción del dato de la columna N</t>
  </si>
  <si>
    <t xml:space="preserve">Se corrigió la traducción del dato de la columna N </t>
  </si>
  <si>
    <t>Se corrigió redacción columna O</t>
  </si>
  <si>
    <t>Se corrigió traducción de la columna O</t>
  </si>
  <si>
    <t>Se hicieron pequeños cambios en la redacción de la columna N</t>
  </si>
  <si>
    <t>Se hicieron pequeños cambios en la traducción de la columna N</t>
  </si>
  <si>
    <t>Se hicieron pequeños cambios en la traducción de la columna N y O</t>
  </si>
  <si>
    <t xml:space="preserve">Se identifica  información en torno a "Descripción detallada de ubicación", sin embargo, no se mencionan las coordenadas. </t>
  </si>
  <si>
    <t>Se identifica la ausencia de información en torno al "Descripción detallada" y "Descripción detallada de ubicación"</t>
  </si>
  <si>
    <t>Se identifica la ausencia de información en torno al "Descripción detallada" y "Descripción detallada de ubicación", sobre este último se hace mención de "Información de un cuaderno N°287"</t>
  </si>
  <si>
    <t>PRD201407</t>
  </si>
  <si>
    <t>Se identifica la ausencia de información en torno al "Descripción detallada" y "Descripción detallada de ubicación", sobre este último se hace mención de "Información de un cuaderno N°288"</t>
  </si>
  <si>
    <t>Se identifica la ausencia de información en torno al "Descripción detallada" y "Descripción detallada de ubicación", sobre este último se hace mención de "Información de un cuaderno N°289"</t>
  </si>
  <si>
    <t>Se identifica la ausencia de información en torno al "Descripción detallada" y "Descripción detallada de ubicación", sobre este último se hace mención de "Información de un cuaderno N°290"</t>
  </si>
  <si>
    <t>Se identifica la ausencia de información en torno al "Descripción detallada" y "Descripción detallada de ubicación", sobre este último se hace mención de "Información de un cuaderno N°291"</t>
  </si>
  <si>
    <t>Se identificó el término "Ducto", de acuerdo a fuente Antigua Equidad</t>
  </si>
  <si>
    <t>Se modifico la columna "F" (¿cuándo se detectó el impacto?") en base al formato de"día/mes/año"</t>
  </si>
  <si>
    <t>Se modifico la columna "F" (¿cuándo se detectó el impacto") en base al formato de"día/mes/año"</t>
  </si>
  <si>
    <t>Se modificó la información de las celdas N y O</t>
  </si>
  <si>
    <t>Se modificó la traducción de la columna N</t>
  </si>
  <si>
    <t>Se modificó la traducción en columna N</t>
  </si>
  <si>
    <t>Se realizó cambios en la traducción en la columna N. "drums" se tradujo como bidones</t>
  </si>
  <si>
    <t>Se tradujo columna Y</t>
  </si>
  <si>
    <t>Se tradujo la columna N. El evento original se dio aprox 16/05/1980</t>
  </si>
  <si>
    <t>Se tradujo la columna Y</t>
  </si>
  <si>
    <t>Se transcribió Y</t>
  </si>
  <si>
    <t>Tengo dudas sobre la traducción de la columna N. La frase en inglés original es "Oil emerging".</t>
  </si>
  <si>
    <t>Área contaminada por un derrame de crudo en la parte de atrás del pozo 5. Según los apuntes escritos, el suelo se ha movido para hacer perforaciones.</t>
  </si>
  <si>
    <t>pozo 5, camino de Comunidad Titiyacu a Batería Capahuari Norte.</t>
  </si>
  <si>
    <t>UTM X em BD Original no inicia com 0 – el resto de números son iguales. UTM Y está OK</t>
  </si>
  <si>
    <t>UTM X em BD Original no inicia com 0 – el resto de números son iguales. UTM Y está OK. Se agregó long y lat.</t>
  </si>
  <si>
    <t xml:space="preserve">UTM X em BD Original no inicia com 0 – el resto de números son iguales. UTM Y está OK. Se agregó long y lat. Traducción: La compañia está remediando el derrame de petroleo. </t>
  </si>
  <si>
    <t>UTM X em BD Original no inicia com 0 – el resto de números son iguales. UTM Y está OK. Se agregó long y lat. Traducción: Petroleo o crudo derramdo por un camión.</t>
  </si>
  <si>
    <t>UTM X y  UTM Y están OK. Se agregó long y lat.</t>
  </si>
  <si>
    <t>UTM X y UTM Y están OK. Se agregó long y lat.</t>
  </si>
  <si>
    <t>PEH201826</t>
  </si>
  <si>
    <t>Lista de emergencias ambientales, odk</t>
  </si>
  <si>
    <r>
      <rPr>
        <rFont val="Calibri"/>
        <color rgb="FF000000"/>
        <sz val="10.0"/>
      </rPr>
      <t>Pacific Stratus Energy del Perú, S.A. /</t>
    </r>
    <r>
      <rPr>
        <rFont val="Calibri"/>
        <color rgb="FFFF0000"/>
        <sz val="10.0"/>
      </rPr>
      <t xml:space="preserve"> Petroperu S.A.</t>
    </r>
  </si>
  <si>
    <t>El propietario de la empresa es Petroleos del Perú-Petroperu S,A.</t>
  </si>
  <si>
    <t>Km No. 12 del oleoducto Norperuano-Ramal Norte (ORN), a 3 km de la comunidad Titiyacu en el distrito de Andoas.</t>
  </si>
  <si>
    <t>-76.552.556</t>
  </si>
  <si>
    <t>-2.783.809</t>
  </si>
  <si>
    <t>PJV201608</t>
  </si>
  <si>
    <t xml:space="preserve">Antiguo pozo de crudo de los tiempos de Oxy y Pluspetrol. </t>
  </si>
  <si>
    <t>En el territorio de la comunidad Titiyacu, Batería Capahuari Norte.</t>
  </si>
  <si>
    <t>Codigos</t>
  </si>
  <si>
    <t>No</t>
  </si>
  <si>
    <t>Si</t>
  </si>
  <si>
    <t>Falta información</t>
  </si>
  <si>
    <t>Nombres de Archivos</t>
  </si>
  <si>
    <t>Primera letra</t>
  </si>
  <si>
    <t>Cuenca (Tigre, Corrientes Pastaza, Chambira, Marañon)</t>
  </si>
  <si>
    <t>Segunda letra</t>
  </si>
  <si>
    <t>Nombre monitor</t>
  </si>
  <si>
    <t>Tercera letra</t>
  </si>
  <si>
    <t>Apellido monitor (solo uno)</t>
  </si>
  <si>
    <t>Primeros 4 numeros</t>
  </si>
  <si>
    <t>Año</t>
  </si>
  <si>
    <t>Quinto numero</t>
  </si>
  <si>
    <t>Numero de observación de un monitor x en un año</t>
  </si>
  <si>
    <t>Ejemplo:</t>
  </si>
  <si>
    <t>Pastaza, Rafael Dahua, 2020, primer impacto monitoreado</t>
  </si>
  <si>
    <t>PMO201304</t>
  </si>
  <si>
    <t xml:space="preserve"> El safe tank vierte a una zona, que cuando rebalsa alimenta la colpa. La fauna ha convertido una zona contaminada en colpa</t>
  </si>
  <si>
    <t>derrames del Pozo 1 de Capahuari Norte, al km 14 de la carretera a Capahuari Norte.</t>
  </si>
  <si>
    <t>Martí Orta, Pedro, Emily</t>
  </si>
  <si>
    <t>PRD201413</t>
  </si>
  <si>
    <t xml:space="preserve">Una colpa contaminada. Es un lugar importante para la alimentación de varias especies, entre ellas la sachavaca. </t>
  </si>
  <si>
    <t>Pozo 3, Batería Capahuari Norte.</t>
  </si>
  <si>
    <t>COE200901/PEM200901</t>
  </si>
  <si>
    <t>Actas administrativas, Informe OEFA</t>
  </si>
  <si>
    <t>Este evento fue prooleoducto de una rotura de tubo "turbo" que abastecía a las avionetas y helicopteros. El petroleo corrió por Panpallina Yacu, llegando al final al río Pastaza.</t>
  </si>
  <si>
    <t>Andoas, Batería Capahuari sur, Lote 9 (dentro del aeródromo de Andoas)</t>
  </si>
  <si>
    <t>Exon Molina</t>
  </si>
  <si>
    <t>PRD201419</t>
  </si>
  <si>
    <t>Crudo antiguo enterrado 20-30cm debajo de la superficie. El área suele ser usada por la comunidad.</t>
  </si>
  <si>
    <t>PJB201603</t>
  </si>
  <si>
    <t>13/03/2016</t>
  </si>
  <si>
    <t>Afectó la cocha Shanshococha y los riachuelos de Shirunchi y Anapaza.</t>
  </si>
  <si>
    <t>Territorio de la comunidad Los Jardines (Batería capahuari sur)</t>
  </si>
  <si>
    <t>Juan José Butuna Dahua</t>
  </si>
  <si>
    <t>PAS201603</t>
  </si>
  <si>
    <t xml:space="preserve">Se ve tierras removidas y crudo. Afecta al río Pastaza. Los pobladores han construido sus casas en la zona contaminada. </t>
  </si>
  <si>
    <t>En el pueblo de Nuevo Andoas, a 50m del río Pastaza y frente a la estación ccnn. Nuevo Andoas.</t>
  </si>
  <si>
    <t>Adan Sanchez</t>
  </si>
  <si>
    <t>PEH201804</t>
  </si>
  <si>
    <r>
      <rPr>
        <rFont val="Calibri"/>
        <color rgb="FFFF0000"/>
        <sz val="10.0"/>
      </rPr>
      <t>Pruebas contundentes de antiguo petróleo de los tiempos de Oxy dentro de un agujero de 1,5m de profundidad hecho mientras se construía un pozo de agua.</t>
    </r>
    <r>
      <rPr>
        <rFont val="Calibri"/>
        <color rgb="FF000000"/>
        <sz val="10.0"/>
      </rPr>
      <t xml:space="preserve"> El lugar está en medio de un asentamiento. Es probable que toda la zona esté afectada.</t>
    </r>
  </si>
  <si>
    <t>En el territorio de Nuevo Andoas.</t>
  </si>
  <si>
    <t>PEH201803</t>
  </si>
  <si>
    <t>PRD20192</t>
  </si>
  <si>
    <t>Cuaderno</t>
  </si>
  <si>
    <t>21/03/2019</t>
  </si>
  <si>
    <t>S0167, Muestreo OEFA, a ±3m de profundidad olor fuerte a hidrocarburos</t>
  </si>
  <si>
    <t>Capahuarí KM4+300</t>
  </si>
  <si>
    <t>OEFA</t>
  </si>
  <si>
    <t>PEH201825</t>
  </si>
  <si>
    <t xml:space="preserve">El monitor cuenta que hubo un derrame hace 10 años en los tiempos de Pluspetrol que afectó a la zona. Hoy se puede encontrar crudo a unos 5 cm de profundidad. </t>
  </si>
  <si>
    <r>
      <rPr>
        <rFont val="Calibri"/>
        <color theme="1"/>
        <sz val="10.0"/>
      </rPr>
      <t xml:space="preserve">En el territorio de Nuevo Andoas. </t>
    </r>
    <r>
      <rPr>
        <rFont val="Calibri"/>
        <color rgb="FFFF0000"/>
        <sz val="10.0"/>
      </rPr>
      <t>Ese punto está a 5 m de 2 tanques</t>
    </r>
    <r>
      <rPr>
        <rFont val="Calibri"/>
        <color theme="1"/>
        <sz val="10.0"/>
      </rPr>
      <t>, utilizados para abastecer de combustible a las aeronaves.</t>
    </r>
  </si>
  <si>
    <t>PJB201601</t>
  </si>
  <si>
    <t>Hay cuatro cilindros con crudo derramado y un botadero. La cocha Uspayacu y la quebrada Anapaza han sido afectados por el derrame en el territorio de Alianza Capahuari. Afecta también a la zona de caza y pesca de Loboyaco. El río está abajo de la quebrada Capahuari.</t>
  </si>
  <si>
    <t>Cocha Ushpayacu y quebrada Anapaza de la comunidad Alianza Capahuari.</t>
  </si>
  <si>
    <t>PMD201801</t>
  </si>
  <si>
    <t>La comunidad está cultivando por encima de un botadero de los tiempos de Oxy. Hay residuos de metal enterrados y una instalación petrolera abandonada. Los registros muestran, entre otras cosas, barriles, pedazos de tubería, llantas, etc. Afectó a un aguajal y también a la quebrada Anapaza.</t>
  </si>
  <si>
    <r>
      <rPr>
        <rFont val="Calibri"/>
        <color rgb="FFFF0000"/>
        <sz val="10.0"/>
      </rPr>
      <t>En la</t>
    </r>
    <r>
      <rPr>
        <rFont val="Calibri"/>
        <color rgb="FF000000"/>
        <sz val="10.0"/>
      </rPr>
      <t xml:space="preserve"> ''chacra" frente a PetroPerú, en territorio de la comunidad Nuevo Andoas.</t>
    </r>
  </si>
  <si>
    <t>Marcial Dahua</t>
  </si>
  <si>
    <t>PEH201829</t>
  </si>
  <si>
    <t xml:space="preserve">Unas obras en Nuevo Andoas encontraron hidrocarburos 30cm de los tiempos de Oxy. Su fuente es desconocida. Según el monitor, está afectando a una colpa, una cocha y un aguajal. La empresa está quemando el crudo. La contaminación llega al río Pastaza. </t>
  </si>
  <si>
    <t>Base principal de Frontera Energy, Nuevo Andoas.</t>
  </si>
  <si>
    <t>Elmer Hualinga y Marcial Dahua</t>
  </si>
  <si>
    <t>PRD201401</t>
  </si>
  <si>
    <t xml:space="preserve">Unos 50 cilindros de metal botados en el bosque. </t>
  </si>
  <si>
    <t>A 600 m de la carretera, km 4. Batería Capahuari Norte.</t>
  </si>
  <si>
    <t>PJB201602</t>
  </si>
  <si>
    <t>28/04/2016</t>
  </si>
  <si>
    <t>Afecta a la quebrada Ismacaño cerca de las instalaciones de Petroperu.</t>
  </si>
  <si>
    <t>A 200 m del asentamiento Nuevo Andoas.</t>
  </si>
  <si>
    <t>PNA201001</t>
  </si>
  <si>
    <t>Batería Capahuari sur</t>
  </si>
  <si>
    <t>No atribuible</t>
  </si>
  <si>
    <t>PED20211</t>
  </si>
  <si>
    <t>Entrevista</t>
  </si>
  <si>
    <t>19/05/2021</t>
  </si>
  <si>
    <t>Otro</t>
  </si>
  <si>
    <t>Perupetro</t>
  </si>
  <si>
    <t>No hay derrame, pero se ha perforado un hueco con taladro de 4 pulgadas, el hueco chorrea, le han puesto un palito.</t>
  </si>
  <si>
    <t>Km 2+300 Capahuari Norte, colindancia Porvenir-Titiyacu</t>
  </si>
  <si>
    <t>Ezequiel Dahua</t>
  </si>
  <si>
    <t>PEH201809</t>
  </si>
  <si>
    <t>Evidencia de crudo enterrado.</t>
  </si>
  <si>
    <t>PEH201805</t>
  </si>
  <si>
    <t>Crudo saliendo del suelo.</t>
  </si>
  <si>
    <t>PRD201414</t>
  </si>
  <si>
    <t>Una colpa contaminada. Hay pedazos de tubería de metal que aún contienen crudo y están contaminando el área desde que fue abandonada.</t>
  </si>
  <si>
    <t>Tambo x1x, vía Capahuari Norte, km 2.</t>
  </si>
  <si>
    <t>PEH201808</t>
  </si>
  <si>
    <r>
      <rPr>
        <rFont val="Calibri"/>
        <color rgb="FF000000"/>
        <sz val="10.0"/>
      </rPr>
      <t xml:space="preserve">Una gran cantidad de crudo se derramó en los tiempos de Oxy. Aún es visible y llega hasta 2.5m de profundidad. A unos 20-30 m de distancia, hay dos </t>
    </r>
    <r>
      <rPr>
        <rFont val="Calibri"/>
        <color rgb="FFFF0000"/>
        <sz val="10.0"/>
      </rPr>
      <t xml:space="preserve">oleoductos. </t>
    </r>
  </si>
  <si>
    <t>PEH201807</t>
  </si>
  <si>
    <r>
      <rPr>
        <rFont val="Calibri"/>
        <color rgb="FFFF0000"/>
        <sz val="10.0"/>
      </rPr>
      <t xml:space="preserve"> Hay evidencia contundente</t>
    </r>
    <r>
      <rPr>
        <rFont val="Calibri"/>
        <color rgb="FF000000"/>
        <sz val="10.0"/>
      </rPr>
      <t xml:space="preserve"> de crudo de los tiempos de Oxy en el suelo, distribuido por una zona </t>
    </r>
    <r>
      <rPr>
        <rFont val="Calibri"/>
        <color rgb="FFFF0000"/>
        <sz val="10.0"/>
      </rPr>
      <t>amplia</t>
    </r>
    <r>
      <rPr>
        <rFont val="Calibri"/>
        <color rgb="FF000000"/>
        <sz val="10.0"/>
      </rPr>
      <t>. Abarca una profundidad que llega hasta 50 cm. Además, hay un botadero.</t>
    </r>
  </si>
  <si>
    <r>
      <rPr>
        <rFont val="Calibri"/>
        <color theme="1"/>
        <sz val="10.0"/>
      </rPr>
      <t xml:space="preserve">Quebrada Isma Caño, en el territorio de Nuevo Andoas. El punto se encuentra a 5m del </t>
    </r>
    <r>
      <rPr>
        <rFont val="Calibri"/>
        <color rgb="FFFF0000"/>
        <sz val="10.0"/>
      </rPr>
      <t xml:space="preserve">oleoducto </t>
    </r>
    <r>
      <rPr>
        <rFont val="Calibri"/>
        <color theme="1"/>
        <sz val="10.0"/>
      </rPr>
      <t>que va desde Frontera hasta el punto de recolección. Las coordenadas dadas fueron tomadas en el punto donde se realizó el video.</t>
    </r>
  </si>
  <si>
    <t>PAS201618</t>
  </si>
  <si>
    <t>30/04/2016</t>
  </si>
  <si>
    <t xml:space="preserve">En este sitio se ha botado residuos tóxicos, tanto orgánico como inorgánico. Esto ha cambiado cómo crecen la flora y los árboles. Aún hay contaminación y afecta a un aguajal y las zonas de caza y pesca de varias comunidades. </t>
  </si>
  <si>
    <t>Carretera km no. 02, hacia Capahuari Norte (Batería Capahuari Sur).</t>
  </si>
  <si>
    <t>PEH201814</t>
  </si>
  <si>
    <t>Residuos de metal y plástico como pedazos de tubería, jeringas, etc. de los tiempos de bosque en el bosque. Hay una instalación abandonada. (-2.775354524775755, -76.44823757737052).</t>
  </si>
  <si>
    <t>PRD201418</t>
  </si>
  <si>
    <t>Formulario en papel</t>
  </si>
  <si>
    <t>Carretera Bahía los Jardines, a 200 m de Los Jardines. El sitio está en Esma Caño.</t>
  </si>
  <si>
    <t>PEH201603</t>
  </si>
  <si>
    <t>Lista de emergencias ambientales</t>
  </si>
  <si>
    <t>27/09/2016</t>
  </si>
  <si>
    <t>Pacific Stratus Energy del Perú, S.A.</t>
  </si>
  <si>
    <t>El derrame de petróleo afectó a un riachuelo y una quebrada. Proviene de un oleoducto antiguo. El evento se dio dentro de las instalaciones de Frontera Energy (ex-Pacific Stratus Energy del Perú).</t>
  </si>
  <si>
    <t>Batería Capahuari Sur.</t>
  </si>
  <si>
    <t>PMD20191</t>
  </si>
  <si>
    <t>Trazas de crudo, contaminación de suelo, contaminación de cuerpo de agua</t>
  </si>
  <si>
    <t>Tramo tubería Capahuari norte, Cerca a pozo 32; cerca a un aguajal con quebrada que fluye hacia la quebrada Anapaza</t>
  </si>
  <si>
    <t>Malquia Dahua, Elmer Hualinga</t>
  </si>
  <si>
    <t>Apu Tedi Maca Cariajano (Andoas); Clever Cruz Guardia (Ten. Gob. Andoas), Aymara Leon, Peter Rodriquez, Kathia Carillo</t>
  </si>
  <si>
    <t>Absorventes</t>
  </si>
  <si>
    <t>POE201301/PMO201306</t>
  </si>
  <si>
    <t>Informe OEFA</t>
  </si>
  <si>
    <t>Occidental Petroleum, Pluspetrol Norte SA</t>
  </si>
  <si>
    <t>Durante la supervisión de OEFA, se encontraron barriles antiguos, pedazos de tubería, hierro y otros residuos enterrados cerca del pozo 32. La empresa empezó a limpiar la zona con maquinaria pesada, después de una denuncia administrativa de FEDIQUEP. Según el informe, algunos de los barriles desenterrados contenían crudo, lo cual fue accidentalmente liberado durante los trabajos de limpieza. Eso impactó 32m2 de suelo que fue inmediatamente limpiado por los trabajadores de la empresa. Este área ya había sido afectada por un derrame que se dio entre abril y mayo de 2011. El informe menciona que los trabajos de remediación consistían en encubrir el área afectada con tierra. La quebrada Anapasa fue afectada.</t>
  </si>
  <si>
    <t>Cerca del pozo 32, Batería Capahuari sur.</t>
  </si>
  <si>
    <t>Martí Orta, Adam Sandi</t>
  </si>
  <si>
    <t xml:space="preserve">Recuperación de residuos y limpieza del crudo restante. Sin embargo, un derrame antiguo que se dio en el mismo sitio no fue adecuadamente remediado. </t>
  </si>
  <si>
    <t>PEH201828</t>
  </si>
  <si>
    <t xml:space="preserve">Evidencia de crudo antiguo en el suelo. </t>
  </si>
  <si>
    <t>PAS201613</t>
  </si>
  <si>
    <t>26/03/2016</t>
  </si>
  <si>
    <t>Desde 1972 este sitio ha sido un botadero por la empresa Oxy. Hay metales, motores, vehiculos, tubería y otros restos abandonados en el suelo y enterrados también. El depósito ha modificado cómo crecen la cesped los árboles y otra flora. Se ve tierras removidas y contaminación. Se ha ocultado petróleo. Afecta a la quebrada Anapaza, una colpa, una cocha, un aguajal y las zonas de caza y pesca de diferentes comunidades.</t>
  </si>
  <si>
    <t>Pozo 32. El lugar se llama ''el Cementerio de Chatarra'' (Nuevo Andoás, Batería Capahuari Sur).</t>
  </si>
  <si>
    <t>POE201305</t>
  </si>
  <si>
    <t>Según el informe de OEFA, miembros de FEDIQUEP informaron que la empresa está utilizado tierra para encubrir un sitio contaminado en Shipiro Cocha para evitar remediarlo.</t>
  </si>
  <si>
    <t>Shipiro Cocha</t>
  </si>
  <si>
    <t>PMO201307</t>
  </si>
  <si>
    <t>Un derrame de los 18, 19 y 20 afectó a Chancho Cocha, Piripiri Cocha y un aguajal. La contaminación fluye hacia la quebrada Anapaza.</t>
  </si>
  <si>
    <t>Pozos 18, 19 y 20</t>
  </si>
  <si>
    <t>Martí Orta, Emily, Adam</t>
  </si>
  <si>
    <t>PAS201619</t>
  </si>
  <si>
    <t>Aún hay hidrocarburos en el entorno. Hay canteras, crudo ocultado por árboles talados. Afecta a un aguajal y zonas de pesca y caza de varias comunidades. En los tiempos de Oxy, los pobladores advirtieron de la presencia de contaminación. Afectó a la cocha Shanshococha.</t>
  </si>
  <si>
    <t>Comunidad Nuevo Andoas (Batería Capahuari Sur).</t>
  </si>
  <si>
    <t>PAS201712</t>
  </si>
  <si>
    <t xml:space="preserve">Depósito de hidrocarburos en la cocha Shanshococha. La cocha Shanshococha fue remediado hace 9-10 años en el tiempo de Pluspetrol. Aún se encuentra contaminada y afecta a la cocha aunque no es visible. Esta cocha es tributaria de Shanshococha. Afectó a muchas quebradas y un aguajal. La quebrada de abajo es Capahuari. Afectó a las zonas de caza y pesca de varias comunidades (río Ramal capahuari). Esta información se encuentra en las pg 21-23 del informe adjunto. </t>
  </si>
  <si>
    <t>En el territorio de Nuevo Andoas, Batería Capahuari sur.</t>
  </si>
  <si>
    <t>Adam Sanchez</t>
  </si>
  <si>
    <t>PNA201203</t>
  </si>
  <si>
    <t xml:space="preserve">Un derrame antiguo de una hectárea. No se ha hecho ningún trabajo de remediación. </t>
  </si>
  <si>
    <t>Batería Capahuari sur, por el km 7 a Andoas, a 150 metros de la carretera.</t>
  </si>
  <si>
    <t>PEH201810</t>
  </si>
  <si>
    <t>Evidencia de crudo en el fondo de una colcha.</t>
  </si>
  <si>
    <t>PAS201629</t>
  </si>
  <si>
    <t>01/07/2016</t>
  </si>
  <si>
    <t>Esta cocha contiene crudo, metales pesados e hidrocarburos, etc. desde hace años. Está visiblemente afectada la Shirunchicocha cocha. El OEFA está haciendo un análisis integral. Se encuentra afectando la tierra, los territorios de caza y pesca de Shirunchicocha, así como varias comunidades.</t>
  </si>
  <si>
    <t>Ramal de shirunchicocha.</t>
  </si>
  <si>
    <t>PEH201811</t>
  </si>
  <si>
    <t>PEH201812</t>
  </si>
  <si>
    <t>PEH201813</t>
  </si>
  <si>
    <t>PNA201204</t>
  </si>
  <si>
    <t>Batería Capahuari sur.</t>
  </si>
  <si>
    <t>PEH201817</t>
  </si>
  <si>
    <t>Evidencia de crudo en el fondo de la colcha. Podría haber sido afectada por 1 o 2 eventos o podría ser 2 cochas afectadas por derrames distintos del mismo oleoducto. (1:-2.7884420142872100, -76.43310684395480; y 2: -2.7908308966245507, -76.43212933289603; 340811, 9691430)</t>
  </si>
  <si>
    <t>En el territorio de la comunidad Nuevo Andoas.</t>
  </si>
  <si>
    <t>PEH201822</t>
  </si>
  <si>
    <t>Evidencia de crudo en el suelo. El evento se dio según las siguientes coordenadas:  -2.791788849431106, -76.43273312681575 / 340744, 9691324 and -2.791553787043049, -76.43266088576635.</t>
  </si>
  <si>
    <t>PEH201821</t>
  </si>
  <si>
    <t>PJB201301</t>
  </si>
  <si>
    <t xml:space="preserve">Instalaciones afectadas por corosión donde muchos derrames se han dado. Toda esta contaminación ha afectado a la cocha Paschin (ubicada al frente del campamento militar Otorongo) </t>
  </si>
  <si>
    <t>Batería Capahuari sur., pozo 35.</t>
  </si>
  <si>
    <t>Juan José Butuna, Toni</t>
  </si>
  <si>
    <t>PEH20201</t>
  </si>
  <si>
    <t>30/04/2020</t>
  </si>
  <si>
    <t>pequeã fuga hidrocarburos capahuari Sur, territorio de Los Jardines</t>
  </si>
  <si>
    <t>Batería capahuari sur</t>
  </si>
  <si>
    <t>PDC201602</t>
  </si>
  <si>
    <t>Afecta a la quebrada Anapaza, las zonas de pesca y de caza de la comunidad. Hay evidencia de árboles talados y suelo contaminado. Es un sitio distinto a PAS201606 y PAS201607.</t>
  </si>
  <si>
    <t>En el territorio de la comunidad Nuevo Andoas (Batería Capahuari Sur).</t>
  </si>
  <si>
    <t>David Chino</t>
  </si>
  <si>
    <t>PAS201617</t>
  </si>
  <si>
    <t xml:space="preserve">Almacenamiento de crudo de tiempos de Occidental y PlusPetrol. Se ha almacenado ahí por decadas sin remediación y no ha habido ningún cambio desde el 2011 cuando los monitores visitaron el sitio. Además, hay presencia de un botadero y de crudo ocultado. Afectando al río, la quebrada Anapaza, una colpa y las zonas de caza y pesca de diferentes comunidades. </t>
  </si>
  <si>
    <t xml:space="preserve">Territorio de la Comunidad Los Jardines </t>
  </si>
  <si>
    <t>PEH201819</t>
  </si>
  <si>
    <t>PAS201713</t>
  </si>
  <si>
    <t>No afecta a ninguna comunidad en particular. No ha cambiado, es un punto la cocha piri piri cocha.</t>
  </si>
  <si>
    <t>Alrededores de Planta Central de Producción, km 16 vía principal, Batería Capahuari sur. Desde Andoas hasta el punto Piripiri cocha.</t>
  </si>
  <si>
    <t>PJP201013</t>
  </si>
  <si>
    <t xml:space="preserve">El sitio normalmente es afectado por derrames originando en una instalación cercana. El crudo fluye hacia la cocha. </t>
  </si>
  <si>
    <t>Capahuari sur.</t>
  </si>
  <si>
    <t>Juan Pablo Gayas, Exon Molina</t>
  </si>
  <si>
    <t>PAS201612</t>
  </si>
  <si>
    <t>La zona ha sido afectada por al menos 3 botaderos antiguos distintos.Hay miles de residuos enterrados. El monitor contó que la empresa también ha botado prooleoductos químicos en el área. Se nota tierras removidas y una cantera. Afectó al río Shippyn, la quebrada Capahuari y la zona de caza y pesca de Ullpayacu.</t>
  </si>
  <si>
    <t>Territorio de la comunidad de Chipilay, km no. 7 al lado derecho de la carretera. Nuevo Andoás. Batería Capahuari Sur.</t>
  </si>
  <si>
    <t>PNA201205</t>
  </si>
  <si>
    <t>barriles de metal abandonados que contienen prooleoductos peligrosos como crudo y otros quimicos.</t>
  </si>
  <si>
    <t>PEH201702</t>
  </si>
  <si>
    <t xml:space="preserve"> Según el ODK, hay tierras removidas. Hay contaminación visible y un botadero. Han quemado y ocultado el crudo. Afecta a un aguajal.</t>
  </si>
  <si>
    <t>Batería Capahuari sur, en territorio Nuevo Andoas.</t>
  </si>
  <si>
    <t>PEH201801</t>
  </si>
  <si>
    <r>
      <rPr>
        <rFont val="Calibri"/>
        <color rgb="FF000000"/>
        <sz val="10.0"/>
      </rPr>
      <t xml:space="preserve"> Un evento antiguo que afectó a la colcha Ismacaño. Se nota crudo en la superficie del agua. </t>
    </r>
    <r>
      <rPr>
        <rFont val="Calibri"/>
        <color rgb="FFFF0000"/>
        <sz val="10.0"/>
      </rPr>
      <t>También, hay evidencia de tierras removidas y un botadero</t>
    </r>
    <r>
      <rPr>
        <rFont val="Calibri"/>
        <color rgb="FF000000"/>
        <sz val="10.0"/>
      </rPr>
      <t>. Afectó a una colpa. La empresa ha ocultado la contaminación.</t>
    </r>
  </si>
  <si>
    <t>Base principal de Andoas, en el territorio de la comunidad Nuevo Andoas. Batería Capahuari Sur.</t>
  </si>
  <si>
    <t>PTA200901</t>
  </si>
  <si>
    <t xml:space="preserve">Los registros muestran un tubo que bota una mezcla de agua de producción y crudo directamente a la quebrada Ushupayacu. Esta mezcla termina en la quebrada Capahuari. El video también muestra crudo saliendo del suelo. Cuando llueve, el crudo migra hacia riachuelos de agua dulce. </t>
  </si>
  <si>
    <t>La quebrada Ushupayacu.</t>
  </si>
  <si>
    <t>PEM201001</t>
  </si>
  <si>
    <t xml:space="preserve">La empresa no instaló barreras para evitar que el crudo fluya aguas abajo. </t>
  </si>
  <si>
    <t>Batería Capahuari sur, quebrada Ushupayacu. La población más cercana es Alianza Capahuari.</t>
  </si>
  <si>
    <t>Exon Molina, Roldan Cahuaza, David Chino, Telmo Arahuanaza, Juan José Butuna</t>
  </si>
  <si>
    <t>POE201202</t>
  </si>
  <si>
    <t>El crudo derramado afectó a la quebrada ubicada en la parte del fondo de Minicentral Eléctrica of Capahuari Sur. No se encuentra información detallada en el informe de OEFA. Miembros de FEDIQUEP participaron en la expedición de supervisión.</t>
  </si>
  <si>
    <t>En la Minicentral Eléctrica de Capahuari Sur.</t>
  </si>
  <si>
    <t>PJP201006</t>
  </si>
  <si>
    <t>derrame de diesel</t>
  </si>
  <si>
    <t>Un derrame de diésel afectó a un afluente del río Capahuari a través de la quebrada Ushupayacu. El incidente ocurrió en diciembre y una segunda visita en marzo evidenció la presencia de contaminación aún.</t>
  </si>
  <si>
    <t>Cerca de laboratorio Batería Capahuari sur, carretera principal km 4. La población más cercana es Alianza Capahuari.</t>
  </si>
  <si>
    <t xml:space="preserve">La remediación consistió en cubrir el área afectada con tierra. </t>
  </si>
  <si>
    <t>POE201203</t>
  </si>
  <si>
    <t>El sitio contaminado proviene de un Reporte Público 1470-2012 que identificó una gran cantidad de sitios impactados en el área del río Pastaza. En este caso hay evidencia que aún hay crudo en el suelo.</t>
  </si>
  <si>
    <t>Código CSUR09, en la Batería Capahuari Sur. Se ubica entre la zanja de drenaje de seguridad básica y el oleoducto.</t>
  </si>
  <si>
    <t>PEM200902</t>
  </si>
  <si>
    <t>Hay evidencia de un derrame antiguo. Hay barriles de metal y residuos botados. El video muestra un tubo que está botando agua producido en la parte alta de la quebrada Ushpayacu. Los monitores eran Exon, Juan José y Telmo.</t>
  </si>
  <si>
    <t>Batería Capahuari sur, Andoas, Lote 1.</t>
  </si>
  <si>
    <t>Exon Molina, Juan José Butana, Telmo</t>
  </si>
  <si>
    <t>PRD201411</t>
  </si>
  <si>
    <t xml:space="preserve">Hay distintos tipos de tubería botados en el bosque. </t>
  </si>
  <si>
    <t>carretera principal, km 17+200m. El sitio está a 30 m de la carretera.</t>
  </si>
  <si>
    <t>COE201342/PMO201303</t>
  </si>
  <si>
    <t>Es un sitio antiguo PAC que no ha sido remediado. En 1997/1998 había una cocha llena de hidrocarburos. Luego la empresa remedió la cocha. Por no haberlo hecho adecuadamente, la cocha se desapareció eventualmente. Aún hay crudo enterrado. El procedimiento administrativo proviene de un informe de supervisión que identificó sitios contaminados dentro del Lote 1AB/192. En este caso, el informe de OEFA indica que la empresa excedió el parámetro TPH con 119853 mg/kg en la ubicación SL-CPS2-J. Por ende, OEFA consideró que la empresa había incumplido con el acuerdo PAC, lo cual afirmaba que los niveles TPH tenían que estar por debajo de 30000 mg/kg. Eventualmente se archivó el procedimiento.</t>
  </si>
  <si>
    <t>Código: SL-CPS2-J. Se ubica en el oleoducto principal que va a Wayuri, Shiviyacu donde se juntan dos oleoductos, el de lado derecho va a Tambo (Batería Capahuari Sur) y el otro sigue recto.</t>
  </si>
  <si>
    <t>Martí Orta</t>
  </si>
  <si>
    <t>PEH201701</t>
  </si>
  <si>
    <t>En una nota escrita:''En dique primero entre parte este y oeste de la cocha.'' En la temporada de lluvías, el crudo sale y afecta a la cocha. Fluye hacia el río Pastaza. Las zonas de caza y pesca de Yanayaco de muchas comunidades están siendo afectadas.</t>
  </si>
  <si>
    <t>Colcha Ushupayacu (Shipilay), en territorio de la comunidad Alianza Capahuari.</t>
  </si>
  <si>
    <t>PAS201628</t>
  </si>
  <si>
    <t>01/08/2016</t>
  </si>
  <si>
    <t>Monitores de la etnía Quechua han visitado el área en los tiempos de Pluspetrol con varias instituciones estatales. Nada ha cambiado pero se ha hecho desaparecer la cocha y lo ha llenado con tierras nativas, etc. Hay tierra removida, contaminación y árboles talados. Hay crudo ocultado. El contaminante es deconocido y tiene un olor. La cocha desapareció en el tiempo de Pluspetrol. Una comunidad Quichua cerca al río Pastaza se ve afectada. El aguajal está visiblemente afectado. Aguas abajo está la quebrada Capahuari. Afecta al territorio de la comunidad Shippilay/Ullpayacu y las zonas de caza y pesca de otras comunidades.</t>
  </si>
  <si>
    <t>Quebrada capahuariyacu, en el territorio de la comunidad Nuevo Andoas, Batería Capahuari Sur.</t>
  </si>
  <si>
    <t>PAS201609</t>
  </si>
  <si>
    <t>29/04/2016</t>
  </si>
  <si>
    <t>La colcha Shippilay ha sido contaminada por crudo antiguo. Se sale el crudo cuando el monitor agita el fondo de la laguna con un palo. Actualmente, la cocha Shippilay se ha llenado con hidrocarburos, hay tierras removidas y contaminación visible. Afecta a las quebradas Capahuari y Shippilay y ambas fluyen hacia el río Pastaza. Afecta también a un aguajal y zonas de caza y pesca.</t>
  </si>
  <si>
    <t>En el territorio de la comunidad Los Jardines (Batería Capahuari Sur)</t>
  </si>
  <si>
    <t>PMO201301</t>
  </si>
  <si>
    <t>Hay crudo en el fondo de la laguna que viene de la cuenca alta de la quebrada Ushupayacu, donde las empresas han estado botando hidrocarburos y aguas de producción por muchos años. La zona ha sido designada para remediación según el PAC.</t>
  </si>
  <si>
    <t>quebrada Ushupayacu, Batería Capahuari sur, que fluye por la quebrada Shipilay y fluye hacia el río Pastaza. PAC código CAPS27.</t>
  </si>
  <si>
    <t>Martí Orta, Adam, Emily</t>
  </si>
  <si>
    <t>PMO201302</t>
  </si>
  <si>
    <t>Este sitio supuestamente ya ha sido remediado según el PAC (código CSUR27). Sin embargo, aún hay contaminación visible yendo aguas abajo. Por más de 30 años, el crudo se ha botado directamente al medioambiente.</t>
  </si>
  <si>
    <t>El crudo proviene de las quebradas Ushupayacu y Shipilay.</t>
  </si>
  <si>
    <t>PMO201305</t>
  </si>
  <si>
    <t xml:space="preserve">Una área grande inundada con crudo. </t>
  </si>
  <si>
    <t>Batería Capahuari sur, en el territorio de Alianza Capahuari. Se ubica cerca a la boca de la quebrada Capahuari, aguas abajo del punto de salida de aguas de producción en Capahuari Norte y Capahuari Sur.</t>
  </si>
  <si>
    <t>Martí Orta, Toni</t>
  </si>
  <si>
    <t>PAS201502</t>
  </si>
  <si>
    <t>17/09/2015</t>
  </si>
  <si>
    <t>Un oleoducto cerca de la base Andoas se ha roto. El tanque conteniendo crudo se rebalsó. El oleoducto era frágil. La empresa hizo una limpieza en el sitio.</t>
  </si>
  <si>
    <t>Base Andoas, en el territorio de la comunidad Nuevo Andoas.</t>
  </si>
  <si>
    <t>PJV201606</t>
  </si>
  <si>
    <t>14/05/2016</t>
  </si>
  <si>
    <t>Sitio contaminado antiguo que afecta al riachuelo Choyacu. Además, se afectó a una colpa</t>
  </si>
  <si>
    <t>En el territorio de la comunidad Alianza Capahuari, cerca de "Batería" Tambo x.</t>
  </si>
  <si>
    <t>POE201401/PRD201416</t>
  </si>
  <si>
    <t>Lista de emergencias ambientales, Informe OEFA</t>
  </si>
  <si>
    <t>El derrame de crudo se dio debido a la oxidación externa de tubería. Según la empresa, el área afectada abarca 150 m2. 15m3 de suelo contaminado fue retirado. El informe de OEFA indica que hay facilidades abandonadas, sin mantenimiento adecuado en el pozo Tambo Sur IX.</t>
  </si>
  <si>
    <t>el oleoducto proveniente de Tambo Sur, pozo 1X.</t>
  </si>
  <si>
    <t>Limpiar el área impactada.</t>
  </si>
  <si>
    <t>PRD201415</t>
  </si>
  <si>
    <t>El pozo fue abandonado en 1992 pero las instalaciones aún no han sido retiradas.</t>
  </si>
  <si>
    <t>Pozo 4 Tambo x.1x.</t>
  </si>
  <si>
    <t>COE201801.6/CRS201801</t>
  </si>
  <si>
    <t xml:space="preserve">Un derrame grande cerca a la carretera principal que conecta Andoas y Wayuri principal, km 34. El evento se dio en la comunidad de Nazareth, afectándola. Unos 1000 barriles fueron derramados al medio ambiente. El crudo ha corrido por el río Macusari por más de 80 km. El crudo pasó más allá de las comunidades Nueva Jerusalén y Sauki.  Dos meses después, las obras de remediación aún no han culminado y la contaminación por el crudo aún es visible en las orillas del río. </t>
  </si>
  <si>
    <t>Oleoducto Shiviyacu-Huayurí-Estación de Acopio-Capahuari Sur, km 34.</t>
  </si>
  <si>
    <t xml:space="preserve"> Roberto Sandi</t>
  </si>
  <si>
    <t>CSS20181</t>
  </si>
  <si>
    <t>Dorissa</t>
  </si>
  <si>
    <t>18/02/2018</t>
  </si>
  <si>
    <t>Derrame occurido en km 34, afecta quebra 20x20000</t>
  </si>
  <si>
    <t>km 34 oleoducto Huayari hacia Andoas</t>
  </si>
  <si>
    <t>229 4.0</t>
  </si>
  <si>
    <t>Saqueo Sandi</t>
  </si>
  <si>
    <t>Apu de Nazaret</t>
  </si>
  <si>
    <t>CSS20183</t>
  </si>
  <si>
    <t>ODK informe</t>
  </si>
  <si>
    <t>Peces muertos</t>
  </si>
  <si>
    <t>Peces muertos en la cocha, evidencia de crudo</t>
  </si>
  <si>
    <t>tubería  Dorissa-Andoas</t>
  </si>
  <si>
    <t>213 5.0</t>
  </si>
  <si>
    <t>CSS20182</t>
  </si>
  <si>
    <t>ducto</t>
  </si>
  <si>
    <t>Cocha contaminada con crudo, 20x250</t>
  </si>
  <si>
    <t>tubería Huayuri Andoas</t>
  </si>
  <si>
    <t>228 5.0</t>
  </si>
  <si>
    <t>CNS20231</t>
  </si>
  <si>
    <t>Fotos</t>
  </si>
  <si>
    <t>Forestal Shiviyacu Carmen Huayurí Huayurí Norte</t>
  </si>
  <si>
    <t>27/01/2023</t>
  </si>
  <si>
    <t>Afectación directa a cuerpo de agua (quebrada) y suelo. Peligro de contaminación por cercanía a CC.NN José Olaya, el agua de la quebrada llega a la CC.NN José Olaya y es utilizada por los pobladores. Crudo que sale del ducto</t>
  </si>
  <si>
    <t>Huayuri Carretera Principal km 48</t>
  </si>
  <si>
    <t>18M</t>
  </si>
  <si>
    <t>Natanael Sandi</t>
  </si>
  <si>
    <t>COP20231</t>
  </si>
  <si>
    <t>km 48, Parte de CC.NN. Nueva Jereusalen y parte de CC.NN. Jose Olaya.</t>
  </si>
  <si>
    <t>Oswaldo Paima</t>
  </si>
  <si>
    <t>CNS20216</t>
  </si>
  <si>
    <t>18/07/2021</t>
  </si>
  <si>
    <t>Derrame en tubería de el Carmen</t>
  </si>
  <si>
    <t>Tubería el Carmen</t>
  </si>
  <si>
    <t>CNS202110</t>
  </si>
  <si>
    <t>14/02/2021</t>
  </si>
  <si>
    <t>Derrame en el Carmen, area afectafa 57m2, afectación al suelo</t>
  </si>
  <si>
    <t>CAS201402; CES201402</t>
  </si>
  <si>
    <t>Pozos 1605 y 1607 en el área de la comunidad José Olaya.</t>
  </si>
  <si>
    <t xml:space="preserve"> Adán Sandi y Eval Salas</t>
  </si>
  <si>
    <t>CGS200706</t>
  </si>
  <si>
    <t xml:space="preserve">Los registros indican un derrame grande con más de 200 m2 de suelo contaminado, afectando bastante a la quebrada Timu Entsa y el río Corrientes. Por ende, una gran área de flora y suelo se ha encubierto con crudo. Las imágenes muestran que los trabajos de limpieza ya se habían iniciado cuando se registró el evento. Sin embargo, no se aprecia ninguna barrera de contención para impedir el flujo de crudo, indicando que no se había implementado un plan de contención en ese momento. Además, el video muestra varios barriles antiguos botados en el bosque. Finalmente, hay varios árboles que han sido talados en toda el área.  </t>
  </si>
  <si>
    <t>Batería Huayurí Norte.</t>
  </si>
  <si>
    <t xml:space="preserve"> Gevara Sandi Chimboras</t>
  </si>
  <si>
    <t xml:space="preserve">Comenzaron los trabajos de limpieza. Sin embargo, no está claro cuál fue el alcance de estos trabajos y si la zona se dejó completamente limpia. </t>
  </si>
  <si>
    <t>CJG20231</t>
  </si>
  <si>
    <t>18/02/2023</t>
  </si>
  <si>
    <t>Derrame en Huayuri norte</t>
  </si>
  <si>
    <t>CC.NN. Jose Olaya</t>
  </si>
  <si>
    <t>Javier García</t>
  </si>
  <si>
    <t>SC-0910-2023</t>
  </si>
  <si>
    <t>CNS20201</t>
  </si>
  <si>
    <t>Forestal, Shiviyacu, Carmen, Huayurí, Huayurí Norte</t>
  </si>
  <si>
    <t>15/01/2020</t>
  </si>
  <si>
    <t>320 metros cuadrados de afectación</t>
  </si>
  <si>
    <t>Carretera Huayuri Norte KM 2+500, comunidad cercana es José Olaya</t>
  </si>
  <si>
    <t>Las autoridades de José Olaya</t>
  </si>
  <si>
    <t>Plan de contingencia</t>
  </si>
  <si>
    <t>Han usado espuma para recojer el crudo</t>
  </si>
  <si>
    <t>CNS20196</t>
  </si>
  <si>
    <t>27/12/2019</t>
  </si>
  <si>
    <t>Contaminación de suelo,Trazas de crudo, 160m2 area afectada,</t>
  </si>
  <si>
    <t>KM 53 de la carretera, comunidad cercana José Olaya</t>
  </si>
  <si>
    <t>Natanael Sandi Chimboras</t>
  </si>
  <si>
    <t>Apu de José Olaya, representante de Frontera y representante de INMAC</t>
  </si>
  <si>
    <t>CNS20202</t>
  </si>
  <si>
    <t>31/07/2020</t>
  </si>
  <si>
    <t>29/06/2020</t>
  </si>
  <si>
    <t>Tanque de alamacenimiento que no estuvo bien cubierto y se ha estado llenando con agua de lluvia. Crudo se ha derramado y falta poco para que llegue a la quebrada.</t>
  </si>
  <si>
    <t>Huayurí</t>
  </si>
  <si>
    <t>CNS20229</t>
  </si>
  <si>
    <t>27/10/2022</t>
  </si>
  <si>
    <t>Derrame que brota de un tanque de la bateria Huayuri</t>
  </si>
  <si>
    <t>a 7km de la CC.NN. José Olaya</t>
  </si>
  <si>
    <t>SC-3262-2022</t>
  </si>
  <si>
    <t>CGS200809</t>
  </si>
  <si>
    <t>Fuga de tubería. El evento afecta a la quebrada Machupichu.</t>
  </si>
  <si>
    <t>Batería Huayurí.</t>
  </si>
  <si>
    <t>CNS202210</t>
  </si>
  <si>
    <t>Video</t>
  </si>
  <si>
    <t>30/10/2022</t>
  </si>
  <si>
    <t>Derrame en Huayuri, puede afectar a la CC.NN. Jose Olaya</t>
  </si>
  <si>
    <t>Bateria Huayuri, a 7km de la CC.NN. José Olaya</t>
  </si>
  <si>
    <t>CES201401; CAS201401</t>
  </si>
  <si>
    <t>Afectó a la comunidad José Olaya.</t>
  </si>
  <si>
    <t>Base Huayurí CN.</t>
  </si>
  <si>
    <t>Eval Salas y Adan Sandi</t>
  </si>
  <si>
    <t>CLP201503; CPP201503</t>
  </si>
  <si>
    <t>Lote 101</t>
  </si>
  <si>
    <t>Talisman</t>
  </si>
  <si>
    <t>Lodos de perforación dejados por la empresa Talisman.</t>
  </si>
  <si>
    <t>Lote 101.</t>
  </si>
  <si>
    <t xml:space="preserve"> Luis Piñola y Patricio Piñola</t>
  </si>
  <si>
    <t>CLP201504; CPP201504</t>
  </si>
  <si>
    <t xml:space="preserve">Contenedores antiguos enterrados y dejados por la empresa Talisman. </t>
  </si>
  <si>
    <t>el sitio del botadero se encontró dentro del territorio de la Comunidad San Cristóbal.</t>
  </si>
  <si>
    <t>Luis Piñola y Patricio Piñola</t>
  </si>
  <si>
    <t>CLP201501; CPP201501</t>
  </si>
  <si>
    <t xml:space="preserve">hay residuos industriales antiguos dejados por la empresa. </t>
  </si>
  <si>
    <t>CLP201502; CPP201502</t>
  </si>
  <si>
    <t>agua producida</t>
  </si>
  <si>
    <t xml:space="preserve">Aguas de producción saliendo del suelo por restos dejados por la empresa Talisman. </t>
  </si>
  <si>
    <t>CRAS200602</t>
  </si>
  <si>
    <t>El derrame afecta a la quebrada Manchari.</t>
  </si>
  <si>
    <t>Batería Carmen.</t>
  </si>
  <si>
    <t xml:space="preserve"> Ramon Salas</t>
  </si>
  <si>
    <t>COE201003.2/CNA201003</t>
  </si>
  <si>
    <t>El evento se dio en el depósito de diésel ubicado en Dorissa 12, que se desbordó. El contenido se derramó dentro del área de dique de contención.</t>
  </si>
  <si>
    <t>Tanque de diesel en Batería Dorissa 12. /Batería Dosrissa, tanque 10.</t>
  </si>
  <si>
    <t>CRAS200902</t>
  </si>
  <si>
    <t>Un oleoducto antiguo con una fuga que impactó a la quebrada pucacunga yacu.</t>
  </si>
  <si>
    <t>Batería Dorissa.</t>
  </si>
  <si>
    <t>CRS201802</t>
  </si>
  <si>
    <t>Es una expedición de OEFA.</t>
  </si>
  <si>
    <t>En el territorio de la comunidad Nueva Jerusalén.</t>
  </si>
  <si>
    <t>COE200908/CRAS200901</t>
  </si>
  <si>
    <t>La contaminación de una cocha debido a un derrame de crudo en el pozo Dorissa 15 resultó en un procedimiento administrativo. Este procedimiento acusó a la empresa de 4 infracciones: 1) abandonando el sump tank del pozo Dorissa 15; 2) no entregar el informe preliminar de derrame; 3) no entregar el informe final del derrame; 4) no remediar ni limpiar la cocha afectada por el derrame inmediatamente despues del evento. Al final, el procedimiento fue archivado en su totalidad por la resolución directoral. Para las infracciones 1, 2 y3, la resolución consideraba que no eran de jurisdicción de OEFA. Para la 4ta infracción, la resolución se determinó que no se ha configurado ilícito administrativo alguno.</t>
  </si>
  <si>
    <t>Batería Dorissa, Pozo 15.</t>
  </si>
  <si>
    <t>CRAS200903</t>
  </si>
  <si>
    <t>El derrame afectó a la Isla Jibaro y el río Corrientes.</t>
  </si>
  <si>
    <t>CRS201601</t>
  </si>
  <si>
    <t>08/11/2016</t>
  </si>
  <si>
    <t>Hay crudo almacenado desde el tiempo de PlusPetrol en 2013 (hace 3-4 años), lo cual llega a 2 metros de profundidad. Está afectando a la fauna, flora y la comunidad Jerusalén. Las áreas afectadas incluyen el río Chuu entsa, las zonas de caza y pesca de Jerusalén, hungurahuis, etc.</t>
  </si>
  <si>
    <t>en los pozos petroleros 1x, 02, 03, km 19, carretera Dorissa.</t>
  </si>
  <si>
    <t>CRS201701</t>
  </si>
  <si>
    <t>pozos 02, 03 y 04- km 19, Batería Dorissa.</t>
  </si>
  <si>
    <t>CSS20231</t>
  </si>
  <si>
    <t>Derrame del sump tank del Pozo 9 Dorissa afectando 25 m Largo Ancho 5 m Comunidad Nueva Jerusalén</t>
  </si>
  <si>
    <t>Sump Tank del Pozo 9 Dorissa</t>
  </si>
  <si>
    <t>SC-3755-2023</t>
  </si>
  <si>
    <t>CSS20224</t>
  </si>
  <si>
    <t>22/11/2022</t>
  </si>
  <si>
    <t>Derrame en el tanque sumidero - pozo 9, 24x 5 metros de área impactada</t>
  </si>
  <si>
    <t>A 1 hora en moto de la comunidad Nueva Jerusalen</t>
  </si>
  <si>
    <t>CRAS201002</t>
  </si>
  <si>
    <t xml:space="preserve">La empresa está remediando la zona. </t>
  </si>
  <si>
    <t>CRS201803</t>
  </si>
  <si>
    <r>
      <rPr>
        <rFont val="Calibri"/>
        <color rgb="FF000000"/>
        <sz val="10.0"/>
      </rPr>
      <t xml:space="preserve">Derrame de petróleo debido al desborde de los pozos 9 y 7 en la Batería Dorissa. </t>
    </r>
    <r>
      <rPr>
        <rFont val="Calibri"/>
        <color rgb="FFFF0000"/>
        <sz val="10.0"/>
      </rPr>
      <t>Afectó</t>
    </r>
    <r>
      <rPr>
        <rFont val="Calibri"/>
        <color rgb="FF000000"/>
        <sz val="10.0"/>
      </rPr>
      <t xml:space="preserve"> a la comunidad Nueva Jersualén. Es una expedición de OEFA.</t>
    </r>
  </si>
  <si>
    <t>Pozos 9 y 7 de la Batería Dorissa.</t>
  </si>
  <si>
    <t>C20201</t>
  </si>
  <si>
    <t>17/02/2020</t>
  </si>
  <si>
    <t>Derrame de hidrocarburos en yacimiento Dorissa, pozo 13</t>
  </si>
  <si>
    <t>Pozo cerrado #13 de yacimiento Dorissa</t>
  </si>
  <si>
    <t>CRS201805</t>
  </si>
  <si>
    <r>
      <rPr>
        <rFont val="Calibri"/>
        <color rgb="FFFF0000"/>
        <sz val="10.0"/>
      </rPr>
      <t>Afectó</t>
    </r>
    <r>
      <rPr>
        <rFont val="Calibri"/>
        <color rgb="FF000000"/>
        <sz val="10.0"/>
      </rPr>
      <t xml:space="preserve"> a la comunidad Nueva Jersualén. Es una expedición de OEFA.</t>
    </r>
  </si>
  <si>
    <t>Cerca de la Plátaforma del pozo 18, en Batería Dorissa.</t>
  </si>
  <si>
    <t>COE200702.2/CRAS200703</t>
  </si>
  <si>
    <t>13/05/2007 14/05/2007</t>
  </si>
  <si>
    <t>Se ocurrió dentro de las instalaciones de la batería Dorissa 17 debido a la alta presión. Afectó a los suelos naturales y la quebrada Chu entsa.</t>
  </si>
  <si>
    <t>Batería Dorissa 14.</t>
  </si>
  <si>
    <t>CRS201804</t>
  </si>
  <si>
    <r>
      <rPr>
        <rFont val="Calibri"/>
        <color rgb="FFFF0000"/>
        <sz val="10.0"/>
      </rPr>
      <t xml:space="preserve">Afectó </t>
    </r>
    <r>
      <rPr>
        <rFont val="Calibri"/>
        <color rgb="FF000000"/>
        <sz val="10.0"/>
      </rPr>
      <t>a la comunidad Nueva Jersualén. Es una expedición de OEFA.</t>
    </r>
  </si>
  <si>
    <t>Cerca del pozo 20 (inoperativo), en la Batería Dorissa.</t>
  </si>
  <si>
    <t>CNJ20201</t>
  </si>
  <si>
    <t>27/09/2020</t>
  </si>
  <si>
    <t>Derrame de agua de producción</t>
  </si>
  <si>
    <t>Hueco en tubería, derrame de agua de producción cerca de pozo 12-01 de Dorissa</t>
  </si>
  <si>
    <t>Pozo 12-01 Dorissa</t>
  </si>
  <si>
    <t>Nuevo jerusalén</t>
  </si>
  <si>
    <t>COE201003.5/CWS201001</t>
  </si>
  <si>
    <t>El derrame de crudo se dio debido a la oxidación de tubería. Afectó a la quebrada Pucacuro.</t>
  </si>
  <si>
    <t>Pozo D-17/Batería Dorissa.</t>
  </si>
  <si>
    <t xml:space="preserve"> Wilson Sandi</t>
  </si>
  <si>
    <t>COE201003.8/CWS201002</t>
  </si>
  <si>
    <t>28/10/2010 30/10/2010</t>
  </si>
  <si>
    <t>El derrame de crudo occurió debido a una tubería rota. El crudo derramado salió por una superficie desnivelada y se quedó atrapado en una zona de suelo arcilloso.</t>
  </si>
  <si>
    <t>Línea de flujo del pozo Dorissa 18./ Batería Dorissa.</t>
  </si>
  <si>
    <t>CAS201703</t>
  </si>
  <si>
    <t>Afectó a la quebrada Manchari  y también las áreas de caza y pesca de Jose Olaya. Se encontraron algunos animales y peces muertos. Superficie afectada= 12m x 750 m.</t>
  </si>
  <si>
    <t>En el Km 70, Batería Shiviyacu, cerca de Quebrada Manchari.</t>
  </si>
  <si>
    <t xml:space="preserve"> Adan Sandi</t>
  </si>
  <si>
    <t>CRS201605</t>
  </si>
  <si>
    <t>fuga</t>
  </si>
  <si>
    <t xml:space="preserve">El derrame afectó a la orilla de Pucacuyacu en el territorio de la comunidad Nueva Jerusalén. </t>
  </si>
  <si>
    <t>Batería Dorissa, km 16.</t>
  </si>
  <si>
    <t>CRS201604</t>
  </si>
  <si>
    <t>El derrame afectó a la orilla de Pucacuyacu en el territorio de la comunidad Nueva Jerusalén.</t>
  </si>
  <si>
    <t>Batería Dorissa, Km 16.</t>
  </si>
  <si>
    <t>CRS201807</t>
  </si>
  <si>
    <t>Es una expedición de supervisión de OEFA.</t>
  </si>
  <si>
    <t>En territorio de la comunidad Nueva Jerusalén.</t>
  </si>
  <si>
    <t>CAS201101</t>
  </si>
  <si>
    <t>Afectó a la zona de pesca y caza de las comunidad José Olaya y  Huayurí Norte; también afectó a la quebrada Timo entsa.</t>
  </si>
  <si>
    <t>En el pozo 1x km 3 Huayuri Norte.</t>
  </si>
  <si>
    <t xml:space="preserve"> Adán Sandi</t>
  </si>
  <si>
    <t>CGS200811</t>
  </si>
  <si>
    <t xml:space="preserve">Crudo derramado de un camión. </t>
  </si>
  <si>
    <t>CES201702</t>
  </si>
  <si>
    <t xml:space="preserve"> Eval Salas</t>
  </si>
  <si>
    <t>CFS201704</t>
  </si>
  <si>
    <t>Los monitores ambientales informaron que el evento había afectado al medioambiente, encontrando peces muertas. El sitio aún no había sido remediado.</t>
  </si>
  <si>
    <t>Pozo 18, km 5. Batería Shiviyacu.</t>
  </si>
  <si>
    <t xml:space="preserve"> Adán Sandi, Abel Nango Piñola</t>
  </si>
  <si>
    <t>CRS201806</t>
  </si>
  <si>
    <r>
      <rPr>
        <rFont val="Calibri"/>
        <color rgb="FF000000"/>
        <sz val="10.0"/>
      </rPr>
      <t>Un</t>
    </r>
    <r>
      <rPr>
        <rFont val="Calibri"/>
        <color rgb="FFFF0000"/>
        <sz val="10.0"/>
      </rPr>
      <t xml:space="preserve"> oleoducto</t>
    </r>
    <r>
      <rPr>
        <rFont val="Calibri"/>
        <color rgb="FF000000"/>
        <sz val="10.0"/>
      </rPr>
      <t xml:space="preserve"> abandonado. Es una expedición de OEFA.</t>
    </r>
  </si>
  <si>
    <t>CSS201901</t>
  </si>
  <si>
    <t>14/05/2019</t>
  </si>
  <si>
    <t>Derrame Nuevo carretera Km 11 Dorissa a. Huayuri, afecta quebrada Libre</t>
  </si>
  <si>
    <t>Nueva Jerusalén</t>
  </si>
  <si>
    <t>277 5.0</t>
  </si>
  <si>
    <t>Segundo Felipe Omar</t>
  </si>
  <si>
    <t>CGS200812</t>
  </si>
  <si>
    <t>Fuga de tubería.</t>
  </si>
  <si>
    <t>Batería Shiviyacu.</t>
  </si>
  <si>
    <t>CNS20213</t>
  </si>
  <si>
    <t>Derrames dejados por Frontera en Forestal; quebrada contaminada</t>
  </si>
  <si>
    <t>Forestal, José Olaya</t>
  </si>
  <si>
    <t>CNS20215</t>
  </si>
  <si>
    <t>Derrames dejados por Frontera en Forestal; suelo contaminado al lado de carretera</t>
  </si>
  <si>
    <t>CNS20228</t>
  </si>
  <si>
    <t>15/03/2021</t>
  </si>
  <si>
    <t>La primera vez que identificaron el derrame, cuando estaba Frontera Energy, la empresa no lo había reportado, y las comunidades no saben en que fecha ocurrió. Frontera Energy realiza una limpieza, no muy buena, pero el 15 de marzo del 2021 otra vez vuelve a ocurrir un incidente en el mismo lugar, y desde esa fecha no se atiende el derrame que sale del Yacimiento Pozo 10.</t>
  </si>
  <si>
    <t>Shiíyacu 12km + 25 km de la comunidad. Hay carretera de José Olaya a Shiviyacu, y también hay carretera hasta el Yacimiento pozo 10 que está contaminado.</t>
  </si>
  <si>
    <t>CNS20212</t>
  </si>
  <si>
    <t>Derrames dejados por Frontera en Forestal; suelo contaminado</t>
  </si>
  <si>
    <t>CNS20214</t>
  </si>
  <si>
    <t>Derrames dejados por Frontera en Forestal; Pozo con piscina de crudo al lado</t>
  </si>
  <si>
    <t>CNS20195</t>
  </si>
  <si>
    <t>18/12/2019</t>
  </si>
  <si>
    <r>
      <rPr>
        <rFont val="Calibri"/>
        <color rgb="FFFF0000"/>
        <sz val="10.0"/>
      </rPr>
      <t>Tanque sumidero</t>
    </r>
    <r>
      <rPr>
        <rFont val="Calibri"/>
        <color theme="1"/>
        <sz val="10.0"/>
      </rPr>
      <t>, area afectada 50m2, contaminación de suelo y agua,</t>
    </r>
  </si>
  <si>
    <t>Pozo 5 de Forestal, comunidad José Olaya</t>
  </si>
  <si>
    <t>Ingeniero de TEMA</t>
  </si>
  <si>
    <t>CSS201605</t>
  </si>
  <si>
    <t>01/09/2016</t>
  </si>
  <si>
    <t>Aún hay crudo antiguo en el suelo y llega a tres metros de profundidad. Este evento se dio en los tiempos de Oxy</t>
  </si>
  <si>
    <t>Pozo 15, cerca del km 19 de carretera. Cerca de "Esteban Cocha".</t>
  </si>
  <si>
    <t xml:space="preserve"> Saqueo Sandi</t>
  </si>
  <si>
    <t>CNS202211</t>
  </si>
  <si>
    <t>28/11/2022</t>
  </si>
  <si>
    <t>26/11/2022</t>
  </si>
  <si>
    <t>Nueva ruptura en el Tanque 591 de la Batería Forestal provoca nuevo derrame. El crudo no deja de salir y continúa esparciéndose</t>
  </si>
  <si>
    <t>Tanque 591, Bateria Forestal, territorio de la CC.NN. Jose Olaya</t>
  </si>
  <si>
    <t>SC-3635-2022</t>
  </si>
  <si>
    <t>CNS20233</t>
  </si>
  <si>
    <t>26/02/2023</t>
  </si>
  <si>
    <t>25/02/2023</t>
  </si>
  <si>
    <t>Derrame en Bateria Forestal, tubería de 6 pulgadas</t>
  </si>
  <si>
    <t>SC-1059-2023</t>
  </si>
  <si>
    <t>CIC201002</t>
  </si>
  <si>
    <t xml:space="preserve"> Israel Chuje</t>
  </si>
  <si>
    <t>CNS20193</t>
  </si>
  <si>
    <t>17/12/2019</t>
  </si>
  <si>
    <t>Occidental Petroleum Corporation (OXY)</t>
  </si>
  <si>
    <t>Residuos solidos - latas, fierros, bidones</t>
  </si>
  <si>
    <t>Forestal, comunidad José Olaya</t>
  </si>
  <si>
    <t>CNS20194</t>
  </si>
  <si>
    <t>Area afectada 82m2, Latas,Fierros,Baterías,Tubos,Plasticos</t>
  </si>
  <si>
    <t>BOE FORE 03 comunidad cercana José olaya</t>
  </si>
  <si>
    <t>Acompañado por dos trabajadores de la empresa</t>
  </si>
  <si>
    <t>COE201542.5</t>
  </si>
  <si>
    <t>21/09/2015</t>
  </si>
  <si>
    <t>Apu de la Comunidad Nativa Nueva Jerusalem: Nicolas Sandi</t>
  </si>
  <si>
    <t>COE201502</t>
  </si>
  <si>
    <t>Un derrame de un pozo.</t>
  </si>
  <si>
    <t>Batería Forestal.</t>
  </si>
  <si>
    <t>CRAS200601</t>
  </si>
  <si>
    <t>Este evento se dio en 2003.</t>
  </si>
  <si>
    <t>COE201402</t>
  </si>
  <si>
    <t>Ocurrió cerca de la vía Jerusalén a Jibarito, alrededor del km 19.</t>
  </si>
  <si>
    <t>CAS201615</t>
  </si>
  <si>
    <t xml:space="preserve">El derrame se dio debido a la alta presión. Se demoraron 20 días en hacer la limpieza con 12 trabajadores. </t>
  </si>
  <si>
    <t>Pozo 6. Ocurrió a unos 200 metros de la vía Shiviyacu-Forestal, en el km 3,5.</t>
  </si>
  <si>
    <t xml:space="preserve"> Eval Salas and Adan Sandi</t>
  </si>
  <si>
    <t>COE201542.4</t>
  </si>
  <si>
    <t>19/08/2015</t>
  </si>
  <si>
    <t xml:space="preserve"> Apu de la Comunidad Nativa José Olaya: Abel Nango</t>
  </si>
  <si>
    <t>COE201405</t>
  </si>
  <si>
    <t>Actas administrativas, Lista de emergencias ambientales, Informe OEFA</t>
  </si>
  <si>
    <t>04/05/2014 01/05/2014</t>
  </si>
  <si>
    <t xml:space="preserve">El evento tuvo un impacto significativo en la quebrada Peñayacu. </t>
  </si>
  <si>
    <t>En la carretera principal Huayuri-Jibarito, Km 19+100, en Yacimiento Jibarito. Carretera Jerusalén a Jibarito, km 19.</t>
  </si>
  <si>
    <t>COE201705/CAS201705</t>
  </si>
  <si>
    <t>El evento afectó a la comunidad José Olaya.</t>
  </si>
  <si>
    <t xml:space="preserve">Floyente de machari, Tanque de sumidero del pozo 19, en bateria Shiviyacu. Carretera de Bateria Shiviyacu a Bateria Forestal, en el km 1. Afectó el territorio de la comunidad José Olaya. </t>
  </si>
  <si>
    <t>Limpieza de la zona afectada.</t>
  </si>
  <si>
    <t>COE200702.1/CGS200703</t>
  </si>
  <si>
    <t>21/03/2007 04/04/2007</t>
  </si>
  <si>
    <t>El evento ocurrió debido a la oxidación externa del oleoducto. Afectó a un riachuelo. El área afectada abarca 150m2 de superficie con flora y 200m de un canal natural.</t>
  </si>
  <si>
    <t>Batería Shiviyacu. En el km 6+800 de la carretera Shiviyacu-Forestal (a la entrada al pozo Shiv-27).</t>
  </si>
  <si>
    <t>Según el informe, la zona quedó limpia, pero no hay información sobre los medios utilizados para conseguirlo ni sobre cuántos barriles se recuperaron.</t>
  </si>
  <si>
    <t>CIC201003</t>
  </si>
  <si>
    <t>Colcha contaminada.</t>
  </si>
  <si>
    <t>COE201704/CAS201704</t>
  </si>
  <si>
    <t>20/05/2017 19/05/2017</t>
  </si>
  <si>
    <t xml:space="preserve">Afectó a la quebrada Huasay y las zonas de caza y pesca de Huasay y Olaya. Se encontraron peces muertos. </t>
  </si>
  <si>
    <r>
      <rPr>
        <rFont val="Calibri"/>
        <color theme="1"/>
        <sz val="10.0"/>
      </rPr>
      <t xml:space="preserve">Pozo 6 de Batería Shiviyacu </t>
    </r>
    <r>
      <rPr>
        <rFont val="Calibri"/>
        <color rgb="FFFF0000"/>
        <sz val="10.0"/>
      </rPr>
      <t>y Forestal, por el km 5, en territorio de la comunidad José Olaya.</t>
    </r>
  </si>
  <si>
    <t>CGS200704</t>
  </si>
  <si>
    <t>CAS201610</t>
  </si>
  <si>
    <t>Información de un cuaderno. No. 280</t>
  </si>
  <si>
    <t>TTX20211</t>
  </si>
  <si>
    <t>San Jacinto &amp; 1A</t>
  </si>
  <si>
    <t>14/01/2021</t>
  </si>
  <si>
    <t>Derrame de sump tank de batería 1A cerca de 12 de Octubre</t>
  </si>
  <si>
    <t>1A, Doce de Octubre</t>
  </si>
  <si>
    <t>Tom</t>
  </si>
  <si>
    <t>CAS201609</t>
  </si>
  <si>
    <t>Información de un cuaderno. No. 279</t>
  </si>
  <si>
    <t>CAS201608</t>
  </si>
  <si>
    <t>Información de un cuaderno.No. 278.</t>
  </si>
  <si>
    <t>CAS201611</t>
  </si>
  <si>
    <t>Información de un cuaderno. No. 281.</t>
  </si>
  <si>
    <t>CAS201607</t>
  </si>
  <si>
    <t>Información de un cuaderno. No. 277.</t>
  </si>
  <si>
    <t>CAS201612</t>
  </si>
  <si>
    <t>Información de un cuaderno. No. 282</t>
  </si>
  <si>
    <t>CAS201613</t>
  </si>
  <si>
    <t>Información de un cuaderno. No. 283</t>
  </si>
  <si>
    <t>CAS201606</t>
  </si>
  <si>
    <t>Información de un cuaderno. No. 276.</t>
  </si>
  <si>
    <t>CAS201605</t>
  </si>
  <si>
    <t>Información de un cuaderno. No. 275.</t>
  </si>
  <si>
    <t>CAS201604</t>
  </si>
  <si>
    <t>Información de un cuaderno. No. 274.</t>
  </si>
  <si>
    <t>CAS201618</t>
  </si>
  <si>
    <t>Información de un cuaderno. No. 289</t>
  </si>
  <si>
    <t>CAS201617</t>
  </si>
  <si>
    <t>Información de un cuaderno. No. 288</t>
  </si>
  <si>
    <t>CAS201619</t>
  </si>
  <si>
    <t>Información de un cuaderno. No. 290</t>
  </si>
  <si>
    <t>CAS201616</t>
  </si>
  <si>
    <t>Información de un cuaderno. No. 287</t>
  </si>
  <si>
    <t>CAS201620</t>
  </si>
  <si>
    <t>Información de un cuaderno. No. 291</t>
  </si>
  <si>
    <t>CAS201614</t>
  </si>
  <si>
    <t>Información de un cuaderno. No. 286</t>
  </si>
  <si>
    <t>CNS20192</t>
  </si>
  <si>
    <t>Derrame de agua de formación</t>
  </si>
  <si>
    <t>Charco de agua, no está claro de donde proviene</t>
  </si>
  <si>
    <t>CNS20191</t>
  </si>
  <si>
    <t>Trazas de crudo en suelo y agua</t>
  </si>
  <si>
    <t>CWH20192</t>
  </si>
  <si>
    <t>Jibarito</t>
  </si>
  <si>
    <t>19/05/2019</t>
  </si>
  <si>
    <t>Quiebra en la tubería, el derrame ocurrió sobre una pendiente que se precipita varios metros hasta llegar a una quebrada. La tierra arcillosa cavada presenta evidencias de haberse mezclado con petróleo</t>
  </si>
  <si>
    <t>Isla Jíbaro, Antioquía</t>
  </si>
  <si>
    <t>Watman Hualinga</t>
  </si>
  <si>
    <t>Apu Tomás Hualinga</t>
  </si>
  <si>
    <t>El petróleo fue recogido y colocado en bolsas. Plan de contingencia</t>
  </si>
  <si>
    <t>CRP201001</t>
  </si>
  <si>
    <t>Afectó a un aguajal.</t>
  </si>
  <si>
    <t>Batería Jibarito.</t>
  </si>
  <si>
    <t xml:space="preserve"> Raul Paima.</t>
  </si>
  <si>
    <t>CWH20196</t>
  </si>
  <si>
    <t>26/11/2019</t>
  </si>
  <si>
    <t>Derrame grande que contamina al río Corrientes, afectando varias comunidades rio abajo como Pampa Hermosa, Pucacuro, hasta Lote 8. Información de OEFA menciona que fue en tubo hacia batería Jibarito, y estiman o 23,353 o 75,544 barriles derramados de crudo mezclado con agua de producción.</t>
  </si>
  <si>
    <t>Batería jibarito</t>
  </si>
  <si>
    <t>COE200907.1/CJV200901</t>
  </si>
  <si>
    <t>12/09/2009 14/09/2009</t>
  </si>
  <si>
    <t>El derrame se produjo por una antigua mordaza de hierro. Afecta a la isla Jibarito.</t>
  </si>
  <si>
    <t>Batería Jibarito (Sección 9 de la línea principal 8'' en los pozos de Isla Jíbarito).</t>
  </si>
  <si>
    <t xml:space="preserve"> José Vilchez</t>
  </si>
  <si>
    <t>CJV201001</t>
  </si>
  <si>
    <t xml:space="preserve"> Afecta a la isla Jibaro y el río Corrientes. </t>
  </si>
  <si>
    <t>CWH20191</t>
  </si>
  <si>
    <t>Derrame de Sump Tank en plátaforma HPS de Jibaro Isla. Según OEFA, se derramaron 920.823 barriles de agua de reinyección conteniendo trazas de crudo.  Afecta la quebrada Pumayacu (7km), y Hugococha. Crudo en sedimentos submergido en el agua, aflora cuando se remueve los sedimentos.</t>
  </si>
  <si>
    <t>Cerca de Jibarito, Antioquia</t>
  </si>
  <si>
    <t>CEH200702</t>
  </si>
  <si>
    <t>Batería Jibarito</t>
  </si>
  <si>
    <t xml:space="preserve"> Eliseo Hualinga</t>
  </si>
  <si>
    <t>CWH20194</t>
  </si>
  <si>
    <t>Bidones</t>
  </si>
  <si>
    <t>COE201003.3/CRP201002</t>
  </si>
  <si>
    <t>11/05/2010 13/05/2010</t>
  </si>
  <si>
    <t>Se detectó cuando el operador encargado encontró crudo saliendo del antorcha.</t>
  </si>
  <si>
    <t>CBM20231</t>
  </si>
  <si>
    <t>25/01/2023</t>
  </si>
  <si>
    <t>72.87m², contaminación de suelo</t>
  </si>
  <si>
    <t>CC.NN. Antioquia</t>
  </si>
  <si>
    <t>Bernabel Maynas</t>
  </si>
  <si>
    <t>SC-0608-2023</t>
  </si>
  <si>
    <t>CTW201602</t>
  </si>
  <si>
    <t>01/05/2016</t>
  </si>
  <si>
    <t>Afecta al riachuelo de Pungacungayacu que fluye hacia el río Corrientes.</t>
  </si>
  <si>
    <t xml:space="preserve"> Tiroteo Washikiat</t>
  </si>
  <si>
    <t>COE200903/CJC200901</t>
  </si>
  <si>
    <t>Un derrame de bastante crudo afectó a la quebrada Pucakungayacu, quebrada Tseku entsa y el río Corrientes. Se dio debido a la oxidación externa de un tubo enterrado proveniente de la Batería Jibarito. Según el informe, la inversión en medidas preventivas para proteger contra posibles derrames era insuficiente.</t>
  </si>
  <si>
    <t>Batería Jibarito, pozo 9.</t>
  </si>
  <si>
    <t xml:space="preserve"> José Chimboras Maynas</t>
  </si>
  <si>
    <t>CJC200602</t>
  </si>
  <si>
    <t>El evento afectó a la quebrada Paniyacu Grande.</t>
  </si>
  <si>
    <t>CNA201007</t>
  </si>
  <si>
    <t>El derrame está afectando a la quebrada Tseku entsa, Pucacunga yacu y río Corrientes.</t>
  </si>
  <si>
    <t>COE201003.6/CJV201003</t>
  </si>
  <si>
    <t xml:space="preserve">El evento afectó a la quebrada Paña Yacu. Una gran cantidad de crudo fue derramada, impactando a la colcha aledaña y la zona aledaña. </t>
  </si>
  <si>
    <t>Línea de producción de pozos 1101,1102, 10 y 13 (secciones no. 49)</t>
  </si>
  <si>
    <t>CJV201501</t>
  </si>
  <si>
    <t>Isla Jibarito</t>
  </si>
  <si>
    <t xml:space="preserve"> Jefferson Vilchez</t>
  </si>
  <si>
    <t>PAS201023</t>
  </si>
  <si>
    <t xml:space="preserve">Tubería antigua abandonada en el bosque. </t>
  </si>
  <si>
    <t>PAS201022</t>
  </si>
  <si>
    <t>PAS201018</t>
  </si>
  <si>
    <t>barriles y otros materiales abandonados.</t>
  </si>
  <si>
    <t>PAS201017</t>
  </si>
  <si>
    <t>Una gran cantidad de tubos abandonados.</t>
  </si>
  <si>
    <t>TVS20181</t>
  </si>
  <si>
    <r>
      <rPr>
        <rFont val="Calibri"/>
        <color theme="1"/>
        <sz val="10.0"/>
      </rPr>
      <t>San Jacinto</t>
    </r>
    <r>
      <rPr>
        <rFont val="Calibri"/>
        <color rgb="FFFF0000"/>
        <sz val="10.0"/>
      </rPr>
      <t xml:space="preserve"> &amp; 1A</t>
    </r>
  </si>
  <si>
    <r>
      <rPr>
        <rFont val="Calibri"/>
        <color theme="1"/>
        <sz val="10.0"/>
      </rPr>
      <t xml:space="preserve">Se hizo un hueco para almacenar el derrame </t>
    </r>
    <r>
      <rPr>
        <rFont val="Calibri"/>
        <color rgb="FFFF0000"/>
        <sz val="10.0"/>
      </rPr>
      <t>que</t>
    </r>
    <r>
      <rPr>
        <rFont val="Calibri"/>
        <color theme="1"/>
        <sz val="10.0"/>
      </rPr>
      <t xml:space="preserve"> hacen los pozos como el viento pozo 6</t>
    </r>
  </si>
  <si>
    <t>Pozo 6, 12 de Octubre</t>
  </si>
  <si>
    <t>Venancio Sandi</t>
  </si>
  <si>
    <t>Monitores 12 de Octubre y OEFA</t>
  </si>
  <si>
    <t>TVS20182</t>
  </si>
  <si>
    <r>
      <rPr>
        <rFont val="Calibri"/>
        <color theme="1"/>
        <sz val="10.0"/>
      </rPr>
      <t>San Jacinto</t>
    </r>
    <r>
      <rPr>
        <rFont val="Calibri"/>
        <color rgb="FFFF0000"/>
        <sz val="10.0"/>
      </rPr>
      <t xml:space="preserve"> &amp; 1A</t>
    </r>
  </si>
  <si>
    <t>En este sitio se encuentra chatarra, como cajas de maquinas pesadas, aluminio, etc. Area afectada 40x35 metros</t>
  </si>
  <si>
    <t>Batería San Jacinto</t>
  </si>
  <si>
    <t>Monitores 12 de Octubre</t>
  </si>
  <si>
    <t>TJG201938</t>
  </si>
  <si>
    <r>
      <rPr>
        <rFont val="Calibri"/>
        <color theme="1"/>
        <sz val="10.0"/>
      </rPr>
      <t xml:space="preserve">San Jacinto </t>
    </r>
    <r>
      <rPr>
        <rFont val="Calibri"/>
        <color rgb="FFFF0000"/>
        <sz val="10.0"/>
      </rPr>
      <t>&amp; 1A</t>
    </r>
  </si>
  <si>
    <t>Suelo con petroleo</t>
  </si>
  <si>
    <t>TJG201937</t>
  </si>
  <si>
    <r>
      <rPr>
        <rFont val="Calibri"/>
        <color theme="1"/>
        <sz val="10.0"/>
      </rPr>
      <t xml:space="preserve">San Jacinto </t>
    </r>
    <r>
      <rPr>
        <rFont val="Calibri"/>
        <color rgb="FFFF0000"/>
        <sz val="10.0"/>
      </rPr>
      <t>&amp; 1A</t>
    </r>
  </si>
  <si>
    <t>TJG201939</t>
  </si>
  <si>
    <r>
      <rPr>
        <rFont val="Calibri"/>
        <color theme="1"/>
        <sz val="10.0"/>
      </rPr>
      <t xml:space="preserve">San Jacinto </t>
    </r>
    <r>
      <rPr>
        <rFont val="Calibri"/>
        <color rgb="FFFF0000"/>
        <sz val="10.0"/>
      </rPr>
      <t>&amp; 1A</t>
    </r>
  </si>
  <si>
    <t>Lago contaminado</t>
  </si>
  <si>
    <t>TJG201941</t>
  </si>
  <si>
    <r>
      <rPr>
        <rFont val="Calibri"/>
        <color theme="1"/>
        <sz val="10.0"/>
      </rPr>
      <t xml:space="preserve">San Jacinto </t>
    </r>
    <r>
      <rPr>
        <rFont val="Calibri"/>
        <color rgb="FFFF0000"/>
        <sz val="10.0"/>
      </rPr>
      <t>&amp; 1A</t>
    </r>
  </si>
  <si>
    <t>THI20211</t>
  </si>
  <si>
    <t>14/11/2021</t>
  </si>
  <si>
    <t>Pozo 24 de San Jacinto. Derrame que sale del Cabezal de Pozo cada vez que hace mucho sol, derrame en el Sumptank de Pozo 24 y se llena. Ya se han reportado derrames anteriores, y ya se estaba realizando un trabajo de limpieza y contingencia en el mismo lugar.</t>
  </si>
  <si>
    <t>Pozo 24 San Jacinto</t>
  </si>
  <si>
    <t>Hector Isuiza</t>
  </si>
  <si>
    <t>TJG201943</t>
  </si>
  <si>
    <r>
      <rPr>
        <rFont val="Calibri"/>
        <color theme="1"/>
        <sz val="10.0"/>
      </rPr>
      <t xml:space="preserve">San Jacinto </t>
    </r>
    <r>
      <rPr>
        <rFont val="Calibri"/>
        <color rgb="FFFF0000"/>
        <sz val="10.0"/>
      </rPr>
      <t>&amp; 1A</t>
    </r>
  </si>
  <si>
    <t>Lodo con petroleo crudo</t>
  </si>
  <si>
    <t>TJG201942</t>
  </si>
  <si>
    <r>
      <rPr>
        <rFont val="Calibri"/>
        <color theme="1"/>
        <sz val="10.0"/>
      </rPr>
      <t xml:space="preserve">San Jacinto </t>
    </r>
    <r>
      <rPr>
        <rFont val="Calibri"/>
        <color rgb="FFFF0000"/>
        <sz val="10.0"/>
      </rPr>
      <t>&amp; 1A</t>
    </r>
  </si>
  <si>
    <t>Hojarasca y tierra con petroleo</t>
  </si>
  <si>
    <t>TJG201960</t>
  </si>
  <si>
    <r>
      <rPr>
        <rFont val="Calibri"/>
        <color theme="1"/>
        <sz val="10.0"/>
      </rPr>
      <t xml:space="preserve">San Jacinto </t>
    </r>
    <r>
      <rPr>
        <rFont val="Calibri"/>
        <color rgb="FFFF0000"/>
        <sz val="10.0"/>
      </rPr>
      <t>&amp; 1A</t>
    </r>
  </si>
  <si>
    <t>Chatarra de tubos de fierro</t>
  </si>
  <si>
    <t>TJG201944</t>
  </si>
  <si>
    <r>
      <rPr>
        <rFont val="Calibri"/>
        <color theme="1"/>
        <sz val="10.0"/>
      </rPr>
      <t xml:space="preserve">San Jacinto </t>
    </r>
    <r>
      <rPr>
        <rFont val="Calibri"/>
        <color rgb="FFFF0000"/>
        <sz val="10.0"/>
      </rPr>
      <t>&amp; 1A</t>
    </r>
  </si>
  <si>
    <t>Arboles y lodo con petroleo</t>
  </si>
  <si>
    <t>TJG201961</t>
  </si>
  <si>
    <r>
      <rPr>
        <rFont val="Calibri"/>
        <color theme="1"/>
        <sz val="10.0"/>
      </rPr>
      <t xml:space="preserve">San Jacinto </t>
    </r>
    <r>
      <rPr>
        <rFont val="Calibri"/>
        <color rgb="FFFF0000"/>
        <sz val="10.0"/>
      </rPr>
      <t>&amp; 1A</t>
    </r>
  </si>
  <si>
    <t>TJG201963</t>
  </si>
  <si>
    <r>
      <rPr>
        <rFont val="Calibri"/>
        <color theme="1"/>
        <sz val="10.0"/>
      </rPr>
      <t xml:space="preserve">San Jacinto </t>
    </r>
    <r>
      <rPr>
        <rFont val="Calibri"/>
        <color rgb="FFFF0000"/>
        <sz val="10.0"/>
      </rPr>
      <t>&amp; 1A</t>
    </r>
  </si>
  <si>
    <t>Botadero de fierros y otros</t>
  </si>
  <si>
    <t>PJV201602</t>
  </si>
  <si>
    <t>27/03/2016</t>
  </si>
  <si>
    <t>El bosque ha crecido por encima de un botadero.</t>
  </si>
  <si>
    <t>Dorcas km 150 + 900 margen izquierdo San Jacinto - 12 de octubre. Se trata de un antiguo botadero llamado Dorcas, en Batería San Jacinto.</t>
  </si>
  <si>
    <t>TJG201962</t>
  </si>
  <si>
    <r>
      <rPr>
        <rFont val="Calibri"/>
        <color theme="1"/>
        <sz val="10.0"/>
      </rPr>
      <t xml:space="preserve">San Jacinto </t>
    </r>
    <r>
      <rPr>
        <rFont val="Calibri"/>
        <color rgb="FFFF0000"/>
        <sz val="10.0"/>
      </rPr>
      <t>&amp; 1A</t>
    </r>
  </si>
  <si>
    <t>Botadero de fierro y concreto</t>
  </si>
  <si>
    <t>TJG201946</t>
  </si>
  <si>
    <r>
      <rPr>
        <rFont val="Calibri"/>
        <color theme="1"/>
        <sz val="10.0"/>
      </rPr>
      <t xml:space="preserve">San Jacinto </t>
    </r>
    <r>
      <rPr>
        <rFont val="Calibri"/>
        <color rgb="FFFF0000"/>
        <sz val="10.0"/>
      </rPr>
      <t>&amp; 1A</t>
    </r>
  </si>
  <si>
    <t>Petroleo flotando en charco</t>
  </si>
  <si>
    <t>TJG201945</t>
  </si>
  <si>
    <r>
      <rPr>
        <rFont val="Calibri"/>
        <color theme="1"/>
        <sz val="10.0"/>
      </rPr>
      <t xml:space="preserve">San Jacinto </t>
    </r>
    <r>
      <rPr>
        <rFont val="Calibri"/>
        <color rgb="FFFF0000"/>
        <sz val="10.0"/>
      </rPr>
      <t>&amp; 1A</t>
    </r>
  </si>
  <si>
    <t>Petroleo cubierto con hojarasca</t>
  </si>
  <si>
    <t>TTO20231</t>
  </si>
  <si>
    <t>29/01/2023</t>
  </si>
  <si>
    <t>CC.NN. Doce de octubre</t>
  </si>
  <si>
    <t>Tom Olmedo</t>
  </si>
  <si>
    <t>SC-0661-2023</t>
  </si>
  <si>
    <t>TJG201964</t>
  </si>
  <si>
    <r>
      <rPr>
        <rFont val="Calibri"/>
        <color theme="1"/>
        <sz val="10.0"/>
      </rPr>
      <t xml:space="preserve">San Jacinto </t>
    </r>
    <r>
      <rPr>
        <rFont val="Calibri"/>
        <color rgb="FFFF0000"/>
        <sz val="10.0"/>
      </rPr>
      <t>&amp; 1A</t>
    </r>
  </si>
  <si>
    <t>Botadero de botellas</t>
  </si>
  <si>
    <t>TJG201951</t>
  </si>
  <si>
    <r>
      <rPr>
        <rFont val="Calibri"/>
        <color theme="1"/>
        <sz val="10.0"/>
      </rPr>
      <t xml:space="preserve">San Jacinto </t>
    </r>
    <r>
      <rPr>
        <rFont val="Calibri"/>
        <color rgb="FFFF0000"/>
        <sz val="10.0"/>
      </rPr>
      <t>&amp; 1A</t>
    </r>
  </si>
  <si>
    <t>Quebrada contaminada</t>
  </si>
  <si>
    <t>TJG201966</t>
  </si>
  <si>
    <r>
      <rPr>
        <rFont val="Calibri"/>
        <color theme="1"/>
        <sz val="10.0"/>
      </rPr>
      <t xml:space="preserve">San Jacinto </t>
    </r>
    <r>
      <rPr>
        <rFont val="Calibri"/>
        <color rgb="FFFF0000"/>
        <sz val="10.0"/>
      </rPr>
      <t>&amp; 1A</t>
    </r>
  </si>
  <si>
    <t>Chatarra enterrada</t>
  </si>
  <si>
    <t>TJG201947</t>
  </si>
  <si>
    <r>
      <rPr>
        <rFont val="Calibri"/>
        <color theme="1"/>
        <sz val="10.0"/>
      </rPr>
      <t xml:space="preserve">San Jacinto </t>
    </r>
    <r>
      <rPr>
        <rFont val="Calibri"/>
        <color rgb="FFFF0000"/>
        <sz val="10.0"/>
      </rPr>
      <t>&amp; 1A</t>
    </r>
  </si>
  <si>
    <t>Quebrada contaminada con petroleo</t>
  </si>
  <si>
    <t>TJG201956</t>
  </si>
  <si>
    <r>
      <rPr>
        <rFont val="Calibri"/>
        <color theme="1"/>
        <sz val="10.0"/>
      </rPr>
      <t xml:space="preserve">San Jacinto </t>
    </r>
    <r>
      <rPr>
        <rFont val="Calibri"/>
        <color rgb="FFFF0000"/>
        <sz val="10.0"/>
      </rPr>
      <t>&amp; 1A</t>
    </r>
  </si>
  <si>
    <t>Aguajal contaminado</t>
  </si>
  <si>
    <t>TJG201965</t>
  </si>
  <si>
    <r>
      <rPr>
        <rFont val="Calibri"/>
        <color theme="1"/>
        <sz val="10.0"/>
      </rPr>
      <t xml:space="preserve">San Jacinto </t>
    </r>
    <r>
      <rPr>
        <rFont val="Calibri"/>
        <color rgb="FFFF0000"/>
        <sz val="10.0"/>
      </rPr>
      <t>&amp; 1A</t>
    </r>
  </si>
  <si>
    <t>Tanque de concreto</t>
  </si>
  <si>
    <t>TJG201967</t>
  </si>
  <si>
    <r>
      <rPr>
        <rFont val="Calibri"/>
        <color theme="1"/>
        <sz val="10.0"/>
      </rPr>
      <t xml:space="preserve">San Jacinto </t>
    </r>
    <r>
      <rPr>
        <rFont val="Calibri"/>
        <color rgb="FFFF0000"/>
        <sz val="10.0"/>
      </rPr>
      <t>&amp; 1A</t>
    </r>
  </si>
  <si>
    <t>Botellas enterradas</t>
  </si>
  <si>
    <t>TJG201948</t>
  </si>
  <si>
    <r>
      <rPr>
        <rFont val="Calibri"/>
        <color theme="1"/>
        <sz val="10.0"/>
      </rPr>
      <t xml:space="preserve">San Jacinto </t>
    </r>
    <r>
      <rPr>
        <rFont val="Calibri"/>
        <color rgb="FFFF0000"/>
        <sz val="10.0"/>
      </rPr>
      <t>&amp; 1A</t>
    </r>
  </si>
  <si>
    <t>Plantas contaminadas</t>
  </si>
  <si>
    <t>TJG201968</t>
  </si>
  <si>
    <r>
      <rPr>
        <rFont val="Calibri"/>
        <color theme="1"/>
        <sz val="10.0"/>
      </rPr>
      <t xml:space="preserve">San Jacinto </t>
    </r>
    <r>
      <rPr>
        <rFont val="Calibri"/>
        <color rgb="FFFF0000"/>
        <sz val="10.0"/>
      </rPr>
      <t>&amp; 1A</t>
    </r>
  </si>
  <si>
    <t>Tubos expuestos</t>
  </si>
  <si>
    <t>TJG201959</t>
  </si>
  <si>
    <r>
      <rPr>
        <rFont val="Calibri"/>
        <color theme="1"/>
        <sz val="10.0"/>
      </rPr>
      <t xml:space="preserve">San Jacinto </t>
    </r>
    <r>
      <rPr>
        <rFont val="Calibri"/>
        <color rgb="FFFF0000"/>
        <sz val="10.0"/>
      </rPr>
      <t>&amp; 1A</t>
    </r>
  </si>
  <si>
    <t>Laguna o cocha contaminada</t>
  </si>
  <si>
    <t>TJG201977</t>
  </si>
  <si>
    <r>
      <rPr>
        <rFont val="Calibri"/>
        <color theme="1"/>
        <sz val="10.0"/>
      </rPr>
      <t xml:space="preserve">San Jacinto </t>
    </r>
    <r>
      <rPr>
        <rFont val="Calibri"/>
        <color rgb="FFFF0000"/>
        <sz val="10.0"/>
      </rPr>
      <t>&amp; 1A</t>
    </r>
  </si>
  <si>
    <t>Chatarra de tubos</t>
  </si>
  <si>
    <t>THC20201</t>
  </si>
  <si>
    <t>San Jacinto</t>
  </si>
  <si>
    <t>18/04/2020</t>
  </si>
  <si>
    <t>17/04/2020</t>
  </si>
  <si>
    <t>A la fecha hay tres puntos de fuga en base san Jacinto: 1. Tanque de almacenamiento 1405 que la empresa dejo sin cerrar por lo que la lluvia lo ha hecho rebalsar 2. Tubo de 2” que ha hecho pequeño derrame de 20x10 3. Sump tank 1419 que hace no mucho también ha derramado por sobre llenado. La preocupación es que lluvia extienda el hidrocarburos hacia quebrada kulkayaku o culcaycu (no sé cómo se escribe bien) que está a 100m de la base.</t>
  </si>
  <si>
    <t>Hilda Chung</t>
  </si>
  <si>
    <t>Apu Rosa de 12 de Octubre</t>
  </si>
  <si>
    <t>Comunidad con apoyo de ejercito han actuado para contener el derrame</t>
  </si>
  <si>
    <t>TXX20211</t>
  </si>
  <si>
    <t>29/01/2021</t>
  </si>
  <si>
    <t>Derrame en Sumptank 1440 al sumptank 1405</t>
  </si>
  <si>
    <t>PAS201006</t>
  </si>
  <si>
    <t xml:space="preserve">Tubería antigua botada en el bosque. </t>
  </si>
  <si>
    <t>TJG201976</t>
  </si>
  <si>
    <r>
      <rPr>
        <rFont val="Calibri"/>
        <color theme="1"/>
        <sz val="10.0"/>
      </rPr>
      <t xml:space="preserve">San Jacinto </t>
    </r>
    <r>
      <rPr>
        <rFont val="Calibri"/>
        <color rgb="FFFF0000"/>
        <sz val="10.0"/>
      </rPr>
      <t>&amp; 1A</t>
    </r>
  </si>
  <si>
    <t>antiguo</t>
  </si>
  <si>
    <t>Tubo debajo del agua</t>
  </si>
  <si>
    <t>TOE201704.2/TGV201703</t>
  </si>
  <si>
    <t>27/09/2017 25/09/2017</t>
  </si>
  <si>
    <r>
      <rPr>
        <rFont val="Calibri"/>
        <color rgb="FF000000"/>
        <sz val="10.0"/>
      </rPr>
      <t xml:space="preserve">La empresa informó que la ocupación de las instalaciones de la empresa por la comunidad 12 de Octubre estaba agravando la expansión del derrame porque los comuneros no permitieron los trabajos iniciales de contención en el momento.  </t>
    </r>
    <r>
      <rPr>
        <rFont val="Calibri"/>
        <color rgb="FFFF0000"/>
        <sz val="10.0"/>
      </rPr>
      <t xml:space="preserve">Sin embargo, </t>
    </r>
    <r>
      <rPr>
        <rFont val="Calibri"/>
        <color rgb="FF000000"/>
        <sz val="10.0"/>
      </rPr>
      <t>el origen del derrame es el desborde del tanque T-1450.</t>
    </r>
  </si>
  <si>
    <t>Tanque 1450. Zona industrial de la Batería San Jacinto. 30m x 15m.</t>
  </si>
  <si>
    <t>Guillermo Venancio</t>
  </si>
  <si>
    <t>PAS201008</t>
  </si>
  <si>
    <t>Tubería antigua abandonada.</t>
  </si>
  <si>
    <t>PAS201009</t>
  </si>
  <si>
    <t>TJG201949</t>
  </si>
  <si>
    <r>
      <rPr>
        <rFont val="Calibri"/>
        <color theme="1"/>
        <sz val="10.0"/>
      </rPr>
      <t xml:space="preserve">San Jacinto </t>
    </r>
    <r>
      <rPr>
        <rFont val="Calibri"/>
        <color rgb="FFFF0000"/>
        <sz val="10.0"/>
      </rPr>
      <t>&amp; 1A</t>
    </r>
  </si>
  <si>
    <t>Suelo contaminado</t>
  </si>
  <si>
    <t>TJG201975</t>
  </si>
  <si>
    <r>
      <rPr>
        <rFont val="Calibri"/>
        <color theme="1"/>
        <sz val="10.0"/>
      </rPr>
      <t xml:space="preserve">San Jacinto </t>
    </r>
    <r>
      <rPr>
        <rFont val="Calibri"/>
        <color rgb="FFFF0000"/>
        <sz val="10.0"/>
      </rPr>
      <t>&amp; 1A</t>
    </r>
  </si>
  <si>
    <t>TOE201701/TJO201707</t>
  </si>
  <si>
    <t xml:space="preserve">Seis meses después del evento, aún hay rastros de crudo en el suelo. Una gran cantidad de crudo salió del oleoducto. En el está escrito "TL08 J1A-SAJ." Afectó a un aguajal. Los monitores informan que el OEFA aún no ha hecho ninguna visita al sitio (no fueron notificados). Según una nota adjuntada, la empresa se comprometió a compensaciones pero aún no se había programado ninguna reunión. </t>
  </si>
  <si>
    <t xml:space="preserve">Línea 8-pozo 1A (junta 236) Batería San Jacinto. Batería Shiviyacu </t>
  </si>
  <si>
    <t>Jean Pierre Ordoñez</t>
  </si>
  <si>
    <t>TJG201957</t>
  </si>
  <si>
    <r>
      <rPr>
        <rFont val="Calibri"/>
        <color theme="1"/>
        <sz val="10.0"/>
      </rPr>
      <t xml:space="preserve">San Jacinto </t>
    </r>
    <r>
      <rPr>
        <rFont val="Calibri"/>
        <color rgb="FFFF0000"/>
        <sz val="10.0"/>
      </rPr>
      <t>&amp; 1A</t>
    </r>
  </si>
  <si>
    <t>PAS201010</t>
  </si>
  <si>
    <t>TOE201503/TGS201603</t>
  </si>
  <si>
    <t xml:space="preserve"> 11/11/2016</t>
  </si>
  <si>
    <t>Este sitio tiene una historia de contaminación. El crudo que aún queda se ha acumulado por muchos años, llegando a 3-4 metros de profundidad. Según el monitor ambiental, cada vez que llovía, estos pozos se desbordaban y después el contenido se vertía al medioambiente. No ha habido ninguna remediación todavía. Las autoridades de OEFA recolectaron muestras pero las comunidades aún están a la espera de los resultados.</t>
  </si>
  <si>
    <t>Antiguo derrame de petróleo en el pozo 2-4, San Jacinto.</t>
  </si>
  <si>
    <t>Guillermo Sandi, Venancio Sandi</t>
  </si>
  <si>
    <t>TOE201601/TGS201604</t>
  </si>
  <si>
    <t>Actas administrativas, Lista de emergencias ambientales, Lista de incidentes ambientales, Informe OEFA</t>
  </si>
  <si>
    <t>07/04/2016 01/04/2016</t>
  </si>
  <si>
    <t xml:space="preserve">Según la resolución directoral, la empresa no implementó medidas preventivas para evitar el derrame y el plan de contención se implementó tarde. </t>
  </si>
  <si>
    <t>Tanque colector 1421 del Yacimiento San Jacinto.</t>
  </si>
  <si>
    <t>TVS201601</t>
  </si>
  <si>
    <t>01/04/2016</t>
  </si>
  <si>
    <t xml:space="preserve">Se dio debido al desborde de un tanque. Las autoridades fueron informadas. </t>
  </si>
  <si>
    <t>Tuvo lugar en la parte trasera del pozo 1.</t>
  </si>
  <si>
    <t>TJG201969</t>
  </si>
  <si>
    <r>
      <rPr>
        <rFont val="Calibri"/>
        <color theme="1"/>
        <sz val="10.0"/>
      </rPr>
      <t xml:space="preserve">San Jacinto </t>
    </r>
    <r>
      <rPr>
        <rFont val="Calibri"/>
        <color rgb="FFFF0000"/>
        <sz val="10.0"/>
      </rPr>
      <t>&amp; 1A</t>
    </r>
  </si>
  <si>
    <t>Tubos enterrados</t>
  </si>
  <si>
    <t>TTO20213</t>
  </si>
  <si>
    <t>Derrame grande en San Jacinto que afecta a quebrada Lupuna</t>
  </si>
  <si>
    <t>del campamento san Jacinto a 100 metros es en la misma carretera de la línea de tuberías que van al pozo 01</t>
  </si>
  <si>
    <t>TJG201952</t>
  </si>
  <si>
    <r>
      <rPr>
        <rFont val="Calibri"/>
        <color theme="1"/>
        <sz val="10.0"/>
      </rPr>
      <t xml:space="preserve">San Jacinto </t>
    </r>
    <r>
      <rPr>
        <rFont val="Calibri"/>
        <color rgb="FFFF0000"/>
        <sz val="10.0"/>
      </rPr>
      <t>&amp; 1A</t>
    </r>
  </si>
  <si>
    <t>Charco contaminado</t>
  </si>
  <si>
    <t>TOE201703/TGS201703</t>
  </si>
  <si>
    <t xml:space="preserve">Se dio debido la oxidación interna. Una gran cantidad de crudo se derramó. Del punto de la fuga el crudo se dispersó unos 10 metros por una zanja que llega a la quebrada de Piedra Negra y que podría llegar al río Tigre. El apu explica que antes del evento un cerco de hierro ya había sido armado en el mismo punto de fuga. Sin embargo, la falta de mantenimiento y la oxidación causaron el derrame. El evento se dio en las instalaciones de San Jacinto. </t>
  </si>
  <si>
    <t>Línea de Shiviyacu a Batería San Jacinto, en Batería San Jacinto.</t>
  </si>
  <si>
    <t>Guillermo Sandi</t>
  </si>
  <si>
    <t xml:space="preserve">La resolución directoral 2674-2018-OEFA/DFAI indica que la empresa no se llevó a cabo trabajos de remediación en los sitios impactados. </t>
  </si>
  <si>
    <t>TMO201701</t>
  </si>
  <si>
    <t xml:space="preserve">El evento original se dio 19/12/2016 dentro de una zona PAC, en Ramal de Piedra Negra, cerca del pozo 13 en Batería San Jacinto. Al momento de tomar las fotos el OEFA aún no había visitado el sitio. Según el monitor ambiental, cuando la empresa empezó a remediar la zona impactada, encontraron crudo restante de derrames anteriores. Para evitar una remediación comprensiva, cubrieron el crudo y enterraron la contaminación. Como resultado de las altas temperaturas, el crudo enterrado sale a la superficie en una zona amplia. </t>
  </si>
  <si>
    <t>Ramal de Piedra Negra, cerca del pozo 13 en Batería San Jacinto</t>
  </si>
  <si>
    <t>Martí Orta, Artemio Sandi, America Arias</t>
  </si>
  <si>
    <t>TOE201604/TJO201601</t>
  </si>
  <si>
    <t>01/12/2016 19/12/2016</t>
  </si>
  <si>
    <t>Según la empresa, el evento se dio por oxidación interna de la tubería. La quebrada de Piedra Negra fue afectada. La empresa encargada de contener el derrame construyó barreras físicas utilizando materiales naturales como diques y flora. Según el informe de supervisión, miembros de la comunidad nativa 12 de Octubre y los monitores ambientales también participaron en la expedición de supervisión de OEFA. La carpeta principal contiene dos carpetas. La carpeta con Código TJO2016_01.1 tiene fotos tomadas por OEFA 10 días despues del evento mientras monitoreaban el área afectada. La otra carpeta contiene fotos de drone tomadas seis meses después del evento. Muestran evidencia visible de crudo afectando a fuentes de agua y una gran cantidad de bolsas plásticas de crudo acumulándose.</t>
  </si>
  <si>
    <t>Tramo oleoducto no. 495 Shiviyacu- Yacimiento San Jacinto. El evento tuvo lugar a 500m de Batería San Jacinto. Ramal de Piedra Negra, de la quebrada Piedra Negra. Batería Shiviyacu. Las coordenadas dadas se tomaron 50 m río abajo desde la ubicación exacta del derrame de petróleo.</t>
  </si>
  <si>
    <t>Jean Pierre Ordoñez, Guillermo Sandi</t>
  </si>
  <si>
    <t xml:space="preserve">Limpieza de la zona afectada y recuperación de crudo. </t>
  </si>
  <si>
    <t>TJG201974</t>
  </si>
  <si>
    <r>
      <rPr>
        <rFont val="Calibri"/>
        <color theme="1"/>
        <sz val="10.0"/>
      </rPr>
      <t xml:space="preserve">San Jacinto </t>
    </r>
    <r>
      <rPr>
        <rFont val="Calibri"/>
        <color rgb="FFFF0000"/>
        <sz val="10.0"/>
      </rPr>
      <t>&amp; 1A</t>
    </r>
  </si>
  <si>
    <t>TJG201950</t>
  </si>
  <si>
    <r>
      <rPr>
        <rFont val="Calibri"/>
        <color theme="1"/>
        <sz val="10.0"/>
      </rPr>
      <t xml:space="preserve">San Jacinto </t>
    </r>
    <r>
      <rPr>
        <rFont val="Calibri"/>
        <color rgb="FFFF0000"/>
        <sz val="10.0"/>
      </rPr>
      <t>&amp; 1A</t>
    </r>
  </si>
  <si>
    <t>TOE201702/TJO201704</t>
  </si>
  <si>
    <t>19/02/2017</t>
  </si>
  <si>
    <t xml:space="preserve">El derrame se dio debido a la oxidación interna de la tubería. Sucede el 19/02/2017 en el cruce 1A del oleoducto 8. El 21/02/2017 hubo otro derrame a unos 4 metros más allá del derrame anterior en el mismo oleoducto. Ambos derrames afectaron gravamente a la quebrada y la zona aledaña. El 23/02/2017 aún se percibe crudo derramándose hacia aguas abajo. Los registros muestran medidas básicas utilizadas para contener el crudo, como madera y hojas puestas por el río. </t>
  </si>
  <si>
    <t>Línea 8-pozo 1A (junta 70) Batería San Jacinto. Quebrada Chanchama. Sucede el 19/02/2017 en el cruce 1A del oleoducto 8. El 21/02/2017 hubo otro derrame a unos 4 metros más allá del derrame anterior en el mismo oleoducto.</t>
  </si>
  <si>
    <t>Limpieza de la zona impactada y cambio de tuberías.</t>
  </si>
  <si>
    <t>TTO20223</t>
  </si>
  <si>
    <t>18/03/2022</t>
  </si>
  <si>
    <t>Derrame grande de agua de producción mezclada con crudo, contaminando a la quebrada Seticuyacu. Area afectada: 1159 metros cuadrados de suelo y 800 metros cuadrados de agua.</t>
  </si>
  <si>
    <t>Pozo 01 san jacinto</t>
  </si>
  <si>
    <t>TJG201958</t>
  </si>
  <si>
    <r>
      <rPr>
        <rFont val="Calibri"/>
        <color theme="1"/>
        <sz val="10.0"/>
      </rPr>
      <t xml:space="preserve">San Jacinto </t>
    </r>
    <r>
      <rPr>
        <rFont val="Calibri"/>
        <color rgb="FFFF0000"/>
        <sz val="10.0"/>
      </rPr>
      <t>&amp; 1A</t>
    </r>
  </si>
  <si>
    <t>TTO20227</t>
  </si>
  <si>
    <t>28/08/2022</t>
  </si>
  <si>
    <t>27/08/2022</t>
  </si>
  <si>
    <t>400 metros de largo,ancho 3 metros,metraje total 1200 metros; Contaminación de cuerpo agua, Contaminación de suelo, Contaminación de animales</t>
  </si>
  <si>
    <t>JT - 1A T Marsella Tubería de 08 pulgadas, ccnn 12 de octubre quebrada llanchamilla</t>
  </si>
  <si>
    <t>SC-2685-2022</t>
  </si>
  <si>
    <t>TJG201973</t>
  </si>
  <si>
    <r>
      <rPr>
        <rFont val="Calibri"/>
        <color theme="1"/>
        <sz val="10.0"/>
      </rPr>
      <t xml:space="preserve">San Jacinto </t>
    </r>
    <r>
      <rPr>
        <rFont val="Calibri"/>
        <color rgb="FFFF0000"/>
        <sz val="10.0"/>
      </rPr>
      <t>&amp; 1A</t>
    </r>
  </si>
  <si>
    <t>Residuos de concreto</t>
  </si>
  <si>
    <t>TJG201972</t>
  </si>
  <si>
    <r>
      <rPr>
        <rFont val="Calibri"/>
        <color theme="1"/>
        <sz val="10.0"/>
      </rPr>
      <t xml:space="preserve">San Jacinto </t>
    </r>
    <r>
      <rPr>
        <rFont val="Calibri"/>
        <color rgb="FFFF0000"/>
        <sz val="10.0"/>
      </rPr>
      <t>&amp; 1A</t>
    </r>
  </si>
  <si>
    <t>Botadero de vidrios</t>
  </si>
  <si>
    <t>TTO20228</t>
  </si>
  <si>
    <t>30/08/2022</t>
  </si>
  <si>
    <t>Área afectada de 50 de largo por 9 ancho,metros cuadrados 450 metros. Cuerpo de agua afectada.</t>
  </si>
  <si>
    <t>Km 13 de 1A, número de tubería JT 710 CC.NN. 12 de Octubre</t>
  </si>
  <si>
    <t>TJG201955</t>
  </si>
  <si>
    <r>
      <rPr>
        <rFont val="Calibri"/>
        <color theme="1"/>
        <sz val="10.0"/>
      </rPr>
      <t xml:space="preserve">San Jacinto </t>
    </r>
    <r>
      <rPr>
        <rFont val="Calibri"/>
        <color rgb="FFFF0000"/>
        <sz val="10.0"/>
      </rPr>
      <t>&amp; 1A</t>
    </r>
  </si>
  <si>
    <t>TGV201701</t>
  </si>
  <si>
    <r>
      <rPr>
        <rFont val="Calibri"/>
        <color rgb="FF000000"/>
        <sz val="10.0"/>
      </rPr>
      <t>Afectó a varias comunidades como 12 de octubre, San Juan Bartra y Arenal. Hubo un derrame grande de las instalaciones de la empresa que afectó profundamente al medio ambiente. El crudo derramado corrió por el río Kachiyacu, la quebrada Piedra Negra hasta llegar al río Tigre.</t>
    </r>
    <r>
      <rPr>
        <rFont val="Calibri"/>
        <color rgb="FFFF0000"/>
        <sz val="10.0"/>
      </rPr>
      <t xml:space="preserve"> El hecho, provocado por la negligencia de la empresa, despertó la indignación de las comunidades nativas y finalmente derivó en una gran manifestación pacífica y en la ocupación temporal de las instalaciones. Las coordenadas dadas son del punto alcanzado por el derrame de petróleo el 29 de septiembre de 2017 y del ODK de Artemio Sandi. Hay algunas carpetas que incluyen registros del mismo evento desde el 27 en adelante. Esos registros muestran el amplio impacto sobre las comunidades nativas y el medio ambiente.</t>
    </r>
  </si>
  <si>
    <t>En las instalaciones de la planta de producción de petróleo de San Jacinto.</t>
  </si>
  <si>
    <t>-75.86423721</t>
  </si>
  <si>
    <t>-2.31349539</t>
  </si>
  <si>
    <t>Guillermo Venancio, Artemio Sandi</t>
  </si>
  <si>
    <t>TJG201970</t>
  </si>
  <si>
    <r>
      <rPr>
        <rFont val="Calibri"/>
        <color theme="1"/>
        <sz val="10.0"/>
      </rPr>
      <t xml:space="preserve">San Jacinto </t>
    </r>
    <r>
      <rPr>
        <rFont val="Calibri"/>
        <color rgb="FFFF0000"/>
        <sz val="10.0"/>
      </rPr>
      <t>&amp; 1A</t>
    </r>
  </si>
  <si>
    <t>Chatarra de concreto</t>
  </si>
  <si>
    <t>TJG201971</t>
  </si>
  <si>
    <r>
      <rPr>
        <rFont val="Calibri"/>
        <color theme="1"/>
        <sz val="10.0"/>
      </rPr>
      <t xml:space="preserve">San Jacinto </t>
    </r>
    <r>
      <rPr>
        <rFont val="Calibri"/>
        <color rgb="FFFF0000"/>
        <sz val="10.0"/>
      </rPr>
      <t>&amp; 1A</t>
    </r>
  </si>
  <si>
    <t>Botadero de residuos solidos</t>
  </si>
  <si>
    <t>TJG201953</t>
  </si>
  <si>
    <r>
      <rPr>
        <rFont val="Calibri"/>
        <color theme="1"/>
        <sz val="10.0"/>
      </rPr>
      <t xml:space="preserve">San Jacinto </t>
    </r>
    <r>
      <rPr>
        <rFont val="Calibri"/>
        <color rgb="FFFF0000"/>
        <sz val="10.0"/>
      </rPr>
      <t>&amp; 1A</t>
    </r>
  </si>
  <si>
    <t>Hojarasca y suelo contaminado</t>
  </si>
  <si>
    <t>TOD200101</t>
  </si>
  <si>
    <t>Afectó al territorio de la CN Andrés Avelino Cáceres. Es un derrame de tamaño 200m2. El evento se dio dado a una fuga de tubería por oxidación interna. El OEFA no ha visitado el sitio y no se hizo remediación.</t>
  </si>
  <si>
    <t>Pozo 2-4 en Batería San Jacinto. La ubicación exacta es el km 46 de la carretera San Jacinto.</t>
  </si>
  <si>
    <t>Orlando Ramón Dahua Tapuy</t>
  </si>
  <si>
    <t>TTO20222</t>
  </si>
  <si>
    <t>Derrame de crudo en pozo 01, afecta área grande, contaminación de suelo y agua</t>
  </si>
  <si>
    <t>TGS201601</t>
  </si>
  <si>
    <t>20/08/2016</t>
  </si>
  <si>
    <t xml:space="preserve">Expedición de OEFA. Hay evidencia de petróleo mientras el equipo de OEFA recolectaba muestras. </t>
  </si>
  <si>
    <t>PAS201028</t>
  </si>
  <si>
    <t>Un tubo y un barril abandonado.</t>
  </si>
  <si>
    <t>TOE201801.2/TVS201801</t>
  </si>
  <si>
    <t>02/03/2018 13/03/2018</t>
  </si>
  <si>
    <r>
      <rPr>
        <rFont val="Calibri"/>
        <color rgb="FF000000"/>
        <sz val="10.0"/>
      </rPr>
      <t>Un gran número de bolsas d</t>
    </r>
    <r>
      <rPr>
        <rFont val="Calibri"/>
        <color rgb="FFFF0000"/>
        <sz val="10.0"/>
      </rPr>
      <t>e petróleo recuperado se amontonaron como consecuencia de un vertido de petróleo.</t>
    </r>
    <r>
      <rPr>
        <rFont val="Calibri"/>
        <color rgb="FF000000"/>
        <sz val="10.0"/>
      </rPr>
      <t xml:space="preserve"> El evento tuvo lugar en la comunidad 12 de Octubre.</t>
    </r>
  </si>
  <si>
    <t>Yacimiento San Jacinto- Línea de Flujo B de los pozos SANJ-10 y SANJ-1 unión 108.</t>
  </si>
  <si>
    <t>TJG201954</t>
  </si>
  <si>
    <r>
      <rPr>
        <rFont val="Calibri"/>
        <color theme="1"/>
        <sz val="10.0"/>
      </rPr>
      <t xml:space="preserve">San Jacinto </t>
    </r>
    <r>
      <rPr>
        <rFont val="Calibri"/>
        <color rgb="FFFF0000"/>
        <sz val="10.0"/>
      </rPr>
      <t>&amp; 1A</t>
    </r>
  </si>
  <si>
    <t>TTO20212</t>
  </si>
  <si>
    <t>Sump Tank del Pozo 1A rebalsa de hidrocarburo impactando un área de 700 m².</t>
  </si>
  <si>
    <t>Sumptank pozo 1A</t>
  </si>
  <si>
    <t>TAS201708</t>
  </si>
  <si>
    <t xml:space="preserve">Es un sitio contaminado antiguamente de las actividades de Pluspetrol y Oxy por muchos años. No se hizo ninguna remediación todavía. El evento afectó a un aguajal, una cocha e impactó a la quebrada Yanayacu. (la carpeta incluye unos ODK que se tomaron del mismo sitio.) </t>
  </si>
  <si>
    <t>Del pozo 11-12 al 10, km 7, tubería 1A Batería San Jacinto. En el territorio de comunidad Marsella y 12 de Octubre.</t>
  </si>
  <si>
    <t>Artemio Sandi, Ramon Dahua, Janpier Ordoñez</t>
  </si>
  <si>
    <t>PAS201029</t>
  </si>
  <si>
    <t>Tubos abandonados.</t>
  </si>
  <si>
    <t>TGS201607</t>
  </si>
  <si>
    <t>15/11/2016</t>
  </si>
  <si>
    <t xml:space="preserve">El evento fue producto de obras para desenterrar un oleoducto antiguo que aún contenía crudo que fue abandonado (de los tiempos de Oxy).  Gran parte de este crudo se dispersó por la zona, llegando al río principal. </t>
  </si>
  <si>
    <t>Las coordenadas dadas fueron tomadas de una de las fotografías disponibles.</t>
  </si>
  <si>
    <t>Guillermo Sandi, Paola</t>
  </si>
  <si>
    <t>TOD201701</t>
  </si>
  <si>
    <t>El evento se dio cuando un oleoducto antiguo fue desmantelado por el hierro. Afectó al territorio de Andres Avelino Cáceres.</t>
  </si>
  <si>
    <t>La ubicación exacta es en el cruce, en el km 155 de la carretera general Andoas-San Jacinto dirección Marsella, km 4.</t>
  </si>
  <si>
    <t>La empresa comunitaria remedia</t>
  </si>
  <si>
    <t>TOE201601</t>
  </si>
  <si>
    <t>El hecho tuvo lugar frente a la comunidad de Mariscal Cáceres a raíz de un derrame originado tras el retiro de una antigua tubería. El petróleo se extendió y discurrió por un pequeño afluente del río Tigre.</t>
  </si>
  <si>
    <t>Comunidad de Mariscal Cáceres</t>
  </si>
  <si>
    <t>TGS201602</t>
  </si>
  <si>
    <t>01/11/2016</t>
  </si>
  <si>
    <t xml:space="preserve">Derrame de petróleo de un tanque en las instalaciones Marsical Caceres. Se dio debido a una obra de un comerciante que cortó y se llevó un oleoducto antiguo. El crudo salió por los riachuelos hasta llegar al río Tigre. Los registros muestran bolsas de crudo recuperado. </t>
  </si>
  <si>
    <t>Instalaciones de Mariscal Cáceres</t>
  </si>
  <si>
    <t>TRD201701</t>
  </si>
  <si>
    <t>Pacific Stratus Energy del Perú, S.A./ Pluspetrol</t>
  </si>
  <si>
    <t xml:space="preserve">La empresa encargada fue Pluspetrol. Afectó al territorio de comunidad Marsella y la quebrada Llanchama. </t>
  </si>
  <si>
    <t>Pozo 27, km 145. De San Jacinto a Shiviyacu.</t>
  </si>
  <si>
    <t>-75.80284838</t>
  </si>
  <si>
    <t>-2.38624428</t>
  </si>
  <si>
    <t>Ramon Dahua</t>
  </si>
  <si>
    <t>CFS201504</t>
  </si>
  <si>
    <t>Lote 8</t>
  </si>
  <si>
    <t xml:space="preserve">Este sitio es un sitio PAC y no ha sido remediado. El monitor ambiental informa que el sitio huele a petróleo. </t>
  </si>
  <si>
    <t>Batería1. Cerca de Quebrada Pumayacu, oleoducto Corrientes -Saramuro, km 5+890.</t>
  </si>
  <si>
    <t xml:space="preserve"> Fidel Sandi</t>
  </si>
  <si>
    <t>CFS201503</t>
  </si>
  <si>
    <t xml:space="preserve">Un derrame encontrado por Raúl Sandy mientras cazaba. Cuando el monitor visitó el sitio, los trabajos de remediación estaban en proceso. El evento afectó a la comunidad San Cristobal y el río Corrientes. El monitor ambiental reportó peces muertos en el área y flora con crudo. </t>
  </si>
  <si>
    <t>Batería 1. Km 305 + 2,3. Cocha Negra.</t>
  </si>
  <si>
    <t>PJV201603</t>
  </si>
  <si>
    <t xml:space="preserve">Hay barriles que contienen productos químicos botados en el bosque. Afecta a la comunidad 12 de Octubre. </t>
  </si>
  <si>
    <t>Cerca de la cocha Wayranga, Batería San Jacinto.</t>
  </si>
  <si>
    <t>PJV201604</t>
  </si>
  <si>
    <r>
      <rPr>
        <rFont val="Calibri"/>
        <color rgb="FF000000"/>
        <sz val="10.0"/>
      </rPr>
      <t>barriles</t>
    </r>
    <r>
      <rPr>
        <rFont val="Calibri"/>
        <color rgb="FF000000"/>
        <sz val="10.0"/>
      </rPr>
      <t xml:space="preserve"> botados en el bosque.</t>
    </r>
  </si>
  <si>
    <t>COE201335.1</t>
  </si>
  <si>
    <t>Informe judicial, Informe OEFA</t>
  </si>
  <si>
    <t xml:space="preserve">En 2013, OEFA con organizaciones de comunidades nativas de los ríos Pastaza, Tigre y Marañón hicieron una expedición de supervisión en el Lote 8 para identificar posibles sitios contaminados. Se informó sobre 41 sitios contaminados en Nueva Esperanza, Pavayacu y Base Corrientes Percy y la tubería Corrientes-Saramuro y también sitios PAC. En el caso del sitio S1, excedió el valor permitido de bario en el suelo ECA. </t>
  </si>
  <si>
    <t>Código del sitio: S1. Un almacén abandonado ''Almacén Químico-Maurocaño" en Yacimiento Valencia-Nueva Esperanza.</t>
  </si>
  <si>
    <t>COE201335.2</t>
  </si>
  <si>
    <t xml:space="preserve">Una cantina de pozo no adecuadamente abandonada. En 2013, OEFA con organizaciones de comunidades nativas de los ríos Pastaza, Tigre y Marañón hicieron una expedición de supervisión en el Lote 8 para identificar posibles sitios contaminados. Se informó sobre 41 sitios contaminados en Nueva Esperanza, Pavayacu y Base Corrientes Percy y la tubería Corrientes-Saramuro y también sitios PAC. En el caso del sitio S1, excedió el valor permitido de bario en el suelo ECA. </t>
  </si>
  <si>
    <t>código de sitio: S2. Unos 30 metros de S1, en Yacimiento Valencia-Nueva Esperanza.</t>
  </si>
  <si>
    <t>CPP201401</t>
  </si>
  <si>
    <t xml:space="preserve">Una plátaforma abandonada que presenta evidencia de daño ambiental ahí cerca. </t>
  </si>
  <si>
    <t>comunidad Belén de Plantanoyacu.</t>
  </si>
  <si>
    <t xml:space="preserve"> Patricio Piñola</t>
  </si>
  <si>
    <t>COE201335.5</t>
  </si>
  <si>
    <t>Código de sitio: S5. Se ubica 100 metros al norte del pozo 25X, en Yacimiento Valencia-Nueva Esperanza.</t>
  </si>
  <si>
    <t>COE201101/CNA201101</t>
  </si>
  <si>
    <t>19/07/2011 26/07/2011</t>
  </si>
  <si>
    <t>Según el informe de supervisión, se dio por una pérdida progresiva de presión interna.</t>
  </si>
  <si>
    <t>El pozo 41D de Plátaforma 25, en Batería 6.</t>
  </si>
  <si>
    <t>Cleaning the affected area and oil recovery.</t>
  </si>
  <si>
    <t>COE201335.6</t>
  </si>
  <si>
    <t>código de sitio: S6. Se ubica 70 metros al este del pozo 25X, donde la quebrada Mazatoyacu fluye hacia el río Plantanoyacu, en Yacimiento Valencia-Nueva Esperanza.</t>
  </si>
  <si>
    <t>CFD20183</t>
  </si>
  <si>
    <t>Batería 7</t>
  </si>
  <si>
    <t>17/09/2018</t>
  </si>
  <si>
    <t>colpa artificial</t>
  </si>
  <si>
    <t>Pozo 25, sitio remediado por Pluspetrol donde los animales están haciendo colpa</t>
  </si>
  <si>
    <t>Pozo 25, comunidad más cercana a Belén</t>
  </si>
  <si>
    <t>214 10.0</t>
  </si>
  <si>
    <t>Federico Diaz Hualinga</t>
  </si>
  <si>
    <t>Teniente gobernador de Belén y representante de OEFA</t>
  </si>
  <si>
    <t>TJG201921</t>
  </si>
  <si>
    <t>INFORME N° 001-2019-MONITOR AMBIENTAL/ ALTO TIGRE Bartra</t>
  </si>
  <si>
    <t>Bartra</t>
  </si>
  <si>
    <t>Botadero de fierros y llantas</t>
  </si>
  <si>
    <t>Bahía de Bartra</t>
  </si>
  <si>
    <t>TJG201920</t>
  </si>
  <si>
    <t>plátaforma</t>
  </si>
  <si>
    <t>Restos de plátaforma de concreto</t>
  </si>
  <si>
    <t>TJG201922</t>
  </si>
  <si>
    <t>Botadero de bidones, restos de container</t>
  </si>
  <si>
    <t>TJG201925</t>
  </si>
  <si>
    <t>Botadero de llantas</t>
  </si>
  <si>
    <t>TJG201924</t>
  </si>
  <si>
    <t>plátaforma de concreto y botadero</t>
  </si>
  <si>
    <t>TJG201923</t>
  </si>
  <si>
    <t>Restos de fierros de tractores</t>
  </si>
  <si>
    <t>TES201701</t>
  </si>
  <si>
    <t>Batería Bartra, en el territorio de la comunidad de San Juan Bartra.</t>
  </si>
  <si>
    <t>-75.72301063</t>
  </si>
  <si>
    <t>-2.52234089</t>
  </si>
  <si>
    <t>Elmer Sandi, Artemio Sandi</t>
  </si>
  <si>
    <t>CFD20182</t>
  </si>
  <si>
    <t>Fuga de crudo de tubería y pozo abandonado, numero 92. Afecta la quebrada Nayanmaca</t>
  </si>
  <si>
    <t>Pozo 92; comunidad más cercana es Nueva Esperanza</t>
  </si>
  <si>
    <t>187 10.0</t>
  </si>
  <si>
    <t>COE201335.4</t>
  </si>
  <si>
    <t>código de sitio: S4. Se ubica 60 metros al norte del pozo 92D, en Yacimiento Valencia-Nueva Esperanza.</t>
  </si>
  <si>
    <t>COE201335.3</t>
  </si>
  <si>
    <t>código de sitio: S3. Se ubica a unos 200 metros al noreste de la Batería 7, donde la quebrada Colcayacu fluye hacia la cocha Nayanmaca, en Yacimiento Valencia-Nueva Esperanza.</t>
  </si>
  <si>
    <t>CFD20181</t>
  </si>
  <si>
    <t>Derrame de crudo antiguo en Pozo 74, lo cual resultó en que animales están haciendo colpa.</t>
  </si>
  <si>
    <t>Pozo 74; comunidad más cercana es Nueva Esperanza</t>
  </si>
  <si>
    <t>209 10.0</t>
  </si>
  <si>
    <t>CNA201401</t>
  </si>
  <si>
    <t>Pozo 25X, batería 7, CN Nueva Esperanza.</t>
  </si>
  <si>
    <t>CSG201401</t>
  </si>
  <si>
    <t xml:space="preserve">Una base abandonada que antes se usaba para actividades de transporte. </t>
  </si>
  <si>
    <t>Bate 7, en Comunidad Nueva Valencia.</t>
  </si>
  <si>
    <t xml:space="preserve">  Sofonías García</t>
  </si>
  <si>
    <t>TNA201501</t>
  </si>
  <si>
    <t>Hay metales y otros residuos acumulados.</t>
  </si>
  <si>
    <t>Ubicado a 300 metros de la carretera principal, en el km 10.</t>
  </si>
  <si>
    <t>CFD201701</t>
  </si>
  <si>
    <t>PetroPerú, S.A</t>
  </si>
  <si>
    <r>
      <rPr>
        <rFont val="Calibri"/>
        <color rgb="FF000000"/>
        <sz val="10.0"/>
      </rPr>
      <t xml:space="preserve">Pozo antiguo abandonado que, con los años, se ha convertido en una colpa </t>
    </r>
    <r>
      <rPr>
        <rFont val="Calibri"/>
        <color rgb="FFFF0000"/>
        <sz val="10.0"/>
      </rPr>
      <t>contaminado por petróleo</t>
    </r>
  </si>
  <si>
    <t>En la Comunidad San José de Nueva Esperanza</t>
  </si>
  <si>
    <t xml:space="preserve"> Federico Diaz Hualinga</t>
  </si>
  <si>
    <t>TJG201915</t>
  </si>
  <si>
    <t>Botadero de tubos y filtros</t>
  </si>
  <si>
    <t>San Juan de Bartra</t>
  </si>
  <si>
    <t>COE201406</t>
  </si>
  <si>
    <t xml:space="preserve">Crudo antiguo se puede encontrar en el río pequeño y un aguajal. </t>
  </si>
  <si>
    <t>Comunidad Nueva Esperanza.</t>
  </si>
  <si>
    <t>TJG201935</t>
  </si>
  <si>
    <t>Base de Bartra</t>
  </si>
  <si>
    <t>COE201401</t>
  </si>
  <si>
    <t>Contenedores aún con liquidos tóxicos peligrosos adentro.</t>
  </si>
  <si>
    <t>Bate 7 P18- Bahía, cerca de Comunidad Nueva Esperanza.</t>
  </si>
  <si>
    <t>CFD201804</t>
  </si>
  <si>
    <r>
      <rPr>
        <rFont val="Calibri"/>
        <color rgb="FF000000"/>
        <sz val="10.0"/>
      </rPr>
      <t xml:space="preserve">Afectó a Arturo Caño, afluente del río Corrientes 3 km aguas abajo. Ocurrió hace 15 años (aprox. 2013) y el sitio no ha sido remediado. </t>
    </r>
    <r>
      <rPr>
        <rFont val="Calibri"/>
        <color rgb="FFFF0000"/>
        <sz val="10.0"/>
      </rPr>
      <t>La empresa encargada de la limpieza enterró el crudo. El lugar se ha convertido en un salegar/colpa contaminado por petróleo, que suelen utilizar varios animales.</t>
    </r>
  </si>
  <si>
    <r>
      <rPr>
        <rFont val="Calibri"/>
        <color rgb="FFFF0000"/>
        <sz val="10.0"/>
      </rPr>
      <t>En el ducto</t>
    </r>
    <r>
      <rPr>
        <rFont val="Calibri"/>
        <color theme="1"/>
        <sz val="10.0"/>
      </rPr>
      <t xml:space="preserve"> que va desde Batería 7 hasta Capirona, en territorio de la comunidad San José de Nueva Esperanza.</t>
    </r>
  </si>
  <si>
    <t>COE201707/CFD201801</t>
  </si>
  <si>
    <t>Actas administrativas, Lista de emergencias ambientales, odk, Informe OEFA</t>
  </si>
  <si>
    <t>16/02/2017 17/01/2018</t>
  </si>
  <si>
    <t>Crudo mezclado con agua</t>
  </si>
  <si>
    <t xml:space="preserve">5 días después del evento, el OEFA informó sobre la presencia de crudo sobre toda la quebrada Caño Carmen, del punto de la fuga hasta donde el riachuelo desemboca en el río Corrientes. Se reportó una extensión de 252,8 m2 de suelo y flora impactado. Los métodos utilizados por la empresa para minimizar los efectos del derrame (barreras) eran muy básicas. Además, la resolución directoral menciona que la empresa se demoró en implementar el plan de contención. El 17 de enero 2018 (código CFD201801), un año después del incidente, monitores ambientales de FECONACO y el apu de la comunidad nativa San José de Nueva Esperanza hicieron una visita al sitio. Aunque el sitio se considera oficialmente remediado, ellos encontraron restos contaminantes en Carmen Caño. Desde los registros, queda claro que la empresa no cumplió con su responsabilidad de remediar y limpiar los sitios impactados. </t>
  </si>
  <si>
    <t>Oleoducto de Batería 7 Nueva Esperanza a Batería 4, en la zona de Tunchiplaya. En el km 12+200.</t>
  </si>
  <si>
    <t>Oficialmente, la empresa limpió la zona afectada. Sin embargo, un año después, la FECONACO visitó el lugar e informó de que aún quedaba contaminación en el suelo, especialmente en Carmen Caño.</t>
  </si>
  <si>
    <t>CFD20184</t>
  </si>
  <si>
    <t>29/08/2018</t>
  </si>
  <si>
    <t>Derrame antiguo (6 meses atras) que sigue contaminando a la quebrada barrilana, la cual fluye hacia el rio Corrientes.</t>
  </si>
  <si>
    <r>
      <rPr>
        <rFont val="Calibri"/>
        <color rgb="FFFF0000"/>
        <sz val="10.0"/>
      </rPr>
      <t>oleoducto</t>
    </r>
    <r>
      <rPr>
        <rFont val="Calibri"/>
        <color theme="1"/>
        <sz val="10.0"/>
      </rPr>
      <t xml:space="preserve"> entre batería 7 y 4 Capirona; comunidad mas cercana es Nueva Esperanza</t>
    </r>
  </si>
  <si>
    <t>TAS20191</t>
  </si>
  <si>
    <t>15/01/2019</t>
  </si>
  <si>
    <t>Es un botadero antiguo donde la empresa oxi botaban todo los materiales plásticos y metales y se encuentran hasta ahora impactando</t>
  </si>
  <si>
    <t>Batería Bartra km 18</t>
  </si>
  <si>
    <t>203 5.0</t>
  </si>
  <si>
    <t>Artemio Sandi</t>
  </si>
  <si>
    <t>Todos los monitores de las cuatro comunidades</t>
  </si>
  <si>
    <t>TAS20192</t>
  </si>
  <si>
    <t>Esto Baradero se encuentran en canto de la carretera impactando el medio ambiente y nuestra salud</t>
  </si>
  <si>
    <t>En 18.200 km, pertenece una batería bartra.</t>
  </si>
  <si>
    <t>199 5.0</t>
  </si>
  <si>
    <t>Todos los monitores y los moradores de la comunidad</t>
  </si>
  <si>
    <t>TJG20198</t>
  </si>
  <si>
    <t>Km 18+150</t>
  </si>
  <si>
    <t>TAS201810</t>
  </si>
  <si>
    <t>20/11/2018</t>
  </si>
  <si>
    <t>Este es un lugar que escabaron tipo un cajón grande donde echaban toda la basura son dos cajón en el mismo punto y se encuentran hasta hoy en el mismo lugar.</t>
  </si>
  <si>
    <t>Para llegar al punto es de 10 km desde la comunidad caminando</t>
  </si>
  <si>
    <t>Todos los monitores y comuneros de San Juan de Bartra</t>
  </si>
  <si>
    <t>TJG201919</t>
  </si>
  <si>
    <t>Botadero de fierros y tubos</t>
  </si>
  <si>
    <t>CFD20191</t>
  </si>
  <si>
    <t>14/03/2019</t>
  </si>
  <si>
    <t>Federico Diaz</t>
  </si>
  <si>
    <t>CFD20186</t>
  </si>
  <si>
    <t>13/06/2018</t>
  </si>
  <si>
    <t>Depósito de material</t>
  </si>
  <si>
    <t>Botadero de chatarra (plastico, tubos, bidones) de 5x30 metros. Abajo de la chatarra hay crudo embolsado en plastico. La empresa lo ha tapado y dijeron a la comunidad que no hay contaminación.</t>
  </si>
  <si>
    <t>Comunidad más cercana es Nueva Esperanza.</t>
  </si>
  <si>
    <t>179 10.0</t>
  </si>
  <si>
    <t>CFD20192</t>
  </si>
  <si>
    <t>CFD20185</t>
  </si>
  <si>
    <t>30/07/2018</t>
  </si>
  <si>
    <t>Derrame antiguo (2011), Pluspetrol remedió pero no suficiente. Afecta quebrada Camaronyacu.</t>
  </si>
  <si>
    <r>
      <rPr>
        <rFont val="Calibri"/>
        <color rgb="FFFF0000"/>
        <sz val="10.0"/>
      </rPr>
      <t>oleoducto</t>
    </r>
    <r>
      <rPr>
        <rFont val="Calibri"/>
        <color rgb="FF000000"/>
        <sz val="10.0"/>
      </rPr>
      <t xml:space="preserve"> entre batería 7 y Capirona 4; comunidad mas cercana es Nueva Esperanza</t>
    </r>
  </si>
  <si>
    <t>193 20.0</t>
  </si>
  <si>
    <t>TJG201934</t>
  </si>
  <si>
    <t>Chatarra de fierros</t>
  </si>
  <si>
    <t>TAS20193</t>
  </si>
  <si>
    <r>
      <rPr>
        <rFont val="Calibri"/>
        <color theme="1"/>
        <sz val="10.0"/>
      </rPr>
      <t xml:space="preserve">Es un botadero antiguo que a simple vista no se nota nada </t>
    </r>
    <r>
      <rPr>
        <rFont val="Calibri"/>
        <color rgb="FFFF0000"/>
        <sz val="10.0"/>
      </rPr>
      <t xml:space="preserve">porque </t>
    </r>
    <r>
      <rPr>
        <rFont val="Calibri"/>
        <color theme="1"/>
        <sz val="10.0"/>
      </rPr>
      <t xml:space="preserve">se encuentran enterrado que dejó la empresa Pluspetrol hace años y </t>
    </r>
    <r>
      <rPr>
        <rFont val="Calibri"/>
        <color rgb="FFFF0000"/>
        <sz val="10.0"/>
      </rPr>
      <t>está enterrado</t>
    </r>
  </si>
  <si>
    <t>13 km aproximadamente batería Bartra</t>
  </si>
  <si>
    <t>197 5.0</t>
  </si>
  <si>
    <t>Todos los monitores de la comunidad</t>
  </si>
  <si>
    <t>TAS201715</t>
  </si>
  <si>
    <t>Dentro del territorio de la comunidad San Juan Bartra y la área de caza de El Ojeal. Hay varios barriles metales botados en el bosque. Hay una colpa.</t>
  </si>
  <si>
    <r>
      <rPr>
        <rFont val="Calibri"/>
        <color theme="1"/>
        <sz val="10.0"/>
      </rPr>
      <t>Batería Bartra, km 10</t>
    </r>
    <r>
      <rPr>
        <rFont val="Calibri"/>
        <color rgb="FFFF0000"/>
        <sz val="10.0"/>
      </rPr>
      <t xml:space="preserve"> en la comunidad San Juan Bartra y la área de caza de El Ojeal</t>
    </r>
  </si>
  <si>
    <t>-75.64882541</t>
  </si>
  <si>
    <t>-2.46757376</t>
  </si>
  <si>
    <t>TAS20194</t>
  </si>
  <si>
    <t>Contaminación al medio ambiente y ala salud de los vivientes. Afecta a la quebrada Montano. Numerado 1.2.4 en reporte de monitoreo San Juan de Bartra</t>
  </si>
  <si>
    <t>Km 20 aproximadamente batería bartra en trayecto de Bartra al cruce de San Jacinto</t>
  </si>
  <si>
    <t>188 5.0</t>
  </si>
  <si>
    <t>Todos los monitores ambientales San Juan de bartra</t>
  </si>
  <si>
    <t>TAS201919</t>
  </si>
  <si>
    <t>18/01/2019</t>
  </si>
  <si>
    <t>En el km 10.500 metros  batería Bartra botadero antiguo  de materiales industriales; 30x100. Chatarra se encuentran tanto en la superficie y como también enterrado en gran cantidad. Afecta Cocha Verde.</t>
  </si>
  <si>
    <t>n/a</t>
  </si>
  <si>
    <t>196 5.0</t>
  </si>
  <si>
    <t>Todos los monitores ambientales San Juan bartra</t>
  </si>
  <si>
    <t>TAS20189</t>
  </si>
  <si>
    <r>
      <rPr>
        <rFont val="Calibri"/>
        <color rgb="FFFF0000"/>
        <sz val="10.0"/>
      </rPr>
      <t>Este lugar ha sido un lugar</t>
    </r>
    <r>
      <rPr>
        <rFont val="Calibri"/>
        <color theme="1"/>
        <sz val="10.0"/>
      </rPr>
      <t xml:space="preserve"> donde la empresa Oxy </t>
    </r>
    <r>
      <rPr>
        <rFont val="Calibri"/>
        <color rgb="FFFF0000"/>
        <sz val="10.0"/>
      </rPr>
      <t>botaba</t>
    </r>
    <r>
      <rPr>
        <rFont val="Calibri"/>
        <color theme="1"/>
        <sz val="10.0"/>
      </rPr>
      <t xml:space="preserve"> todo tipo de materiales y se encuentran en el mismo lugar(bidones condentro y si dentro con quimicas). Afecta quebrada montano y cochas ,saliendo por el río tigre. Hasta la fecha </t>
    </r>
    <r>
      <rPr>
        <rFont val="Calibri"/>
        <color rgb="FFFF0000"/>
        <sz val="10.0"/>
      </rPr>
      <t>se ve</t>
    </r>
    <r>
      <rPr>
        <rFont val="Calibri"/>
        <color theme="1"/>
        <sz val="10.0"/>
      </rPr>
      <t xml:space="preserve"> que se están enterrando se debido al tiempo. Este Botadero se encuentran a un costado de la batería en el km 11 donde puedes </t>
    </r>
    <r>
      <rPr>
        <rFont val="Calibri"/>
        <color rgb="FFFF0000"/>
        <sz val="10.0"/>
      </rPr>
      <t>encontrar</t>
    </r>
    <r>
      <rPr>
        <rFont val="Calibri"/>
        <color theme="1"/>
        <sz val="10.0"/>
      </rPr>
      <t xml:space="preserve"> todo tipo de materiales. Se encuentra un canto de la misma batería Bartra</t>
    </r>
  </si>
  <si>
    <t>Este Botadero se encuentran a un costado de la batería en el km 11 donde puedes en contrar todo tipo de materiales. Se encuentra a un canto de la misma batería Bartra</t>
  </si>
  <si>
    <t>235 5.0</t>
  </si>
  <si>
    <t>Otros monitores</t>
  </si>
  <si>
    <t>TAS201918</t>
  </si>
  <si>
    <t>Este lugar es todo lo que arrojaban el pozo 4-5 el perímetro de suelo contaminado es aproximadamente de 2000 metros de ancho y de largo 2000 metros de ancho aprox.</t>
  </si>
  <si>
    <t>Pozo 4-5 de batería Bartra</t>
  </si>
  <si>
    <t>234 5.0</t>
  </si>
  <si>
    <t>Todos los monitores de San Juan de bartra</t>
  </si>
  <si>
    <t>TAS20186</t>
  </si>
  <si>
    <t>15/04/2018</t>
  </si>
  <si>
    <t>Sitio antiguo, botadero de crudo al lado de pozos 4 &amp; 5, donde ahora se encuentra una colpa artificial. Varios animales vienen a comer. El crudo también afecta a la quebrada Bufeo, la cual fluye hacia el rio Tígre. Dificil de estimar el area afectado porque por partes está enterrado.</t>
  </si>
  <si>
    <t>Estos pozos se encuentra de la comunidad de San Juan, llegando a batería 237;a Bartra en el km 11 aprox.entrando hacia la derecha a km 1 y 600 metros al fondo están los pozos.</t>
  </si>
  <si>
    <t>203 4.0</t>
  </si>
  <si>
    <t>Meimer Sandi, Federico Carijano, Kenyo Sandi y otros comuneros.</t>
  </si>
  <si>
    <t>TJG201917</t>
  </si>
  <si>
    <t>Botadero de tubos</t>
  </si>
  <si>
    <t>TJG201918</t>
  </si>
  <si>
    <t>Botadero de cilindros, calaminas y botellas</t>
  </si>
  <si>
    <t>TOG20181
TES20181</t>
  </si>
  <si>
    <t>19/11/2018</t>
  </si>
  <si>
    <t>Sitio antiguo, afecta suelo y una quebrada</t>
  </si>
  <si>
    <t>pozo 4 y 5 San Juan de Bartra, kilómetro 6</t>
  </si>
  <si>
    <t>195 8.0</t>
  </si>
  <si>
    <t>Orinson Garcia</t>
  </si>
  <si>
    <t>TJG20197</t>
  </si>
  <si>
    <t>Sitios impactados por hidrocarburos</t>
  </si>
  <si>
    <t>Pozo 4 y 5 San Juan de Bartra</t>
  </si>
  <si>
    <t>TAS20195</t>
  </si>
  <si>
    <t>Exactamente no se sabe cuánto de extención se encuentra este botadero será un aproximado de 200 x100. Afecta quebrada Montano</t>
  </si>
  <si>
    <t>Km 20 barteria Bartra se encuentra en el trayecto de Bartra al cruce de San Jacinto</t>
  </si>
  <si>
    <t>192 4.0</t>
  </si>
  <si>
    <t>Todos los monitores ambientales y los comuneros</t>
  </si>
  <si>
    <t>TNA201502</t>
  </si>
  <si>
    <t xml:space="preserve">Se acumularon restos antiguos de la época de Oxy. </t>
  </si>
  <si>
    <t>Pozos cercanos 4-5 en Batería Bartra.</t>
  </si>
  <si>
    <t>TJG201933</t>
  </si>
  <si>
    <t>Chatarra de tubos enterrados</t>
  </si>
  <si>
    <t>TAS20187</t>
  </si>
  <si>
    <t>Sitio antiguo; colpa artificial. En este sitio comen las Sacha vaca, venado,majas,Sajino, carachupa, maquisapa, etc.</t>
  </si>
  <si>
    <t>Este incidente se encuentra en la mitad del oleoducto que viene del pozo 4 &amp; 5 al batería 237, a 1500 metros de batería 237</t>
  </si>
  <si>
    <t>217 5.0</t>
  </si>
  <si>
    <t>Meimer Sandi, Benjamín Carijano, Federico Carijano, Kenyo Sandi</t>
  </si>
  <si>
    <t>TAS20196</t>
  </si>
  <si>
    <t>17/01/2019</t>
  </si>
  <si>
    <t>Es un lugar antiguo de bidones abandonados antiguos se encuentran aproximadamente de 100 x 500 metros. Antes eran algunos con dentro de quimicas se reventaron por el tiempo que tenia</t>
  </si>
  <si>
    <t>200 5.0</t>
  </si>
  <si>
    <t>Monitores ambientales</t>
  </si>
  <si>
    <t>TAS201704</t>
  </si>
  <si>
    <r>
      <rPr>
        <rFont val="Calibri"/>
        <color rgb="FF000000"/>
        <sz val="10.0"/>
      </rPr>
      <t xml:space="preserve">Dentro del territorio de la comunidad San Juan Bartra y el área de caza y pesca de Puesto Vaca.  Es un sitio antiguo.  </t>
    </r>
    <r>
      <rPr>
        <rFont val="Calibri"/>
        <color rgb="FFFF0000"/>
        <sz val="10.0"/>
      </rPr>
      <t xml:space="preserve">Hay un gran número de viejos bidones y barriles de metal abandonados en el bosque. </t>
    </r>
    <r>
      <rPr>
        <rFont val="Calibri"/>
        <color rgb="FF000000"/>
        <sz val="10.0"/>
      </rPr>
      <t>Se encuentra también una colpa.</t>
    </r>
  </si>
  <si>
    <r>
      <rPr>
        <rFont val="Calibri"/>
        <color theme="1"/>
        <sz val="10.0"/>
      </rPr>
      <t xml:space="preserve">Batería Bartra </t>
    </r>
    <r>
      <rPr>
        <rFont val="Calibri"/>
        <color rgb="FFFF0000"/>
        <sz val="10.0"/>
      </rPr>
      <t>en la comunidad San Juan Bartra</t>
    </r>
  </si>
  <si>
    <t>.9727758.8</t>
  </si>
  <si>
    <t>-2.46288102</t>
  </si>
  <si>
    <t>TAS201912</t>
  </si>
  <si>
    <r>
      <rPr>
        <rFont val="Calibri"/>
        <color theme="1"/>
        <sz val="10.0"/>
      </rPr>
      <t xml:space="preserve">En la misma batería Bartra se </t>
    </r>
    <r>
      <rPr>
        <rFont val="Calibri"/>
        <color rgb="FFFF0000"/>
        <sz val="10.0"/>
      </rPr>
      <t xml:space="preserve">encuentra </t>
    </r>
    <r>
      <rPr>
        <rFont val="Calibri"/>
        <color theme="1"/>
        <sz val="10.0"/>
      </rPr>
      <t xml:space="preserve">en esta condición hasta hoy en dia. Esta chatarras se encuentran en este lugar algunos enterrados y como también fuera casi no se nota nada </t>
    </r>
    <r>
      <rPr>
        <rFont val="Calibri"/>
        <color rgb="FFFF0000"/>
        <sz val="10.0"/>
      </rPr>
      <t>porque</t>
    </r>
    <r>
      <rPr>
        <rFont val="Calibri"/>
        <color theme="1"/>
        <sz val="10.0"/>
      </rPr>
      <t xml:space="preserve"> están dentro del bosque. Este lugar es aproximadamente de 500 largo por 500 de ancho</t>
    </r>
  </si>
  <si>
    <t>Batería San Juan de Bartra</t>
  </si>
  <si>
    <t>192 5.0</t>
  </si>
  <si>
    <t>Todos los monitores</t>
  </si>
  <si>
    <t>TES201702</t>
  </si>
  <si>
    <r>
      <rPr>
        <rFont val="Calibri"/>
        <color rgb="FF000000"/>
        <sz val="10.0"/>
      </rPr>
      <t xml:space="preserve">El botadero contiene varios residuos como </t>
    </r>
    <r>
      <rPr>
        <rFont val="Calibri"/>
        <color rgb="FFFF0000"/>
        <sz val="10.0"/>
      </rPr>
      <t>viejos bidones metálicos, barriles, tuberías, etc</t>
    </r>
    <r>
      <rPr>
        <rFont val="Calibri"/>
        <color rgb="FF000000"/>
        <sz val="10.0"/>
      </rPr>
      <t xml:space="preserve">. La vegetación ha crecido y ha ocultado parcialmente la extensión y los daños causados por el botadero. </t>
    </r>
  </si>
  <si>
    <t>Batería Bartra (comunidad San Juan Bartra) a unos 12 km de San Juan de Bartra a Batería Bartra.</t>
  </si>
  <si>
    <t>-75.64202238</t>
  </si>
  <si>
    <t>-2.4591422</t>
  </si>
  <si>
    <t>TAS201911</t>
  </si>
  <si>
    <r>
      <rPr>
        <rFont val="Calibri"/>
        <color theme="1"/>
        <sz val="10.0"/>
      </rPr>
      <t>Este lugar este 100 a x 2000 metros de largo es derrame antiguo de hidrocarburos enterrando en este huagal. Contaminación a</t>
    </r>
    <r>
      <rPr>
        <rFont val="Calibri"/>
        <color rgb="FFFF0000"/>
        <sz val="10.0"/>
      </rPr>
      <t xml:space="preserve"> nuestros </t>
    </r>
    <r>
      <rPr>
        <rFont val="Calibri"/>
        <color theme="1"/>
        <sz val="10.0"/>
      </rPr>
      <t>animales y la humanidad</t>
    </r>
  </si>
  <si>
    <t>Pozo 1-2-12 Bartra</t>
  </si>
  <si>
    <t>176 5.0</t>
  </si>
  <si>
    <t>TAS201714</t>
  </si>
  <si>
    <r>
      <rPr>
        <rFont val="Calibri"/>
        <color rgb="FF000000"/>
        <sz val="10.0"/>
      </rPr>
      <t xml:space="preserve">Se encuentra cerca a la Batería Bartra, en el territorio de la comunidad San Juan Bartra. </t>
    </r>
    <r>
      <rPr>
        <rFont val="Calibri"/>
        <color rgb="FFFF0000"/>
        <sz val="10.0"/>
      </rPr>
      <t>Hay pruebas sólidas de que el agua contaminada es utilizada habitualmente por animales y seres humanos.</t>
    </r>
    <r>
      <rPr>
        <rFont val="Calibri"/>
        <color rgb="FF000000"/>
        <sz val="10.0"/>
      </rPr>
      <t xml:space="preserve"> Nunca ha sido remediado. El monitor recuerda haber visto petróleo y aguas producidas corriendo por el riachuelo en 1998.</t>
    </r>
  </si>
  <si>
    <r>
      <rPr>
        <rFont val="Calibri"/>
        <color theme="1"/>
        <sz val="10.0"/>
      </rPr>
      <t xml:space="preserve">Batería Bartra </t>
    </r>
    <r>
      <rPr>
        <rFont val="Calibri"/>
        <color rgb="FFFF0000"/>
        <sz val="10.0"/>
      </rPr>
      <t>en la comunidad San Juan Bartra</t>
    </r>
  </si>
  <si>
    <t>TAS20185</t>
  </si>
  <si>
    <t>Piscina de crudo</t>
  </si>
  <si>
    <t>Sitio antiguo; En este sitio botaban todo el crudo de pozos y oleoductos. Hoy en día se encuentran enterrados , pero cuando le mueves con algún objeto se ve que flotan.  Fuente es un oleoducto de pozo 1 al pozo 5. Area afectada de 150x800 metros. Afecta un aguajal,  la quebrada Montano, Centro cocha y aucacocha, que son lugares de pesca.</t>
  </si>
  <si>
    <t>Se encuentra aproximadamente a 500 metros del pozo 1.</t>
  </si>
  <si>
    <t>186 5.0</t>
  </si>
  <si>
    <t>TAS201914</t>
  </si>
  <si>
    <t>Aguajal Montano con contaminación</t>
  </si>
  <si>
    <t>Cerca al pozo 11-10 aproximadamente de 300 metros se encuentran este lugar batería Bartra</t>
  </si>
  <si>
    <t>184 5.0</t>
  </si>
  <si>
    <t>TJG201910</t>
  </si>
  <si>
    <t>Botadero de fierros</t>
  </si>
  <si>
    <t>TJG201913</t>
  </si>
  <si>
    <t>Restos de base de Bartra</t>
  </si>
  <si>
    <t>TAS20188</t>
  </si>
  <si>
    <t>Sitio antiguo; el pozo 1 llenaban en el sump tank y le notaban hacia la bajada que hoy en día se encuentra acumulado en las cochas y donde hay bujurqui, boquichico ,fasaco ,shuyo entre otros especies. Estos derrames comtaminaron a la quebrada Sara yacu, quebrada montano, la Cocha auka cocha y fluyen hacia el río Tigre.</t>
  </si>
  <si>
    <t>Pozo numero 1 de San Juan de Bartra, se encuentra a 200 metros, antes de llegar a Batería Bartra hacia la derecha, llegando al pozo hacia la derecha se encuentra el SUMP TANK.</t>
  </si>
  <si>
    <t>177 5.0</t>
  </si>
  <si>
    <t>Federico Carijano, Reyver Sandi,  Arnoldo Rodriguez, Benjamin Carijano, Julio Manya,</t>
  </si>
  <si>
    <t>TJG20191</t>
  </si>
  <si>
    <t>Pozo 9 San Juan de Bartra</t>
  </si>
  <si>
    <t>TAS20184</t>
  </si>
  <si>
    <t>Sitio antiguo; a 80 metros de pozos 10 &amp; 11 se encuentra una acumulación de crudo que afecta la quebrada Montano</t>
  </si>
  <si>
    <t>Este derrame se encuentran a 80 metros del pozo 10 y 11 con batería; a Bartra a 50 metros</t>
  </si>
  <si>
    <t>181 3.0</t>
  </si>
  <si>
    <t>Federico Carijano, Reyver Sandi, Artemio Cariajano, Kenyo Sandi</t>
  </si>
  <si>
    <t>TAS201910</t>
  </si>
  <si>
    <t>16/01/2019</t>
  </si>
  <si>
    <t>Descarga de agua</t>
  </si>
  <si>
    <t>Agua contaminada, Afecta aguajal y quebrada Montano</t>
  </si>
  <si>
    <t>Pozo 10-11 San Juan de Bartra</t>
  </si>
  <si>
    <t>191 4.0</t>
  </si>
  <si>
    <t>TJG201916</t>
  </si>
  <si>
    <t>TJG201926</t>
  </si>
  <si>
    <t>Chatarra de cilindros</t>
  </si>
  <si>
    <t>TJG20199</t>
  </si>
  <si>
    <t>TJG20192</t>
  </si>
  <si>
    <t>TAS201920</t>
  </si>
  <si>
    <r>
      <rPr>
        <rFont val="Calibri"/>
        <color theme="1"/>
        <sz val="10.0"/>
      </rPr>
      <t xml:space="preserve">Es una kolpa provocado por las empresa </t>
    </r>
    <r>
      <rPr>
        <rFont val="Calibri"/>
        <color rgb="FFFF0000"/>
        <sz val="10.0"/>
      </rPr>
      <t>debido</t>
    </r>
    <r>
      <rPr>
        <rFont val="Calibri"/>
        <color theme="1"/>
        <sz val="10.0"/>
      </rPr>
      <t xml:space="preserve"> al derrame de quimicas y los animales comen y se contamina facilmente. Afecta caza, afecta quebrada Montano y otras,. Este lugar es de 50 de ancho por  400 metros de largo</t>
    </r>
  </si>
  <si>
    <t>Pozo n.9 por el norte de Bartra</t>
  </si>
  <si>
    <t>195 5.0</t>
  </si>
  <si>
    <t>Todos los monitores ambientales de San Juan de bartra</t>
  </si>
  <si>
    <t>TAS20182</t>
  </si>
  <si>
    <t>pozo</t>
  </si>
  <si>
    <t>En esta Cocha se acumulaba el derrame de pozo 9, nunca lo han remediado y hasta el día de hoy se encuentran enterrados. Area afectad:  60x150 metros.</t>
  </si>
  <si>
    <t>Encontrandose hacia el norte de batería;a Bartra el pozo 9</t>
  </si>
  <si>
    <t>198 5.0</t>
  </si>
  <si>
    <t>Federico Carijano, Meimer Sandi, Kenyo Sandi, Aroldo Rodriguez, Reyver Sandi</t>
  </si>
  <si>
    <t>TJG201930</t>
  </si>
  <si>
    <t>TJG20195</t>
  </si>
  <si>
    <t>TJG201936</t>
  </si>
  <si>
    <t>TJG201927</t>
  </si>
  <si>
    <t>TAS201915</t>
  </si>
  <si>
    <t>Se encuentran en la misma batería de Bartra a unos metros</t>
  </si>
  <si>
    <t>204 4.0</t>
  </si>
  <si>
    <t>TJG201914</t>
  </si>
  <si>
    <t>TAS201913</t>
  </si>
  <si>
    <t>Este derrame causado por la misma batería y pozos. Afecta aguajal Montano</t>
  </si>
  <si>
    <t>TJG201931</t>
  </si>
  <si>
    <t>TJG201928</t>
  </si>
  <si>
    <t>TJG201911</t>
  </si>
  <si>
    <t>Botadero de cilindros</t>
  </si>
  <si>
    <t>TJG201929</t>
  </si>
  <si>
    <t>TJG201912</t>
  </si>
  <si>
    <t>TAS20198</t>
  </si>
  <si>
    <t>Agua contaminada, Afecta aguajal y quebrada Montano, 100x500</t>
  </si>
  <si>
    <t>Pozo 6, 7, 8, bartra</t>
  </si>
  <si>
    <t>180 5.0</t>
  </si>
  <si>
    <t>TAS20181</t>
  </si>
  <si>
    <t>En este lugar de todo el pozo (6)(7)(8)(3) que  drenaban  se encuentran acumulado en este lugar y cuanto habra por dentro que sigue afectando a muchas quebrada</t>
  </si>
  <si>
    <t>San Juan de Bartra; De Batería a Bartra yendo por carretera al doce de octubre, de Bartra a 300 metros entrando hacia la derecha caminando a 400 metros se encuentran estos pozos</t>
  </si>
  <si>
    <t>203 3.0</t>
  </si>
  <si>
    <t>9729271.43</t>
  </si>
  <si>
    <t>Federico Cariajano,Julio Manya, Kenyo Sandi, Meimer Sandi, Aroldo Rodriguez</t>
  </si>
  <si>
    <t>TJG20194</t>
  </si>
  <si>
    <t>Pzo 6,7,8 San Juan de Bartra</t>
  </si>
  <si>
    <t>TAS201916</t>
  </si>
  <si>
    <t>Está en el pozo 13-14 maquina de antiguos que sacaban petróleos. Antiguamente. Este lugar es aproximadamente de ancho 100 largo 250</t>
  </si>
  <si>
    <t>201 4.0</t>
  </si>
  <si>
    <t>TAS201702</t>
  </si>
  <si>
    <t>vertedero, antiguo derrame de petróleo</t>
  </si>
  <si>
    <r>
      <rPr>
        <rFont val="Calibri"/>
        <color rgb="FF000000"/>
        <sz val="10.0"/>
      </rPr>
      <t xml:space="preserve">Afecta a la quebrada Sara Yacu, aguajales, cochas y colpas. Hay evidencia de instalaciones abandonadas y crudo antiguo vertido que afecta a la zona desde hace mucho tiempo. Esta contaminación </t>
    </r>
    <r>
      <rPr>
        <rFont val="Calibri"/>
        <color rgb="FFFF0000"/>
        <sz val="10.0"/>
      </rPr>
      <t>del medio ambiente</t>
    </r>
    <r>
      <rPr>
        <rFont val="Calibri"/>
        <color rgb="FF000000"/>
        <sz val="10.0"/>
      </rPr>
      <t xml:space="preserve"> afecta a la salud de las comunidades cercanas.</t>
    </r>
  </si>
  <si>
    <t>Pozo 13, Batería Bartra. El lugar se encuentra ubicado a 12 km de San Juan hacia Batería Bartra. Para llegar al pozo se necesitan alrededor de 1,5 km.</t>
  </si>
  <si>
    <t>-2.46725998</t>
  </si>
  <si>
    <t>TAS201917</t>
  </si>
  <si>
    <r>
      <rPr>
        <rFont val="Calibri"/>
        <color theme="1"/>
        <sz val="10.0"/>
      </rPr>
      <t xml:space="preserve">Derrame de crudo, suelo contaminado, 50x500. Afecta quebrada Montano. Este derrame está causando desde años  y no hay cuando lo remedien la afectación es </t>
    </r>
    <r>
      <rPr>
        <rFont val="Calibri"/>
        <color rgb="FFFF0000"/>
        <sz val="10.0"/>
      </rPr>
      <t>continua</t>
    </r>
  </si>
  <si>
    <t>Pozo 13-14 batería bartra</t>
  </si>
  <si>
    <t>202 5.0</t>
  </si>
  <si>
    <t>TJG20196</t>
  </si>
  <si>
    <t>Sitios impactados por hidrocarburos; presencia de crudo y aceite en suelo</t>
  </si>
  <si>
    <t>Pozo 13 y 14 San Juan de Bartra</t>
  </si>
  <si>
    <t>TVS201602</t>
  </si>
  <si>
    <t>08/08/2016</t>
  </si>
  <si>
    <t>El monitor afirma que cuando llueva, los pozos se desborden y el crudo residual se desemboca en el medio ambiente. Cabe destacar que la batería Bartra no se ha operado desde hace muchos años. La contaminación afecta al territorio de San Juan Bartra.</t>
  </si>
  <si>
    <t>Tanques 13-14 en Batería Bartra</t>
  </si>
  <si>
    <t>Orinson, Venancio Sandi</t>
  </si>
  <si>
    <t>TNA201503</t>
  </si>
  <si>
    <t>Residuos antiguos de los tiempos de Oxy, acumulados.</t>
  </si>
  <si>
    <t>Pozos cercanos 12 y 13, en Batería Bartra.</t>
  </si>
  <si>
    <t>COE201708/CFD201803</t>
  </si>
  <si>
    <t>odk, Informe OEFA</t>
  </si>
  <si>
    <t>22/02/2017 18/01/2018</t>
  </si>
  <si>
    <r>
      <rPr>
        <rFont val="Calibri"/>
        <color rgb="FF000000"/>
        <sz val="10.0"/>
      </rPr>
      <t xml:space="preserve">El 22 de febrero 2017 (código COE201708), después de una denuncia administrativa hecha por Nemesio Díaz Piñola, el OEFA llevó a cabo una expedición de supervisión. El evento ocurrió en el </t>
    </r>
    <r>
      <rPr>
        <rFont val="Calibri"/>
        <color rgb="FFFF0000"/>
        <sz val="10.0"/>
      </rPr>
      <t xml:space="preserve">ducto </t>
    </r>
    <r>
      <rPr>
        <rFont val="Calibri"/>
        <color rgb="FF000000"/>
        <sz val="10.0"/>
      </rPr>
      <t xml:space="preserve">que conecta Batería 4 a Batería 7 Nueva Esperanza. Un área de unos </t>
    </r>
    <r>
      <rPr>
        <rFont val="Calibri"/>
        <color rgb="FFFF0000"/>
        <sz val="10.0"/>
      </rPr>
      <t xml:space="preserve">36m2 </t>
    </r>
    <r>
      <rPr>
        <rFont val="Calibri"/>
        <color rgb="FF000000"/>
        <sz val="10.0"/>
      </rPr>
      <t xml:space="preserve">fue afectada, incluyendo suelo y </t>
    </r>
    <r>
      <rPr>
        <rFont val="Calibri"/>
        <color rgb="FFFF0000"/>
        <sz val="10.0"/>
      </rPr>
      <t>vegetación</t>
    </r>
    <r>
      <rPr>
        <rFont val="Calibri"/>
        <color rgb="FF000000"/>
        <sz val="10.0"/>
      </rPr>
      <t xml:space="preserve">. Una quebrada aledaña </t>
    </r>
    <r>
      <rPr>
        <rFont val="Calibri"/>
        <color rgb="FFFF0000"/>
        <sz val="10.0"/>
      </rPr>
      <t>(nombre no especificado) que fluye hacia e</t>
    </r>
    <r>
      <rPr>
        <rFont val="Calibri"/>
        <color rgb="FF000000"/>
        <sz val="10.0"/>
      </rPr>
      <t>l río Corrientes también tenía parches visibles de crudo. El 18 de energo 2018 (código CFD201803), monitores ambientales de FECONADO y el apu de la Comunidad Nativa San José de Nueva Esperanza hicieron una visita al sitio donde un derrame pasó el año pasado, en el</t>
    </r>
    <r>
      <rPr>
        <rFont val="Calibri"/>
        <color rgb="FFFF0000"/>
        <sz val="10.0"/>
      </rPr>
      <t xml:space="preserve"> ducto </t>
    </r>
    <r>
      <rPr>
        <rFont val="Calibri"/>
        <color rgb="FF000000"/>
        <sz val="10.0"/>
      </rPr>
      <t xml:space="preserve">que conecta Batería 7 con Batería 4. Ellos informaron de contaminacion del aguajal Caño y el río. Se encontró evidencia de que la empresa había quemado el crudo y se informó de una falta de barreras de contención instaladas para prevenir la expansión del crudo. De los registros, queda claro que la empresa no cumplió con su responsabilidad de remediar y limpiar todos los sitios impactados. </t>
    </r>
  </si>
  <si>
    <r>
      <rPr>
        <rFont val="Calibri"/>
        <color rgb="FFFF0000"/>
        <sz val="10.0"/>
      </rPr>
      <t>Ducto</t>
    </r>
    <r>
      <rPr>
        <rFont val="Calibri"/>
        <color theme="1"/>
        <sz val="10.0"/>
      </rPr>
      <t xml:space="preserve"> Batería 7- Batería 4, km 54+800.</t>
    </r>
  </si>
  <si>
    <t>TAS20199</t>
  </si>
  <si>
    <t>Suelo contaminado, afecta quebrada montano y aguajal</t>
  </si>
  <si>
    <t>Pozo 3, Bartra</t>
  </si>
  <si>
    <t>208 5.0</t>
  </si>
  <si>
    <t>TJG20193</t>
  </si>
  <si>
    <t>Pozo 15 y 16 San Juan de Bartra</t>
  </si>
  <si>
    <t>TAS20197
TES20191</t>
  </si>
  <si>
    <t>Presencia de crudo</t>
  </si>
  <si>
    <t>Del pozo 15-16 en a batería Bartra en una quebrada afluente de montano</t>
  </si>
  <si>
    <t>193 5.0</t>
  </si>
  <si>
    <t>Todos los monitores ambientales de San Juan bartra</t>
  </si>
  <si>
    <t>TAS20183</t>
  </si>
  <si>
    <t>Un oleoducto que conecta pozos 15 &amp; 16 con pozo 638, en el medio del oleoducto existe un antiguo derrame, el crudo se ha concentrado y está afectando a cochas y quebradas de pueblo. Está cerca al puesto coconal. Con el tiempol, el crudo se ha enterrado, por eso es dificil de encontrar.</t>
  </si>
  <si>
    <t>Como base siendo la batería; a Bartra haciendo un encuentro de los pozos 3, el pozo 16 y el pozo 9</t>
  </si>
  <si>
    <t>Meimer Sandi, Benjamín Carijano, Federico Carijano, Arnoldo Rodriguez</t>
  </si>
  <si>
    <t>TJG201932</t>
  </si>
  <si>
    <t>COE201710/CFD201802</t>
  </si>
  <si>
    <t>Actas administrativas, Lista de denuncias ambientales, Lista de emergencias ambientales, odk, Informe OEFA</t>
  </si>
  <si>
    <t>12/04/2017 18/01/2018</t>
  </si>
  <si>
    <r>
      <rPr>
        <rFont val="Calibri"/>
        <color rgb="FF000000"/>
        <sz val="10.0"/>
      </rPr>
      <t xml:space="preserve">El 22 de mayo 2017 (código COE201710) comuneros de la comunidad nativa San José de Nueva Esperanza hicieron una denuncia fornal sobre un derrame occurido 13 km de su comunidad. El derrame </t>
    </r>
    <r>
      <rPr>
        <rFont val="Calibri"/>
        <color rgb="FFFF0000"/>
        <sz val="10.0"/>
      </rPr>
      <t xml:space="preserve">fue causado por un corte </t>
    </r>
    <r>
      <rPr>
        <rFont val="Calibri"/>
        <color rgb="FF000000"/>
        <sz val="10.0"/>
      </rPr>
      <t xml:space="preserve">intencional en la tubería que conecta la Batería 4 Capirona a la Batería 7 en el punto 37+150 km. Según el informe de supervisión de OEFA, habían muestras de crudo cerca a la fuga. El área impactada se suma a unos 100 m2 y tuvo un impacto significativo en la quebrada Camarón Caño. Afectó también a Cangrejo Caño y la quebrada Sabalillo, afluyente del río Corrientes. La empresa instaló barreras para controlar el derrame. Sin embargo, los materiales utilizados no fueron </t>
    </r>
    <r>
      <rPr>
        <rFont val="Calibri"/>
        <color rgb="FFFF0000"/>
        <sz val="10.0"/>
      </rPr>
      <t>completamente</t>
    </r>
    <r>
      <rPr>
        <rFont val="Calibri"/>
        <color rgb="FF000000"/>
        <sz val="10.0"/>
      </rPr>
      <t xml:space="preserve"> hermeticos. El informe de la resolución directoral menciona que la empresa no remedió los sitios impactados, resultado en un procedimiento administrativo contra Pluspetrol. El 18 de enero 2018 (código CFD201802), monitores ambientales de FECONACO visitaron el sitio. Los registros muestran contaminación aún presente en el suelo cerca al punto de fuga. Queda claro que la empresa no hizo la remediación en el área. </t>
    </r>
  </si>
  <si>
    <t>Tubería de Batería 4 a Batería 7, por el km 37+150 (Capirona).</t>
  </si>
  <si>
    <t>CFD20187</t>
  </si>
  <si>
    <t>29/11/2018</t>
  </si>
  <si>
    <r>
      <rPr>
        <rFont val="Calibri"/>
        <color theme="1"/>
        <sz val="10.0"/>
      </rPr>
      <t xml:space="preserve">Derrame de crudo en </t>
    </r>
    <r>
      <rPr>
        <rFont val="Calibri"/>
        <color rgb="FFFF0000"/>
        <sz val="10.0"/>
      </rPr>
      <t xml:space="preserve">oleoducto </t>
    </r>
    <r>
      <rPr>
        <rFont val="Calibri"/>
        <color theme="1"/>
        <sz val="10.0"/>
      </rPr>
      <t>de Batería 7 a Batería 4 Capirona, tierra afectada 5x30m</t>
    </r>
  </si>
  <si>
    <t>san jose de nueva esperanza</t>
  </si>
  <si>
    <t>CSES200901</t>
  </si>
  <si>
    <t>Tubo antiguo que aún contiene crudo.</t>
  </si>
  <si>
    <t>Batería 4.</t>
  </si>
  <si>
    <t xml:space="preserve"> Segundo Sandi</t>
  </si>
  <si>
    <t>CJG201402</t>
  </si>
  <si>
    <t>Informe judicial, Lista de emergencias ambientales, Informe OEFA</t>
  </si>
  <si>
    <t xml:space="preserve">Se dio debido a la oxidación interna de la tubería. El apu de la comunidad nativa Pucacuro y un miembro de FECONACO con el OEFA visitaron el lugar. Encontraron por lo menos 476 m2 de aguajal y un área de 2,5m por los dos lados del oleoducto completamente contaminado. Es más, la contaminación llegó 80m desde su punto original hacia el río Corrientes, llegando a la quebrada Namanyaca que fue fuertemente afectada. Se hicieron trabajos de remediación. </t>
  </si>
  <si>
    <t>El oleoducto que va desde Nueva Esperanza hacia Estación de Bombas, km 6+600. / en territorio Comunidad Santa Rosa. Planta Central de Producción 7, desde el Campo Base hasta los pozos 74 y 86.</t>
  </si>
  <si>
    <t>José García Díaz</t>
  </si>
  <si>
    <t>COE201335.22</t>
  </si>
  <si>
    <t>Código de sitio: S22. Este lugar se encuentra ubicado a 50 metros al noreste de la Plátaforma 2X. Yacimiento Pavayacu-Capirona.</t>
  </si>
  <si>
    <t>COE201335.21</t>
  </si>
  <si>
    <t>código de sitio: S21. Este lugar está ubicado 50 metros al norte de la Plátaforma 2X. Yacimiento Pavayacu-Capirona.</t>
  </si>
  <si>
    <t>COE201335.20</t>
  </si>
  <si>
    <t>Código de sitio: S20. Este lugar está ubicado a 1km de Batería 4. Yacimiento Pavayacu-Capirona.</t>
  </si>
  <si>
    <t>CEV200601</t>
  </si>
  <si>
    <t xml:space="preserve">Los registros indican un pozo grande de crudo y una "colcha" impactada. La empresa está utilizando maquinaria pesada para encubrir este impacto, enterrando el crudo. </t>
  </si>
  <si>
    <t>bateria 4</t>
  </si>
  <si>
    <t xml:space="preserve"> Ernesto Vilchez Maynas</t>
  </si>
  <si>
    <t>COE201335.16</t>
  </si>
  <si>
    <t>código de sitio: S16. Este lugar está ubicado a 15 metros de Poza API, en Estación de Bombeo. Yacimiento Pavayacu-Capirona.</t>
  </si>
  <si>
    <t>CNA201501</t>
  </si>
  <si>
    <t xml:space="preserve">El área afectada por un derrame que se dio en 2011. La remediación hecha fue deficiente. </t>
  </si>
  <si>
    <t>Km 43 Pavayacu.</t>
  </si>
  <si>
    <t>COE201335.15</t>
  </si>
  <si>
    <t>Código de sitio: S15. Este lugar está ubicado a 200 metros de la Estación de Bombeo y a 50 metros de Cocha Atiliano. Yacimiento Pavayacu-Capirona.</t>
  </si>
  <si>
    <t>COE201335.13</t>
  </si>
  <si>
    <t>Código de sitio: S13. Este lugar se encuentra ubicado 100 metros al oeste del Andén 1108. Yacimiento Pavayacu-Capirona.</t>
  </si>
  <si>
    <t>COE201335.14</t>
  </si>
  <si>
    <t>Código de sitio: S14. Este lugar se ubica 300 metros al oeste del Andén 1108. Yacimiento Pavayacu-Capirona.</t>
  </si>
  <si>
    <t>CFS201501</t>
  </si>
  <si>
    <t xml:space="preserve">El derrame afectó a una laguna y su entorno. </t>
  </si>
  <si>
    <t>Cocha Negra, Comunidad de Peruanito.</t>
  </si>
  <si>
    <t>CEA201401; CJJ201401</t>
  </si>
  <si>
    <t xml:space="preserve">La empresa hizo una limpieza del sitio. </t>
  </si>
  <si>
    <t>Andén 70, batería 5 en CN Pucaruro.</t>
  </si>
  <si>
    <t>Edgardo Arimuya y Jerson Java</t>
  </si>
  <si>
    <t>COE201620</t>
  </si>
  <si>
    <t>24/07/2016</t>
  </si>
  <si>
    <t>El evento ocurrió debido a una ruptura en la línea de producción del pozo PAV-1103. Aunque este oleoducto no está en operación, aparentemente el oleoducto se ha roto cuando hubo un intento para bombear crudo nuevamente. El área afectada abarca 157m2, incluyendo una quebrada y afectó a un riachuelo llamado "Ramal 84" que termina en el riachuelo "Huanganayacu" y luego el río Tigre. La resolución directoral indica que Pluspetrol no implementó ninguna medida para prevenir este derrame.</t>
  </si>
  <si>
    <t>El punto exacto donde ocurrió el hecho se encuentra a 50 metros del km 16+800 de la vía principal Pucacuro-Pavayacu. en el tubo 4, cerca del pozo 130, ubicado a 500 metros de la Batería 5.</t>
  </si>
  <si>
    <t xml:space="preserve"> Jerson Java</t>
  </si>
  <si>
    <t>Limpieza del área afectada y recuperación del crudo</t>
  </si>
  <si>
    <t>COE201335.7</t>
  </si>
  <si>
    <t>Código de sitio: S7. Se ubica 300 metros al sur de la Plátaforma 84 (Cocha Petroboa), en Yacimiento Pavayacu-Capirona.</t>
  </si>
  <si>
    <t>COE201335.9</t>
  </si>
  <si>
    <t>código de sitio: S9. Se ubica a 50 metros del sitio S8. En la cabecera de la quebrada Huanganayacu, cerca del km 20 Campamento 101, carretera hacia Central Eléctrica 130, en Yacimiento Pavayacu-Capirona.</t>
  </si>
  <si>
    <t>COE201335.8</t>
  </si>
  <si>
    <t>código de sitio: S8. Este lugar está ubicado en la cabecera de la Quebrada Huanganayacu, a la altura del km 20 Campamento 101, vía hacia Central Eléctrica 130, en el Yacimiento Pavayacu-Capirona.</t>
  </si>
  <si>
    <t>COE201335.10</t>
  </si>
  <si>
    <t>Código de sitio: S10. Se ubica a 100 metros al este de la Batería 9, en un aguajal. Yacimiento Pavayacu-Capirona.</t>
  </si>
  <si>
    <t>COE201335.11</t>
  </si>
  <si>
    <t>código de sitio: S11. Se ubica 150 metros al oeste de Batería 9. Yacimiento Pavayacu-Capirona.</t>
  </si>
  <si>
    <t>COE201335.12</t>
  </si>
  <si>
    <t>Código de sitio: S12. Este lugar está ubicado 350 metros al noroeste de Batería 9. Yacimiento Pavayacu-Capirona.</t>
  </si>
  <si>
    <t>COE201335.19</t>
  </si>
  <si>
    <t>Código de sitio: S19. Este lugar está ubicado a 150 metros del Campamento 101. Yacimiento Pavayacu-Capirona.</t>
  </si>
  <si>
    <t>COE201335.18</t>
  </si>
  <si>
    <t>Código de sitio: S18. Este lugar está ubicado 200 metros al norte de Batería 9. Yacimiento Pavayacu-Capirona.</t>
  </si>
  <si>
    <t>COE201335.17</t>
  </si>
  <si>
    <t>Código de sitio: S17. Este lugar está ubicado 400 metros al norte de Batería 9, Ramal de Huanganayacu. Yacimiento Pavayacu-Capirona.</t>
  </si>
  <si>
    <t>CTS201401</t>
  </si>
  <si>
    <t>Árboles talados encontrados por el oleoducto.</t>
  </si>
  <si>
    <t>oleoducto Trompeteros-Pavayacu, CN Peruanito.</t>
  </si>
  <si>
    <t xml:space="preserve"> Tedi Sandi</t>
  </si>
  <si>
    <t>CEV200613</t>
  </si>
  <si>
    <t>bateria 5</t>
  </si>
  <si>
    <t>CEV200612</t>
  </si>
  <si>
    <t>Un derrame está afectando a la cocha Piuri.</t>
  </si>
  <si>
    <t>COE201210/CWS201201</t>
  </si>
  <si>
    <t>Se dio debido a la oxidación externa de la tubería. La quebrada Collpayo fue afectada.</t>
  </si>
  <si>
    <t>En el oleoducto E.E.B.E de Capirona a Batería 1, Corrientes. Km 16+417.</t>
  </si>
  <si>
    <t>Around 2 barrels were recovered.</t>
  </si>
  <si>
    <t>COE201403</t>
  </si>
  <si>
    <t>Derrame dentro de la comunidad Nuevo Porvenir. Afecta a la colcha Zungaro Yacu.</t>
  </si>
  <si>
    <t>comunidad nuevo porvenir</t>
  </si>
  <si>
    <t>CWA201401</t>
  </si>
  <si>
    <t>Afecta a la laguna Zungaro Yacu</t>
  </si>
  <si>
    <t>comunidad Nuevo Porvenir.</t>
  </si>
  <si>
    <t xml:space="preserve"> Wilder Ahuite</t>
  </si>
  <si>
    <t>CWA201402</t>
  </si>
  <si>
    <t>El derrame afecta a un cuerpo de agua.</t>
  </si>
  <si>
    <t>Campamento Paraíso (Km24+700) en territorio de la Comunidad Nuevo Porvenir.</t>
  </si>
  <si>
    <t>COE201106/CWS201101</t>
  </si>
  <si>
    <t>El evento ocurrió porque unos individuos externos cortaron con sierra el oleoducto Corrientes-Saramuro. Causó un derrame de crudo de 140 barriles cerca a la comunidad nativa Nueva Reforma. Un plan de contención se activó y se iniciaron trabajos de remediación también. Miembros de la administración nacional presentes.</t>
  </si>
  <si>
    <t>El oleoducto Corrientes- Saramuro, km 30+875. Batería 1.</t>
  </si>
  <si>
    <t>CFS201603</t>
  </si>
  <si>
    <t xml:space="preserve"> Afectó al río y una colpa de aves. El lugar se inunde regularmente durante al época de lluvías. </t>
  </si>
  <si>
    <t>se llevó a cabo en el pequeño río Trompeterillo grande, frente al pueblo de Trompeteros. El hecho se ubicó a 4 metros del río Corrientes.</t>
  </si>
  <si>
    <t>CFS201611</t>
  </si>
  <si>
    <t>oleoducto Corrientes-Saramuro km0+300, cerca de Batería 2.</t>
  </si>
  <si>
    <t>COE201003.1/CWS201006</t>
  </si>
  <si>
    <t>21/04/2010 23/04/2010</t>
  </si>
  <si>
    <t xml:space="preserve">Algunos individuos externos cortaron la tubería para extraer el diésel. </t>
  </si>
  <si>
    <t>El oleoducto que conecta Batería 1 (Trompeteros) con Batería 8 (Chambira). oleoducto Trompeteros-Chambira.</t>
  </si>
  <si>
    <t>COE201335.23</t>
  </si>
  <si>
    <t>Código de sitio: S23. Este lugar está ubicado en el km 5+570.31 del oleoducto Corrientes-Saramuro. Yacimiento Corrientes.</t>
  </si>
  <si>
    <t>COE201318</t>
  </si>
  <si>
    <t>Supuestamente, después del evento, la empresa recuperó mucho del crudo y limpió todas las áreas afectados. Sin embargo, según el informe anual de monitoreo FECONACO de 2015, este sitio sigue contaminado.</t>
  </si>
  <si>
    <t>En la línea B del oleoducto Corrientes Saramuro, 5+589 km</t>
  </si>
  <si>
    <t>La empresa hizo una limpieza en la zona y recuperó mucho del crudo. Sin embargo, en 2015, se reportaba que el sitio aún se encuentra contaminado. (información de ID 26. Fuente: Informe anual de monitoreo de FECONACO)</t>
  </si>
  <si>
    <t>CFS201711</t>
  </si>
  <si>
    <t xml:space="preserve">Afectó a la comunidad San Cristobal. Remediación incompleta. </t>
  </si>
  <si>
    <t>Comunidad San Cristóbal</t>
  </si>
  <si>
    <t>CFS201514</t>
  </si>
  <si>
    <t>trompeterillo grande</t>
  </si>
  <si>
    <t>CFS201608</t>
  </si>
  <si>
    <t xml:space="preserve">Se ha encontrado residuos industriales del pasado enterrados. Fue limpiado por la empresa. </t>
  </si>
  <si>
    <t>Batería 8x.</t>
  </si>
  <si>
    <t>CFS201607</t>
  </si>
  <si>
    <t xml:space="preserve">El derrame afectó a una laguna pequeña. Se ha encontrado peces muertos. Este lugar ha sido remediado anteriormente pero aún sufre impactos con regularidad, siendo necesaria una limpieza profunda. Es una zona PAC. </t>
  </si>
  <si>
    <t>Batería 2.</t>
  </si>
  <si>
    <t>CWS200711</t>
  </si>
  <si>
    <t>bateria 2</t>
  </si>
  <si>
    <t>CMO200801</t>
  </si>
  <si>
    <t xml:space="preserve"> Manuel Ojaicate</t>
  </si>
  <si>
    <t>CFS201801</t>
  </si>
  <si>
    <t>Baterías 1, 2 y 8x</t>
  </si>
  <si>
    <t>16/03/2018</t>
  </si>
  <si>
    <t>Derrame de crudo. Area de 15X16m tierra y 20 x 500m agua, sitio de remediacion PAC</t>
  </si>
  <si>
    <t>Quebrada en San Cristóbal</t>
  </si>
  <si>
    <t>140 5.0</t>
  </si>
  <si>
    <t>Fidel Sandi Hualinga</t>
  </si>
  <si>
    <t>PAC</t>
  </si>
  <si>
    <t>CWS200903</t>
  </si>
  <si>
    <t>El crudo se está cayendo directamente en el río.</t>
  </si>
  <si>
    <t>Batería 1.</t>
  </si>
  <si>
    <t>COE201207</t>
  </si>
  <si>
    <t xml:space="preserve">Se dio debido a la oxidación externa. En 2013, OEFA con organizaciones de comunidades nativas de los ríos Pastaza, Tigre y Marañón se llevaron a cabo una expedición de supervisión en el Lote 8 para identificar posibles sitios contaminados. De los 41 sitios contaminados, identificaron el área que había sido afectada por el derrame. </t>
  </si>
  <si>
    <t>Código S24. En el km 3+816.85 del conoleoducto Corrientes-Saramuro. Yacimiento Corrientes.</t>
  </si>
  <si>
    <t>Limpieza del área afectada y recuperación de crudo. Según el informe, el 19/03/2013 se terminaron los trabajos de remediación. Sin embargo en 2013, el OEFA con la organizaciones de comunidades nativas de los ríos Pastaza, Tigre y Marañón se llevaron a cabo una expedición de supervision en el Lote 8 para identificar posibles sitios contaminados. Encontraron contaminación restante cerca del punto donde se dio el derrame.</t>
  </si>
  <si>
    <t>COE201803/CFS201801</t>
  </si>
  <si>
    <t>15/03/2018 16/03/2018</t>
  </si>
  <si>
    <r>
      <rPr>
        <rFont val="Calibri"/>
        <color rgb="FF000000"/>
        <sz val="10.0"/>
      </rPr>
      <t xml:space="preserve">El derrame ocurrió por la rotura de dos oleoductos que corren del Topiplan a Batería 8 cerca a la carretera. Se inició en la válvula Check CK 2GL-3 dentro de la </t>
    </r>
    <r>
      <rPr>
        <rFont val="Calibri"/>
        <color rgb="FFFF0000"/>
        <sz val="10.0"/>
      </rPr>
      <t>planta topping</t>
    </r>
    <r>
      <rPr>
        <rFont val="Calibri"/>
        <color rgb="FF000000"/>
        <sz val="10.0"/>
      </rPr>
      <t xml:space="preserve">. El crudo se extendió por los canales de drenaje pluvial, llegando al </t>
    </r>
    <r>
      <rPr>
        <rFont val="Calibri"/>
        <color rgb="FFFF0000"/>
        <sz val="10.0"/>
      </rPr>
      <t>tanque de sumidero</t>
    </r>
    <r>
      <rPr>
        <rFont val="Calibri"/>
        <color rgb="FF000000"/>
        <sz val="10.0"/>
      </rPr>
      <t>, que estaba abierto en este momento. Finalmente, el crudo se vertió en un canal natural y llegó a la plátaforma 8X. El crudo corrió por las quebradas Trompeterillo y Trompeteros grande - Bujurquiyacu. Estas quebradas son de la zona de pesca de la comunidad. &lt;Rama de Trompeteros lo grande bujurquiyacu&gt; &lt;Rama de quebrada trompeterillo Granada. bujurquiyacu&gt; mpeterillo Granada. Bujurquiyacu&gt;</t>
    </r>
  </si>
  <si>
    <r>
      <rPr>
        <rFont val="Calibri"/>
        <color theme="1"/>
        <sz val="10.0"/>
      </rPr>
      <t xml:space="preserve">Yacimiento Corrientes, </t>
    </r>
    <r>
      <rPr>
        <rFont val="Calibri"/>
        <color rgb="FFFF0000"/>
        <sz val="10.0"/>
      </rPr>
      <t xml:space="preserve">topping plant </t>
    </r>
    <r>
      <rPr>
        <rFont val="Calibri"/>
        <color theme="1"/>
        <sz val="10.0"/>
      </rPr>
      <t>(Topiplan a Batería 8 al lado de la carretera)</t>
    </r>
  </si>
  <si>
    <t>COE201335.41</t>
  </si>
  <si>
    <t>Código de sitio: S41. Este lugar está ubicado a 30 metros al oeste de Batería 2. Yacimiento Corrientes.</t>
  </si>
  <si>
    <t>CFS201517</t>
  </si>
  <si>
    <t xml:space="preserve">El derrame afectó al riachuelo de Pangui Entsa. </t>
  </si>
  <si>
    <t>Pangui Entsa</t>
  </si>
  <si>
    <t>CFS20182</t>
  </si>
  <si>
    <t>Encontrado agua cubiertos con crudo y 2 tubos rotos en quebrada Trompeterillo</t>
  </si>
  <si>
    <t>Comunidad San Cristóbal. Cerca al topiplan, en rama quebrada a cerca de carretera. De topiplan a 8x oleoducto</t>
  </si>
  <si>
    <r>
      <rPr>
        <rFont val="Calibri"/>
        <color theme="1"/>
        <sz val="10.0"/>
      </rPr>
      <t xml:space="preserve">Odilio Sandi Pezo, </t>
    </r>
    <r>
      <rPr>
        <rFont val="Calibri"/>
        <color rgb="FFFF0000"/>
        <sz val="10.0"/>
      </rPr>
      <t>José</t>
    </r>
    <r>
      <rPr>
        <rFont val="Calibri"/>
        <color theme="1"/>
        <sz val="10.0"/>
      </rPr>
      <t>; Vicente Celis Llanca. (Los trabajadores ECOSAC</t>
    </r>
  </si>
  <si>
    <t>Trabajo de remediacion bidon absorvente espuma embolsado, balizas</t>
  </si>
  <si>
    <t>COE201335.27</t>
  </si>
  <si>
    <t>Código de sitio: S27. Este lugar está ubicado a 1 km al este del Fuji Central y 200 metros al este de Batería 2. Yacimiento Corrientes.</t>
  </si>
  <si>
    <t>CFS201519</t>
  </si>
  <si>
    <t xml:space="preserve"> El sitio se encuentra dentro de una zona PAC que fue anteriormente remediado. Varias comunidades consideran que aún hay contaminación por remediar porque la remediación que se ha hecho no fue adecuada. </t>
  </si>
  <si>
    <t>km 3+814, - Batería 1.</t>
  </si>
  <si>
    <t>CFS201510</t>
  </si>
  <si>
    <t>oleoducto Corrientes-Saramuro, km 2+700</t>
  </si>
  <si>
    <t>CWS200805</t>
  </si>
  <si>
    <t>Batería 1. Cerca de Plátaforma no. 1013.</t>
  </si>
  <si>
    <t>COE201335.25</t>
  </si>
  <si>
    <t>Código de sitio: S25. Este lugar está ubicado en el km 2+657,27 del oleoducto Corrientes-Saramuro. Yacimiento Corrientes.</t>
  </si>
  <si>
    <t>CWS201102</t>
  </si>
  <si>
    <t>La empresa remedió una zona que anteriormente había sido deforestada. Aún hay presencia de crudo en el suelo. Es probable que este evento sea lo mismo que el de código CNA201101.</t>
  </si>
  <si>
    <t>CWS200801</t>
  </si>
  <si>
    <t>La empresa está remediando la zona.</t>
  </si>
  <si>
    <t>CWS201005</t>
  </si>
  <si>
    <t>La empresa está remediando la zona. La laguna MSA se ha visto afectada.</t>
  </si>
  <si>
    <t>CFS201509</t>
  </si>
  <si>
    <t>Batería 1, Laguna MSA.</t>
  </si>
  <si>
    <t>CWS200904</t>
  </si>
  <si>
    <t>Afectó a la quebrada Bohua negra.</t>
  </si>
  <si>
    <t>CWS20191</t>
  </si>
  <si>
    <t>27/01/2019</t>
  </si>
  <si>
    <t>Tubería entre central electrica y baterías, afectación de 3x8 metros</t>
  </si>
  <si>
    <t>San Cristóbal</t>
  </si>
  <si>
    <t>161 5.0</t>
  </si>
  <si>
    <t>Wilson/Fidel</t>
  </si>
  <si>
    <t>CFS201712</t>
  </si>
  <si>
    <t xml:space="preserve"> Afectó a la comunidad San Cristobal</t>
  </si>
  <si>
    <t>COE201335.26</t>
  </si>
  <si>
    <t>Código de sitio: S26. Este lugar está ubicado en el km 1+985.41 del oleoducto Corrientes-Saramuro. Yacimiento Corrientes.</t>
  </si>
  <si>
    <t>CWH20193</t>
  </si>
  <si>
    <t>Tuberías sueltas</t>
  </si>
  <si>
    <t>CFS201520</t>
  </si>
  <si>
    <t>Plataforma 33X</t>
  </si>
  <si>
    <t>COE201002/CWS201003</t>
  </si>
  <si>
    <t>Hubo un derrame de crudo en la línea de descarga de la motobomba MB-55. El crudo llegó al río Corrientes. Según la Resolución Directoral, el evento se dio debido a inversión insuficiente en medidas preventivas para proteger contra posibles derrames.</t>
  </si>
  <si>
    <t>El sistema de bomba Trompeteros-Saramuro Batería 1./Área de motobombas, en la Batería 1, Trompeteros.</t>
  </si>
  <si>
    <t>CFS201401</t>
  </si>
  <si>
    <t>Según el Reporte Técnico Acusatorio, se dio dado a una falta de mantenimiento básico de las facilidades, lo cual es necesario para evitar posibles derrames. El derrame de diésel afectó a una pequeña colcha en la comunidad San Cristobal.</t>
  </si>
  <si>
    <t>En el empalme del oleoducto de diésel de Central no. 1 a Central no. 2, en Batería 1. / Bat 1.</t>
  </si>
  <si>
    <t>CFS201610</t>
  </si>
  <si>
    <t>Hubo un derrame de diésel del tanque nº10.</t>
  </si>
  <si>
    <t>tanque 10, Batería 1.</t>
  </si>
  <si>
    <t>COE201512/CFS201508</t>
  </si>
  <si>
    <t>Lista de emergencias ambientales, Lista de incidentes ambientales, Informe OEFA</t>
  </si>
  <si>
    <t>Según la empresa, la embarcación se hundó dado un aumento de flujo en el río por lluvías fuertes. Por ende, hubo una derrame de 800 galones de crudo al agua de la embarcación hundida.</t>
  </si>
  <si>
    <t>En el muelle Percy Rozas-Trompeteros. Puerto TRANSTUR- Muelle de Corrientes, en territorio de Comunidad San Cristóbal.</t>
  </si>
  <si>
    <t>CCJ20191</t>
  </si>
  <si>
    <t>Chambira</t>
  </si>
  <si>
    <t>26/02/2018</t>
  </si>
  <si>
    <t>Derrame en tubería, area afectada de 2400 metros cuadrados, sitio está submergido en agua contenida por barreras de plástico, pero el agua sale poco a poco hacia la cocha y la quebrada Patoyacu</t>
  </si>
  <si>
    <t>Tubería Trompeteros y Saramuro, tramo 53.</t>
  </si>
  <si>
    <t>Cristian Jaba Ríos</t>
  </si>
  <si>
    <t>Toda la comunidad La Petrolera</t>
  </si>
  <si>
    <t>Pluspetrol implementó su plan de contingencia, creando barreras de plástico para contener el agua contaminada pero en modo alguna implica remediación</t>
  </si>
  <si>
    <t>CFS201713</t>
  </si>
  <si>
    <t>El vertido de petróleo se ha producido en el oleoducto que va de la Plataforma 12x a la Batería 2, en el territorio de la comunidad de San Cristóbal</t>
  </si>
  <si>
    <t>Oleoducto que va de la Plataforma 12x a la Batería 2, en el territorio de la comunidad de San Cristóbal.</t>
  </si>
  <si>
    <t>CFS201710</t>
  </si>
  <si>
    <t xml:space="preserve"> Derrame en la comunidad San Cristobal en el oleoducto que corre de plátaforma 33 a plátaforma 57, en Batería 2. Afectó a un aguajal.</t>
  </si>
  <si>
    <t>Comunidad San Cristobal en el oleoducto que conecta platform 33 a platform 57, en Batería 2</t>
  </si>
  <si>
    <t>COE201335.40</t>
  </si>
  <si>
    <t>Código de sitio: S40. Este lugar está ubicado a 500 metros sur de Central Eléctrica-Batería 1 y 400 metros norte de la Plátaforma 108X.Yacimiento Corrientes.</t>
  </si>
  <si>
    <t>COE201335.38</t>
  </si>
  <si>
    <t>Código de sitio: S38. Este lugar está ubicado a 200 metros al oeste de la Plátaforma 57 (alrededor del sitio de un antiguo derrame de petróleo). Yacimiento Corrientes.</t>
  </si>
  <si>
    <t>CFS201507</t>
  </si>
  <si>
    <t>Zona CN San Cristóbal.</t>
  </si>
  <si>
    <t>MJP2022</t>
  </si>
  <si>
    <t>ONP</t>
  </si>
  <si>
    <t>16/09/2022</t>
  </si>
  <si>
    <t>Petroperu</t>
  </si>
  <si>
    <t>Afecta San Pedro y Saramuro. El monitor envía fotos y videos de lo que es una contaminación masiva a todo el río Marañón que baja desde la qda. Cuninico</t>
  </si>
  <si>
    <t>Km 42 Tramo I ONP</t>
  </si>
  <si>
    <t>18 M</t>
  </si>
  <si>
    <t>Elmer Panduro</t>
  </si>
  <si>
    <t>CFS201512</t>
  </si>
  <si>
    <t>Se ha encontrado en una zona de cultivo unos barriles antiguos abandonados que aún contienen crudo.</t>
  </si>
  <si>
    <t>COE199401</t>
  </si>
  <si>
    <t>Lista de denuncias ambientales, Informe OEFA</t>
  </si>
  <si>
    <t>PetroPerú, S.A, PlusPetrol Norte S.A</t>
  </si>
  <si>
    <t>Se abrió este procedimiento administrativo después de una denuncia hecha por FECONACO (Carta nº 0184-2015-PRESIDENCIA/FECONACO) advirtiendo sobre dos botaderos antiguos de la época de PetroPerú ubicados en dos chacras perteneciendo a Loida Chuje y Madre Ana Hualinga. La expedición de supervisión encontró pedazos de plástica antigua, metales y también vidrio enterrados en todas estas áreas. Este procedimiento resultó en una medida correctiva a Pluspetrol.</t>
  </si>
  <si>
    <t>Chacra Sra. Loida Chuje''</t>
  </si>
  <si>
    <t>CWS20181</t>
  </si>
  <si>
    <t>22/06/2018</t>
  </si>
  <si>
    <t>Nuevo derrame en plátaforma 57X por ruptura del oleoducto, la empresa no cumplió con avisar a las autoridades de la comunidad. Area afectada de 6x15 metros</t>
  </si>
  <si>
    <t>Pozo de Plátaforma 57</t>
  </si>
  <si>
    <t>116 5.0</t>
  </si>
  <si>
    <t>Wilson Sandi Hualinga</t>
  </si>
  <si>
    <t>Toda la comunidad sabe</t>
  </si>
  <si>
    <t>Excavación de 2.5 m de profundidad por empresa IMAC</t>
  </si>
  <si>
    <t>COE201702/CFS201706</t>
  </si>
  <si>
    <t>Lista de emergencias ambientales, odk, Informe OEFA</t>
  </si>
  <si>
    <t>Se dio debido a la oxidación interna de la tubería. A pesar de que sí se hizo una expedición de supervisión OEFA, no se abrió un procedimiento administrativo. Afectó a la zona de pesca (aguajales y cochas) de la comunidad San Cristobal, como la cocha Lopunilla.</t>
  </si>
  <si>
    <t>Línea de reinyección de agua producida del pozo CO-42AD. / pozo 42 de la Plátaforma 10x.</t>
  </si>
  <si>
    <t xml:space="preserve">Cambio de parte de ducto. </t>
  </si>
  <si>
    <t>COE201335.28</t>
  </si>
  <si>
    <t>Código de sitio: S28. Este lugar se ubica 70 metros al este del Andén 10. Yacimiento Corrientes.</t>
  </si>
  <si>
    <t>COE201335.29</t>
  </si>
  <si>
    <t xml:space="preserve">Afectó a un aguajal. En 2013, OEFA con organizaciones de comunidades nativas de los ríos Pastaza, Tigre y Marañón hicieron una expedición de supervisión en el Lote 8 para identificar posibles sitios contaminados. Se informó sobre 41 sitios contaminados en Nueva Esperanza, Pavayacu y Base Corrientes Percy y la tubería Corrientes-Saramuro y también sitios PAC. En el caso del sitio S1, excedió el valor permitido de bario en el suelo ECA. </t>
  </si>
  <si>
    <t>Código de sitio: S29. Este lugar se encuentra ubicado 90 metros al norte del Andén 10. Yacimiento Corrientes.</t>
  </si>
  <si>
    <t>CFS201518</t>
  </si>
  <si>
    <t>Batería 1, Laguna 10X.</t>
  </si>
  <si>
    <t>CFS201513</t>
  </si>
  <si>
    <t>Plátaforma 33, 110 m de profundidad - Muro 1</t>
  </si>
  <si>
    <t>COE201335.36</t>
  </si>
  <si>
    <t>Código de sitio: S36. Este lugar se ubica a 300 metros al oeste de la Plátaforma 2 (alrededor de un antiguo derrame de petróleo no remediado). ''Derecho de vía'' de la Plátaforma 138X, km 5+763.14. Yacimiento Corrientes.</t>
  </si>
  <si>
    <t>CWS200713</t>
  </si>
  <si>
    <t>El derrame afecta a un aguajal</t>
  </si>
  <si>
    <t>CFS201709</t>
  </si>
  <si>
    <t>Zona PAC del pozo 12. En el territorio de Comunidad San Cristóbal.</t>
  </si>
  <si>
    <t>COE201335.37</t>
  </si>
  <si>
    <t>Código de sitio: S37. Este lugar está ubicado a 300 metros al sur de la Plátaforma 12 (alrededor de un antiguo derrame de petróleo no remediado). La ubicación es cerca del sitio PAC Plátaforma 12X -Sitio 3- 07/03/2009. Yacimiento Corrientes.</t>
  </si>
  <si>
    <t>CFS201708</t>
  </si>
  <si>
    <t>CWS20192</t>
  </si>
  <si>
    <t>plataforma</t>
  </si>
  <si>
    <r>
      <rPr>
        <rFont val="Calibri"/>
        <color theme="1"/>
        <sz val="10.0"/>
      </rPr>
      <t xml:space="preserve">Hubo un derrame de agua de produción, agua salada en </t>
    </r>
    <r>
      <rPr>
        <rFont val="Calibri"/>
        <color rgb="FFFF0000"/>
        <sz val="10.0"/>
      </rPr>
      <t>plataforma</t>
    </r>
    <r>
      <rPr>
        <rFont val="Calibri"/>
        <color theme="1"/>
        <sz val="10.0"/>
      </rPr>
      <t xml:space="preserve"> 12x. Afecta aguajal y tierra. 10x25 metros.</t>
    </r>
  </si>
  <si>
    <r>
      <rPr>
        <rFont val="Calibri"/>
        <color rgb="FFFF0000"/>
        <sz val="10.0"/>
      </rPr>
      <t>Plataforma</t>
    </r>
    <r>
      <rPr>
        <rFont val="Calibri"/>
        <color rgb="FF000000"/>
        <sz val="10.0"/>
      </rPr>
      <t xml:space="preserve"> 12X, San Cristóbal</t>
    </r>
  </si>
  <si>
    <t>131 5.0</t>
  </si>
  <si>
    <t>Fidel Sandi</t>
  </si>
  <si>
    <t>Apu Daniel Hualinga Sandi</t>
  </si>
  <si>
    <t>COE201335.31</t>
  </si>
  <si>
    <t xml:space="preserve">Un sitio contaminado antiguo no remediado. En 2013, OEFA con organizaciones de comunidades nativas de los ríos Pastaza, Tigre y Marañón hicieron una expedición de supervisión en el Lote 8 para identificar posibles sitios contaminados. Se informó sobre 41 sitios contaminados en Nueva Esperanza, Pavayacu y Base Corrientes Percy y la tubería Corrientes-Saramuro y también sitios PAC. En el caso del sitio S1, excedió el valor permitido de bario en el suelo ECA. </t>
  </si>
  <si>
    <t>Código de sitio: S31. Este lugar está ubicado 50 metros al sur de la Plátaforma 33X. Yacimiento Corrientes.</t>
  </si>
  <si>
    <t>COE201335.32</t>
  </si>
  <si>
    <t>Código de sitio: S32. Este lugar está ubicado en el punto central de la Plátaforma 44X. Yacimiento Corrientes.</t>
  </si>
  <si>
    <t>CNP200713</t>
  </si>
  <si>
    <t>La parte baja de la quebrada Pumayaco fue afectada. Es una zona contaminada sin remediación.</t>
  </si>
  <si>
    <t xml:space="preserve"> Niver Peraza Amias</t>
  </si>
  <si>
    <t>COE201335.30</t>
  </si>
  <si>
    <t>Código de sitio: S30. Este lugar se encuentra ubicado 40 metros oeste del Andén 33. Yacimiento Corrientes.</t>
  </si>
  <si>
    <t>CWS20183</t>
  </si>
  <si>
    <t>27/06/2018</t>
  </si>
  <si>
    <t>Fuga de agua de formación</t>
  </si>
  <si>
    <r>
      <rPr>
        <rFont val="Calibri"/>
        <color theme="1"/>
        <sz val="10.0"/>
      </rPr>
      <t xml:space="preserve">Una pequeña fuga de liquido de producción en una tubería de 6 pulgadas que viene de </t>
    </r>
    <r>
      <rPr>
        <rFont val="Calibri"/>
        <color rgb="FFFF0000"/>
        <sz val="10.0"/>
      </rPr>
      <t>plataforma</t>
    </r>
    <r>
      <rPr>
        <rFont val="Calibri"/>
        <color theme="1"/>
        <sz val="10.0"/>
      </rPr>
      <t xml:space="preserve"> 47 hacia </t>
    </r>
    <r>
      <rPr>
        <rFont val="Calibri"/>
        <color rgb="FFFF0000"/>
        <sz val="10.0"/>
      </rPr>
      <t>plataforma</t>
    </r>
    <r>
      <rPr>
        <rFont val="Calibri"/>
        <color theme="1"/>
        <sz val="10.0"/>
      </rPr>
      <t xml:space="preserve"> 33X, fue controlado.</t>
    </r>
  </si>
  <si>
    <t>Plátaforma 33X, comunidad cercana San Cristóbal</t>
  </si>
  <si>
    <t>152 4.0</t>
  </si>
  <si>
    <t>Excavación y reparación de tuberías</t>
  </si>
  <si>
    <t>COE199402</t>
  </si>
  <si>
    <t>'Chacra Sra Madre Ana Hualinga''</t>
  </si>
  <si>
    <t>CWS20182</t>
  </si>
  <si>
    <t>25/06/2018</t>
  </si>
  <si>
    <t>Agua afecta tierra 3x3 metros</t>
  </si>
  <si>
    <t>Plátaforma 33x</t>
  </si>
  <si>
    <t>CFS201505</t>
  </si>
  <si>
    <t>hay residuos industriales antiguos abandonados.</t>
  </si>
  <si>
    <t>COE201335.35</t>
  </si>
  <si>
    <t>Código de sitio: S35. Este lugar está ubicado en el derecho de vía del Andén 138X, km 5+388,29. Yacimiento Corrientes.</t>
  </si>
  <si>
    <t>CFS201715</t>
  </si>
  <si>
    <t>Debido a un derrame antiguo, se contaminaron cuerpos de agua.</t>
  </si>
  <si>
    <t>En el territorio de la comunidad San Cristóbal.</t>
  </si>
  <si>
    <t>COE201335.34</t>
  </si>
  <si>
    <t>Código de sitio: S34. Este lugar está ubicado en el punto donde se bifurcan la Plátaforma 138X y la Plátaforma 44X. Yacimiento Corrientes.</t>
  </si>
  <si>
    <t>CFS20201</t>
  </si>
  <si>
    <t>Baterías 1 y 2 y 8x</t>
  </si>
  <si>
    <t>28/09/2020</t>
  </si>
  <si>
    <t>Derrame que ocurrió en el mes de Abril, durante la cuarentena. No se reportó a la comunidad. Extensión de area afectada es de 50x70 metros, en un aguajal, a 200 metros de la plataforma 137. Se ven dos parches en la tubería, por lo que parece que fueron dos huecos. La causa presumida es corrosión.</t>
  </si>
  <si>
    <t>San Cristóbal, 200 metros de plataforma 137</t>
  </si>
  <si>
    <t>CFS201506</t>
  </si>
  <si>
    <t xml:space="preserve">Hay crudo en el suelo ahí cerca. </t>
  </si>
  <si>
    <t>Pozo de Borra 31 X, cerca de Comunitad San Cristóbal.</t>
  </si>
  <si>
    <t>CWS200901</t>
  </si>
  <si>
    <t>El derramo empezó en un depósito de borra.</t>
  </si>
  <si>
    <t>CFS201511</t>
  </si>
  <si>
    <t>Andén 144 - Batería 1</t>
  </si>
  <si>
    <t>COE201335.33</t>
  </si>
  <si>
    <t>Código de sitio: S33. Este lugar se ubica 100 metros al noreste del Andén 138X, km 4+904.90. Yacimiento Corrientes.</t>
  </si>
  <si>
    <t>COE201335.39</t>
  </si>
  <si>
    <t>Código de sitio: S39. Este lugar está ubicado a 100 metros al oeste de la Plátaforma 31X (''poza de ripios y recortes de perforación'')Yacimiento Corrientes.</t>
  </si>
  <si>
    <t>CWS200902</t>
  </si>
  <si>
    <t>Afectó a la quebrada Trompeterillo Chico.</t>
  </si>
  <si>
    <t>CFS201604</t>
  </si>
  <si>
    <t>Se ha encontrado bolsas llenas enterradas en la chacra de Loida Chuje Sandi. La empresa hizo una limpieza de los residuos.</t>
  </si>
  <si>
    <t>comunidad de San Cristóbal.</t>
  </si>
  <si>
    <t>CFS201516</t>
  </si>
  <si>
    <t>COE201404</t>
  </si>
  <si>
    <t>Hay depósitos antiguos de residuos industriales y materiales.</t>
  </si>
  <si>
    <t>comunidad San Cristóbal.</t>
  </si>
  <si>
    <t>CFS201515</t>
  </si>
  <si>
    <t>Trompeterillo chico</t>
  </si>
  <si>
    <t>MSV20222</t>
  </si>
  <si>
    <t>Fotos video</t>
  </si>
  <si>
    <t>Tramo I oleoducto Corrientes - Saramuro</t>
  </si>
  <si>
    <t>14/10/2022</t>
  </si>
  <si>
    <t>15/10/2022</t>
  </si>
  <si>
    <t>Derrame en Nueva Alianza, del Chambira. 1200 m2 de impacto, fue la salida de un perno en la válvula.</t>
  </si>
  <si>
    <t>Km 69 +500 ducto Corrientes -Saramuro</t>
  </si>
  <si>
    <t>Valvula</t>
  </si>
  <si>
    <t>Samuel Vela Torres</t>
  </si>
  <si>
    <t>COE201623/CFS201604</t>
  </si>
  <si>
    <t>15/08/2016</t>
  </si>
  <si>
    <t xml:space="preserve"> Derrame de diésel, peces muertos encontrados en la zona PAC. </t>
  </si>
  <si>
    <t>oleoducto Corrientes-Saramuro, km 92+00. Cerca de Batería 2.</t>
  </si>
  <si>
    <t>CSS201603</t>
  </si>
  <si>
    <t>28/11/2016</t>
  </si>
  <si>
    <t>Los tapirs suelen visitar el lugar para consumir sal (es una "colpa"). No obstante, la collpa está contaminada de petróleo</t>
  </si>
  <si>
    <t>pozos 10,11,12, km 17 Dorissa, en el territorio de la comunidad Nueva Jerusalén.</t>
  </si>
  <si>
    <t>CSS201602</t>
  </si>
  <si>
    <t xml:space="preserve">Un derrame antiguo sin remediar. </t>
  </si>
  <si>
    <t>Pozos 01, 02,03 y 04, km 19 carretera Dorissa.</t>
  </si>
  <si>
    <t>CRS201606</t>
  </si>
  <si>
    <t>Carretera Km 18 -19 (a falta de mayor información), en territorio de la comunidad Nueva Jerusalén.</t>
  </si>
  <si>
    <t>CSS201604</t>
  </si>
  <si>
    <t>Un campamento antiguo abandonado en el territorio de la comunidad Nueva Jerusalén.</t>
  </si>
  <si>
    <t>Dorissa km-16.</t>
  </si>
  <si>
    <t>CGS201001</t>
  </si>
  <si>
    <t xml:space="preserve"> Guevara Sandi</t>
  </si>
  <si>
    <t>TDP201704</t>
  </si>
  <si>
    <t xml:space="preserve">El hecho ocurrió hace más de 45 años en los tiempos de Oxy por una rotura de un camión cisterna y el descuido de los trabajadores. Afectó a la quebrada Vender yacu, y a la zona de caza y pesca de Saca runa. Algunos odk se refieren a ese evento ya que fueron tomados durante una capacitacion de monitores ambientales
Otro odk, cuya información se ha reunido en la carpeta TDP2017_04.2 describe la siguiente información: km 28,5, pueblo de comunidad 12 de Octubre. Este antiguo derrame de petróleo ocurrió en 16/05/1980. Afectó a la zona de caza y pesca de Veder yacu y al río. Actualmente, hay edificios en este sitio. También hay un vertedero. El odk TDP2017_04.3 describe la siguiente información: En el pueblo 12 de Octubre, bateria San Jacinto, existe un antiguo vertedero enterrado de la época de Oxy. Actualmente es el patio trasero de una casa donde una familia cría pollos. La familia está muy expuesta a esos contaminantes. Afecta a la quebrada Vender Yacu.
</t>
  </si>
  <si>
    <t xml:space="preserve">Km 127+500, margen derecho de carretera principal, en patio de casa. En el territorio de la comunidad 12 de Octubre, Batería San Jacinto. </t>
  </si>
  <si>
    <t>Ducner Papuy, Wilvez Ancho Sandi, Artemio Sandi</t>
  </si>
  <si>
    <t>CWC201702</t>
  </si>
  <si>
    <r>
      <rPr>
        <rFont val="Calibri"/>
        <color rgb="FFFF0000"/>
        <sz val="10.0"/>
      </rPr>
      <t>Es un vertido enorme.</t>
    </r>
    <r>
      <rPr>
        <rFont val="Calibri"/>
        <color rgb="FF000000"/>
        <sz val="10.0"/>
      </rPr>
      <t xml:space="preserve"> </t>
    </r>
    <r>
      <rPr>
        <rFont val="Calibri"/>
        <color rgb="FFFF0000"/>
        <sz val="10.0"/>
      </rPr>
      <t xml:space="preserve">Los daños siguen siendo visibles </t>
    </r>
    <r>
      <rPr>
        <rFont val="Calibri"/>
        <color rgb="FF000000"/>
        <sz val="10.0"/>
      </rPr>
      <t>a p</t>
    </r>
    <r>
      <rPr>
        <rFont val="Calibri"/>
        <color rgb="FFFF0000"/>
        <sz val="10.0"/>
      </rPr>
      <t>esar de que los trabajadores llevan tres meses retirando el crudo</t>
    </r>
    <r>
      <rPr>
        <rFont val="Calibri"/>
        <color rgb="FF000000"/>
        <sz val="10.0"/>
      </rPr>
      <t>. Han retirado más de 100</t>
    </r>
    <r>
      <rPr>
        <rFont val="Calibri"/>
        <color rgb="FFFF0000"/>
        <sz val="10.0"/>
      </rPr>
      <t xml:space="preserve"> bidones</t>
    </r>
    <r>
      <rPr>
        <rFont val="Calibri"/>
        <color rgb="FF000000"/>
        <sz val="10.0"/>
      </rPr>
      <t>, además de bolsas (más de 5000). Un monitor de Antioquia ha tomado fotos, su nombre es Salomon Huaman Whasingtong.</t>
    </r>
  </si>
  <si>
    <r>
      <rPr>
        <rFont val="Calibri"/>
        <color theme="1"/>
        <sz val="10.0"/>
      </rPr>
      <t xml:space="preserve">Pozo Jibarito Isla. El lugar se ubica desde el asentamiento Jíbaro, dos vueltas del río aguas arriba. Desde Pampa Hermosa se debe tomar una embarcación hacia Bahía Jíbaro y luego conducir hasta el km 5 del Pozo. </t>
    </r>
    <r>
      <rPr>
        <rFont val="Calibri"/>
        <color rgb="FFFF0000"/>
        <sz val="10.0"/>
      </rPr>
      <t>Desde ese punto</t>
    </r>
    <r>
      <rPr>
        <rFont val="Calibri"/>
        <color theme="1"/>
        <sz val="10.0"/>
      </rPr>
      <t xml:space="preserve"> se camina por un sendero hasta el lago. </t>
    </r>
  </si>
  <si>
    <t xml:space="preserve"> Walter Carijano Hualinga</t>
  </si>
  <si>
    <t>TRC198701</t>
  </si>
  <si>
    <t>El sitio encuentra cruzando la quebrada Yanayaku. Este derrame abarca un área amplio. Según Venancio, no fue remediado. Este derrame sucedió en 1987 e impactó dos aguajales.</t>
  </si>
  <si>
    <t>En el territorio de la comunidad Arenal, cerca al pozo 1A.</t>
  </si>
  <si>
    <t>Ronald Mendel Canelos Manya</t>
  </si>
  <si>
    <t>TJC199501</t>
  </si>
  <si>
    <t>Hay aún restos de crudo en el suelo desde los tiempos de Oxy.</t>
  </si>
  <si>
    <t>En la refinería topiplan ubicada en Marsella. El área se ubica en el territorio de la comunidad Andres Avelino Cáceres.</t>
  </si>
  <si>
    <t>Javier Chavez</t>
  </si>
  <si>
    <t>PAS201616</t>
  </si>
  <si>
    <t>06/03/2016</t>
  </si>
  <si>
    <t xml:space="preserve">Afectó a la quebrada Capahuari. La empresa está ocultando el crudo. </t>
  </si>
  <si>
    <t>Km 18, Quebrada Ramal de Capahuari (Nuevo Andoas. Batería Capahuari Sur), en territorio de la comunidad Titiyaco.</t>
  </si>
  <si>
    <t>PAS201614</t>
  </si>
  <si>
    <t>Afectó al territorio de la comunidad Los Jardines. La empresa está ocultando el crudo.</t>
  </si>
  <si>
    <t>Quebrada capahuari y la Colcha Shippyn.</t>
  </si>
  <si>
    <t>PAS201615</t>
  </si>
  <si>
    <t xml:space="preserve"> Afectó a la cocha y hay evidencia de árboles talados. </t>
  </si>
  <si>
    <t>ramal de Capahuari.</t>
  </si>
  <si>
    <t>PEH201606</t>
  </si>
  <si>
    <t xml:space="preserve">Hay otros impactos como árboles talados y residuos botados. Afectó a la quebrada Shanshococha. El sitio huele a petróleo. </t>
  </si>
  <si>
    <t>Territorio de la comunidad Nuevo Andoas.</t>
  </si>
  <si>
    <t>PEH201607</t>
  </si>
  <si>
    <t xml:space="preserve"> Afectó la cocha Shirunchi y la quebrada Ullpayacu. Aún hay crudo en el suelo, ocultado ahí por la empresa. El sitio no ha sido remediado y aún se puede ver el crudo en la orilla. </t>
  </si>
  <si>
    <t>Territorio de la comunidad Nuevo Andoas (Batería capahuari sur).</t>
  </si>
  <si>
    <t>PEH201608</t>
  </si>
  <si>
    <t xml:space="preserve"> Aún hay crudo en el suelo, ocultado ahí por la empresa. El sitio no ha sido remediado y aún está afectando a la cocha Pashincocha y la quebrada Anapaza.</t>
  </si>
  <si>
    <t>PJP201601</t>
  </si>
  <si>
    <t>El evento afectó a la cocha Ushpayaco y la cocha Lagarto. No hay fotos. Este área es utilizada por la comunidad Alianza Capahuari.</t>
  </si>
  <si>
    <t>Territorio de la comunidad Los Jardines, zona de caza y pesca de Loboyaco (Batería capahuari sur)</t>
  </si>
  <si>
    <t>Juan Pablo Gayas</t>
  </si>
  <si>
    <t>PJP201602</t>
  </si>
  <si>
    <t>Se dio por un oleoducto roto. Se ve un depósito, una cantera, tierras removidas y contaminación visible. Se encuentra en el territorio de caza de Cotoñabi y el territorio de pesca de Bujurqui Cocha. La cocha Atuntiyo, la quebrada Limón y una colpa son visiblemente afectadas.</t>
  </si>
  <si>
    <t>PRD201601</t>
  </si>
  <si>
    <t xml:space="preserve">Hay crudo saliendo dentro del poblado y también algunos residuos presentes. </t>
  </si>
  <si>
    <t>Comunidad Titiyacu (Batería capahuari norte)</t>
  </si>
  <si>
    <t>PRD201602</t>
  </si>
  <si>
    <t xml:space="preserve">Derrame antiguo ocultado. </t>
  </si>
  <si>
    <t>PDC201601</t>
  </si>
  <si>
    <t xml:space="preserve"> Afecta a la quebrada Ismacaño y las zonas de caza y pesca ahí cerca. Es un sitio distinto a los de PAS201606 y PAS201607.</t>
  </si>
  <si>
    <t>PJV201601</t>
  </si>
  <si>
    <t>17/05/2016</t>
  </si>
  <si>
    <t>Un derrame antiguo que fue quemado. Aún afecta a la quebrada Anapaza y su entorno.</t>
  </si>
  <si>
    <t>En el territorio de Nuevo Andoas (Capahuari Sur).</t>
  </si>
  <si>
    <t>PJV201609</t>
  </si>
  <si>
    <t>20/05/2016</t>
  </si>
  <si>
    <t>Dos colpas fueron afectadas por derrames antiguos de los tiempos de Oxy y Pluspetrol.</t>
  </si>
  <si>
    <t>En la quebrada choroyacu, territorio de la comunidad Titiyacu, Batería Capahuari Norte.</t>
  </si>
  <si>
    <t>PNA201601</t>
  </si>
  <si>
    <t>16/06/2016</t>
  </si>
  <si>
    <t xml:space="preserve">Las fotos tomadas por drone muestran crudo en la colcha. </t>
  </si>
  <si>
    <t>PMD201602</t>
  </si>
  <si>
    <t>20/06/2016</t>
  </si>
  <si>
    <t xml:space="preserve">Aún hay contaminación y no hay evidencia de trabajos de remediación. El OEFA ha visitado pero no se ha dado ningún resultado. Cabe destacar que la cocha fluye hacia la quebrada Ushapayacu. </t>
  </si>
  <si>
    <t xml:space="preserve"> Shirunchi cocha en el territorio de Comunidad Nuevo Andoas, en Batería Capahuari sur.</t>
  </si>
  <si>
    <t>PMD201603</t>
  </si>
  <si>
    <t>22/06/2016</t>
  </si>
  <si>
    <t xml:space="preserve"> La cocha está contaminada con crudo lo cual afecta de manera directa a los medios de vida de la comunidad. Esta cocha fluye directamente a la quebrada Ushpayacu.</t>
  </si>
  <si>
    <t>Shirunchi cocha, en el territorio de Nuevo Andoas, Batería Capahuari Sur.</t>
  </si>
  <si>
    <t>CSS201601</t>
  </si>
  <si>
    <t>05/11/2016</t>
  </si>
  <si>
    <t>La cocha Esteban está contaminada el el territorio de la comunidad Jerusalén.</t>
  </si>
  <si>
    <t>Dorisa km 16.</t>
  </si>
  <si>
    <t>CRS201603</t>
  </si>
  <si>
    <t>06/11/2016</t>
  </si>
  <si>
    <t xml:space="preserve"> El derrame impactó a la quebrada Marun entsa en la zona de la comunidad Pampa Hermosa.</t>
  </si>
  <si>
    <t>Comunidad Pampa Hermosa</t>
  </si>
  <si>
    <t>CFS201602</t>
  </si>
  <si>
    <t>TGS201701</t>
  </si>
  <si>
    <t>No hay mucha información disponible sobre la ubicación exacta. El derrame se dio en las instalaciones de Pluspetrol y afectó a una quebrada.</t>
  </si>
  <si>
    <t>Cerca del pozo 2.</t>
  </si>
  <si>
    <t>CES201705</t>
  </si>
  <si>
    <t>Afectó a la quebrada Huayurí Norte en el área Machu Picchu.</t>
  </si>
  <si>
    <t>Pozo 8 y 11 en la comunidad José Olaya</t>
  </si>
  <si>
    <t>TAS201711</t>
  </si>
  <si>
    <t>Gran derrame de petróleo de las instalaciones de la compañía Pacific.</t>
  </si>
  <si>
    <t>Dentro del territorio de la comunidad Marsella.</t>
  </si>
  <si>
    <t>-75.86624036</t>
  </si>
  <si>
    <t>-2.31376329</t>
  </si>
  <si>
    <t>PAS201703</t>
  </si>
  <si>
    <t xml:space="preserve">Hay una gran cantidad de bolsas plásticas llenas de crudo. </t>
  </si>
  <si>
    <t>Pozo ATA SJ-11, en Batería San Jacinto.</t>
  </si>
  <si>
    <t>TJO201706</t>
  </si>
  <si>
    <t xml:space="preserve">Mientras algunos trabajadores llevaban a cabo tareas de remediación, un árbol cayó encima de un oleoducto, causando otro derrame. En el mismo lugar, hubo dos derrames el mes anterior, de 19-21/02/2017. </t>
  </si>
  <si>
    <t>Quebrada Chanchama.</t>
  </si>
  <si>
    <t>PEH201703</t>
  </si>
  <si>
    <t>En la temporada de lluvías, sube el nivel de agua y el crudo albergado afecta a la cocha Ullpayacu. Afecta también a un aguajal y eventualmente todas las cochas y quebradas que están aguas abajo, hasta el río Pastaza. Afecta al territorio y las zonas de caza y pesca de muchas comunidades (Cocha ullpayacu, Yanayaco y otros).</t>
  </si>
  <si>
    <t>Zona Ullpayacu, en territorio de la comunidad Alianza Capahuari.</t>
  </si>
  <si>
    <t>TAS201707</t>
  </si>
  <si>
    <t>Afectó a un aguajal y una cocha. El evento hizo daño a árboles, matando peces y lagartos. Aún afecta a la flora y fauna aledaña. En los registros se muestra dos ODK describiendo el mismo evento que ha sido dividido en TAS200707.1 y TAS200707.2. La información recolectada en TAS200707.2 contiene los siguientes detalles:  Lugar, en el territorio de la comunidad Marsella. Hay un registro mostrando un oleoducto ''Km 7''. Afectó al río Avatar.</t>
  </si>
  <si>
    <t>Pozo 11, km 7 tubería 1A.</t>
  </si>
  <si>
    <t>TEP201702</t>
  </si>
  <si>
    <t>El evento se originó por el desmantelamiento de un oleoducto antiguo enterrado. Durante la visita, los monitores observaron peces muertos y árboles manchados por crudo. Afectó a la quebrada Bancal y los territorios de caza y pesca de Mariscal Caceres.</t>
  </si>
  <si>
    <t>Km 12 desde base Marsella hasta oleoducto Shiviyacu, en territorio de la comunidad Mariscal Cáceres.</t>
  </si>
  <si>
    <t>Eduar Prada, Fidel Sandi, Alberto Rodriguez</t>
  </si>
  <si>
    <t>TJG201701</t>
  </si>
  <si>
    <t>La empresa responsable es Pacific. El derrame se dio por la oxidación de la tubería. Afectó a la quebrada Chanchama. Los trabajadores utilizaron un producto absorbente y una barrera para controlar la expansión del derrame. The Apu que estuvo presente fue Teddy Tello. Las fotos asociadas con el ODK no son relevantes para el evento descrito. Se dio dentro de la comunidad 12 de Octubre y el territorio de caza y pesca de Marsella.</t>
  </si>
  <si>
    <t>Desde la bomba de agua ubicada en la vía Shiviyacu-San Jacinto, Km 6, lado izquierdo, 200 metros caminando hacia el bosque.</t>
  </si>
  <si>
    <t>-75.80278567</t>
  </si>
  <si>
    <t>-2.38618885</t>
  </si>
  <si>
    <t>John Garcia,  Teddy Tello</t>
  </si>
  <si>
    <t>TJO201705</t>
  </si>
  <si>
    <t>La fuga se ubica a unos cuatro metros más allá de otro punto de fuga que produjo un derrame en 19/02/2017 (Código de evento anterior: TOE201702/TJO201704)</t>
  </si>
  <si>
    <t>PEH20181</t>
  </si>
  <si>
    <t>Antiguo pozo con crudo enterrada. En este lugar el hidrocarburos esta aflorando por que en este lugar acampan las caminatas, o ronzocos.</t>
  </si>
  <si>
    <t>Base principal de Frontera Energy en Nuevo Andoas</t>
  </si>
  <si>
    <t>CES201701</t>
  </si>
  <si>
    <t xml:space="preserve">Es antiguo. Afectó a la Batería Huayari y los suelos y la flora aledaña. Se dio en el territorio de la comunidad José Olaya. </t>
  </si>
  <si>
    <t>De la playa a Huayuri - Batería Huayuri. En el territorio de la comunidad José Olaya</t>
  </si>
  <si>
    <t>CES201703</t>
  </si>
  <si>
    <t>Afecta a la comunidad José Olaya.</t>
  </si>
  <si>
    <t>Quebrada Huayuri. Km.10.huyuri-voa.  En la comunidad José Olaya</t>
  </si>
  <si>
    <t>CES201704</t>
  </si>
  <si>
    <t>El evento afectó a la quebrada Huasahi en la comunidad José Olaya.</t>
  </si>
  <si>
    <r>
      <rPr>
        <rFont val="Calibri"/>
        <color theme="1"/>
        <sz val="10.0"/>
      </rPr>
      <t xml:space="preserve">Shiviyacu, pozo 6. Carretera de Shiviyacu a Forestal, Km 5. </t>
    </r>
    <r>
      <rPr>
        <rFont val="Calibri"/>
        <color rgb="FFFF0000"/>
        <sz val="10.0"/>
      </rPr>
      <t>En la comunidad José Olaya</t>
    </r>
  </si>
  <si>
    <t>TRS201701</t>
  </si>
  <si>
    <t>Se dio debido a la oxidación interna del oleoducto. La contaminación afectó a la quebrada Shuyal y un aguajal.</t>
  </si>
  <si>
    <t>El hecho tuvo lugar cerca de la comunidad de Arenal. La ubicación exacta se puede encontrar luego de navegar entre 15 y 20 minutos por el río Tigre y girar a la izquierda. Luego hay que seguir la tubería durante aproximadamente un kilómetro.</t>
  </si>
  <si>
    <t>Ruben Sandi</t>
  </si>
  <si>
    <t>PEH201816</t>
  </si>
  <si>
    <t>TVS201802</t>
  </si>
  <si>
    <r>
      <rPr>
        <rFont val="Calibri"/>
        <color rgb="FFFF0000"/>
        <sz val="10.0"/>
      </rPr>
      <t xml:space="preserve">Los registros muestran una barrera colocada a través de un río para impedir que el petróleo fluyera río abajo. </t>
    </r>
    <r>
      <rPr>
        <rFont val="Calibri"/>
        <color rgb="FF000000"/>
        <sz val="10.0"/>
      </rPr>
      <t>El evento afectó a la Quebrada de Piedra Negra.</t>
    </r>
  </si>
  <si>
    <t>PAS201707</t>
  </si>
  <si>
    <t>Instalaciones antiguas abandonadas.</t>
  </si>
  <si>
    <t>CWC201801</t>
  </si>
  <si>
    <t xml:space="preserve">Derrame del oleoducto conectado al pozo 11, en el territorio de la comunidad Pampa Hermosa. </t>
  </si>
  <si>
    <r>
      <rPr>
        <rFont val="Calibri"/>
        <color theme="1"/>
        <sz val="10.0"/>
      </rPr>
      <t xml:space="preserve">El oleoducto que conecta el pozo 11. En el territorio de la comunidad Pampa Hermosa. </t>
    </r>
    <r>
      <rPr>
        <rFont val="Calibri"/>
        <color rgb="FFFF0000"/>
        <sz val="10.0"/>
      </rPr>
      <t xml:space="preserve">Se demora 30 minutos en carro para llegar al sitio. </t>
    </r>
  </si>
  <si>
    <t>Walter Carijano Hualinga</t>
  </si>
  <si>
    <t>TGS201705</t>
  </si>
  <si>
    <t>Los registros muestran instalaciones abandonadas en Batería 12 de Octubre.</t>
  </si>
  <si>
    <t>Bateria 12 de Octubre</t>
  </si>
  <si>
    <t>PAS201709</t>
  </si>
  <si>
    <r>
      <rPr>
        <rFont val="Calibri"/>
        <color rgb="FFFF0000"/>
        <sz val="10.0"/>
      </rPr>
      <t xml:space="preserve">Aguajal </t>
    </r>
    <r>
      <rPr>
        <rFont val="Calibri"/>
        <color rgb="FF000000"/>
        <sz val="10.0"/>
      </rPr>
      <t xml:space="preserve">con muchos residuos, mayormente plástico. </t>
    </r>
  </si>
  <si>
    <t>CRS201808</t>
  </si>
  <si>
    <r>
      <rPr>
        <rFont val="Calibri"/>
        <color rgb="FF000000"/>
        <sz val="10.0"/>
      </rPr>
      <t xml:space="preserve">La empresa está remediando el impacto causado por un derrame en Nazareth ( 20/02/2018). Las fotos muestran el </t>
    </r>
    <r>
      <rPr>
        <rFont val="Calibri"/>
        <color rgb="FFFF0000"/>
        <sz val="10.0"/>
      </rPr>
      <t>enorme impacto causado por el evento</t>
    </r>
  </si>
  <si>
    <t>Nazareth</t>
  </si>
  <si>
    <t>TJAC201702</t>
  </si>
  <si>
    <t xml:space="preserve">Afectó a la sección que abarca Marsella-Andres Avelino Caceres y también una quebrada y el río Tigre. Según el monitor, la contaminación afectó a 450m2 de suelo y agua. </t>
  </si>
  <si>
    <t>En el territorio de la comunidad Mariscal Cáceres, San Jacinto.</t>
  </si>
  <si>
    <t>James Cisneros, Wilmer Acho Sandi</t>
  </si>
  <si>
    <t>TVS201803</t>
  </si>
  <si>
    <t xml:space="preserve"> Derrame de desagüe.</t>
  </si>
  <si>
    <t>En el territorio de la comunidad 12 de Octubre.</t>
  </si>
  <si>
    <t>PAS201708</t>
  </si>
  <si>
    <t>Oleoducto sostenido por infraestructura no apta.</t>
  </si>
  <si>
    <t>PAS201704</t>
  </si>
  <si>
    <t xml:space="preserve">Un oleoducto de una instalación de extracción vertiendo agua mezclada con crudo. </t>
  </si>
  <si>
    <t>PAS201705</t>
  </si>
  <si>
    <t>PAS201706</t>
  </si>
  <si>
    <t xml:space="preserve">Se ve crudo en un cuerpo de agua. </t>
  </si>
  <si>
    <t>PAA201701</t>
  </si>
  <si>
    <t>America Arias</t>
  </si>
  <si>
    <t>PMO201701</t>
  </si>
  <si>
    <t xml:space="preserve">Fotos de dron muestran zonas amplias deforestadas. </t>
  </si>
  <si>
    <t>TAS201706</t>
  </si>
  <si>
    <t>El evento se dio el 03/03/2007 en el territorio de la comunidad San Juan Bartra, en Batería Bartra. Afectó a la quebrada Montano y la zona aledaña de la aldea. No se hizo la remediación adecuada.</t>
  </si>
  <si>
    <t>Comunidad San Juan Bartra, en Batería Bartra</t>
  </si>
  <si>
    <t>Artemio Sandi and Wilmer Sandi Ushihua</t>
  </si>
  <si>
    <t>TJAC201701</t>
  </si>
  <si>
    <t>TDP201703</t>
  </si>
  <si>
    <t>Carretera San Jacinto-Shiviyacu, en territorio de la comunidad 12 de Octubre.</t>
  </si>
  <si>
    <t>Ducner Papuy</t>
  </si>
  <si>
    <t>TEP201701</t>
  </si>
  <si>
    <t>Derrame antiguo y botadero en el jardin de Obelio Acho de los tiempos de Oxy</t>
  </si>
  <si>
    <t>En el territorio de la Comunidad 12 de Octubre.</t>
  </si>
  <si>
    <t>Eduar Prada</t>
  </si>
  <si>
    <t>CAS201706</t>
  </si>
  <si>
    <t>CAS201707</t>
  </si>
  <si>
    <t>Huayuri norte km 4</t>
  </si>
  <si>
    <t>TAS201703</t>
  </si>
  <si>
    <t>Hay un tanque antiguo abandonado lleno de crudo. Afecta a la quebrada Sara Yacu, cochas, colpas y quebradas aledañas.</t>
  </si>
  <si>
    <t>En los alrededores del pozo 13, Batería Bartra.</t>
  </si>
  <si>
    <t>TAS201705</t>
  </si>
  <si>
    <t xml:space="preserve">Gran cantidad de petróleo derramado. Los trabajadores de la empresa están quemando el crudo derramado. </t>
  </si>
  <si>
    <t>CFS201707</t>
  </si>
  <si>
    <t>El evento afectó a una quebrada (no hay más información).</t>
  </si>
  <si>
    <t>En el territorio de San Cristóbal</t>
  </si>
  <si>
    <t>CFS201701</t>
  </si>
  <si>
    <t>TEUP201702</t>
  </si>
  <si>
    <t>Unos residuos abadonados en el bosque de actividades de exploración petrolera.</t>
  </si>
  <si>
    <t>Eugenio Papallardo</t>
  </si>
  <si>
    <t>PAS201710</t>
  </si>
  <si>
    <t>Instalaciones antiguas.</t>
  </si>
  <si>
    <t>PAS201711</t>
  </si>
  <si>
    <t>Pozo en malas condiciones.</t>
  </si>
  <si>
    <t>CNA201702</t>
  </si>
  <si>
    <t>Afectó a un cuerpo de agua dulce.</t>
  </si>
  <si>
    <t>Comunidad José Olaya.</t>
  </si>
  <si>
    <t>TJAC201703</t>
  </si>
  <si>
    <r>
      <rPr>
        <rFont val="Calibri"/>
        <color rgb="FF000000"/>
        <sz val="10.0"/>
      </rPr>
      <t xml:space="preserve">Instalaciones abandonadas.  </t>
    </r>
    <r>
      <rPr>
        <rFont val="Calibri"/>
        <color rgb="FFFF0000"/>
        <sz val="10.0"/>
      </rPr>
      <t>Los registros muestran un pozo descuidado cubierto por una fina capa de aceite, presumiblemente como resultado de una fuga o un mal sellado.</t>
    </r>
  </si>
  <si>
    <t>James Cisneros</t>
  </si>
  <si>
    <t>TGV201702</t>
  </si>
  <si>
    <t>CNA201701</t>
  </si>
  <si>
    <t>PJB201701</t>
  </si>
  <si>
    <t>Se dio por una rotura de tubería. La empresa encargada es la Pacific. Las autoridades estuvieron presentes.</t>
  </si>
  <si>
    <t>En el territorio de Alianza Copal, Batería Capahuari norte.</t>
  </si>
  <si>
    <t>Juan José Butuna</t>
  </si>
  <si>
    <t>TAS201713</t>
  </si>
  <si>
    <t>El derrame impactó a las comunidades Arenal, 12 de Octubre, Cáceres y San Juan de Bartra. Afectó a un afluente que desemboca en el río Cachiyacu y también a la quebrada de Piedra Negra y el río Tigre. Según los monitores, esta zona ya había sido impactada por otros derrames anteriormente.</t>
  </si>
  <si>
    <t>Batería San Jacinto, en el territorio de la comunidad Marsella.</t>
  </si>
  <si>
    <t>PMD201701</t>
  </si>
  <si>
    <t>PAS201801</t>
  </si>
  <si>
    <t>PEH201802</t>
  </si>
  <si>
    <t xml:space="preserve">Residuos de metal enterrados en el bosque de los tiempos de Oxy. </t>
  </si>
  <si>
    <t>En el territorio de la comunidad Nuevo Andoas, Batería Capahuari Sur.</t>
  </si>
  <si>
    <t>PEH201827</t>
  </si>
  <si>
    <t xml:space="preserve">Residuos de metal en el bosque de los tiempos de Oxy. </t>
  </si>
  <si>
    <t>PAS201802</t>
  </si>
  <si>
    <t>PAS201803</t>
  </si>
  <si>
    <t>PEH201806</t>
  </si>
  <si>
    <t>Residuos enterrados.</t>
  </si>
  <si>
    <t>PEH201815</t>
  </si>
  <si>
    <t xml:space="preserve">Mantenimiento deficiente de la tubería, causando oxidación. </t>
  </si>
  <si>
    <t>PEH201818</t>
  </si>
  <si>
    <t>PEH201820</t>
  </si>
  <si>
    <t>CFS201605</t>
  </si>
  <si>
    <t xml:space="preserve">Es un sitio contaminado conocido por la población. Hay aún contaminación en la laguna donde las comunidades suelen pescar. La comunidad está exigiendo que la empresa haga remediación. Las autoridades comunales visitaron el sitio con los monitores ambientales. </t>
  </si>
  <si>
    <t>Cocha Negra</t>
  </si>
  <si>
    <t>CFS201606</t>
  </si>
  <si>
    <t xml:space="preserve">Peces muertos encontrados en el sitio de remediación. </t>
  </si>
  <si>
    <t>Batería 1, tanque 7.</t>
  </si>
  <si>
    <t>CFS201609</t>
  </si>
  <si>
    <t xml:space="preserve">Anteriormente hubo un derrame y fue limpiado. Recuperaron 81 barriles. Se han encontrado varias bolsas de petróleo abandonadas, aparentemente se las han dejado después de la limpieza. </t>
  </si>
  <si>
    <t>Quemador 31.</t>
  </si>
  <si>
    <t>CFS201521</t>
  </si>
  <si>
    <t>Se dio por una tubería rota.</t>
  </si>
  <si>
    <t>Km3+814, comunidad de San Cristóbal.</t>
  </si>
  <si>
    <t>T2016RC01</t>
  </si>
  <si>
    <t xml:space="preserve">Se dio por una rotura de un oleoducto antiguo, resultando en un derrame grande afectando a una Quebrada. Hoy en día, animales como el majaz y el venado toman agua contaminada. Los pobladores de la zona informaron a las autoridades, quienes fueron a hablar con la empresa. Vino el OEFA para tomar muestras y una empresa comunal fue contratada por la empresa petrolera para llevar al cabo el proceso de remediación. Recolectaron el crudo en bolsas plásticas. </t>
  </si>
  <si>
    <t>En Plantas de Producción Central San Jacinto.</t>
  </si>
  <si>
    <t>Recuperación de crudo.</t>
  </si>
  <si>
    <t>TRS201601</t>
  </si>
  <si>
    <t>La válvula se ha roto debido a la alta presión. Se pudo contener el derrame y la empresa mitigó el derrame aislandolo con barreras físicas. La empresa sacó 10-15 barriles de petróleo mezclado con diésel. Sin embargo, el monitor no sabe qué es lo que Corpesa haya hecho con estos barriles. La quebrada Yanayacu fue impactado.</t>
  </si>
  <si>
    <t>Cerca de Arenales, en la mismo márgen del río, a 1k, aguas abajo, en los pozos 10,11 y 12.</t>
  </si>
  <si>
    <t>CTW201601</t>
  </si>
  <si>
    <t xml:space="preserve"> Afectó a un área de 18x40 metros y el río Pungacungayacu, ubicado 400 metros del derrame.</t>
  </si>
  <si>
    <t>Km 42 oleoducto Jibarito Isla-Jibarito.</t>
  </si>
  <si>
    <t>Tiroteo Washikiat</t>
  </si>
  <si>
    <t>CFD201601</t>
  </si>
  <si>
    <t xml:space="preserve">Crudo derramado de un oleoducto abandonado. Una gran cantidad de crudo fue derramado y llegó a la quebrada Camaron yacu. El derrame afectó al aguajal, de ahí llegó al riachuelo hasta llegar al río Corrientes. Se derramaron unos 4-5 barriles, afectando al agua y el suelo. Al momento de tomar registro, aún estaba saliendo crudo. </t>
  </si>
  <si>
    <t>Planta de Producción Central 7 a Capirona. El sitio se ubica aproximadamente a una hora de San José de Nueva Esperanza, y luego se camina 15 minutos más (1 km).</t>
  </si>
  <si>
    <t>Federico Díaz Hualinga</t>
  </si>
  <si>
    <t>CFD201602</t>
  </si>
  <si>
    <t xml:space="preserve"> Crudo derramado de un oleoducto abandonado. Tuvo un gran impacto, contaminando cerca a 500 metros de quebrada, llegando a aguas abajo. Afectó a una colca y se ha encontrado peces muertos. 
</t>
  </si>
  <si>
    <t>Comunidad San José de Nueva Esperanza. El lugar donde tuvo lugar el hecho se encuentra aproximadamente a media hora en barco río abajo, en la zona de Carme Caño.</t>
  </si>
  <si>
    <t>CFD201603</t>
  </si>
  <si>
    <t xml:space="preserve">Crudo derramado de un oleoducto roto, afectando a más de 200 metros de la quebrada Cangrejo Yacu. Luego, afectó a la quebrada Sabalillo y el río Corrientes. El OEFA visitó el sitio (ID206 y ID205). El apu mantiene todos los registros documentarios. El sitio aún no ha sido remediado. </t>
  </si>
  <si>
    <t>comunidad San José de Nueva Esperanza, en Sabalillo.</t>
  </si>
  <si>
    <t>TRC200601</t>
  </si>
  <si>
    <t>El incidente se dio debido a la oxidación interna de la tubería, afectando a la quebrada Piedra Negra y algunas cochas. Se denunció por el monitor ambiental que lo encontró. No se ha hecho la remediación.</t>
  </si>
  <si>
    <t>Pozo 1, caminando 40 metros hasta la quebrada Piedra Negra.</t>
  </si>
  <si>
    <t>COE200804.1/CSW200803</t>
  </si>
  <si>
    <t>15/05/2008 16/05/2008</t>
  </si>
  <si>
    <t>Un aumento inesperado de crudo en el área de tratamiento arrastró el crudo hacia los quemadores. Al final, se cayó al foso y llegó al sump tank, lo cual se rebalsó.</t>
  </si>
  <si>
    <t>Batería Jibarito, sump tank.</t>
  </si>
  <si>
    <t xml:space="preserve"> Segundo Walter Hualinga</t>
  </si>
  <si>
    <t>CRAS200813</t>
  </si>
  <si>
    <t xml:space="preserve">Fuga de un tanque cuyo dueño es Pluspetrol. </t>
  </si>
  <si>
    <t>CEH200803</t>
  </si>
  <si>
    <t xml:space="preserve">Hubo un derrame grande dentro de las instalaciones petroleras. El crudo llegó a las zanjas de drenaje de agua y expandió a la zona aledaña. Probablemente haya llegado a cuerpos de agua. </t>
  </si>
  <si>
    <t>COE200804.5/CCS200801</t>
  </si>
  <si>
    <t>El evento ocurrió debido a una falla durante una operación para bombear crudo de la batería 1 a un tanque ubicado en la plátaforma 114. El tanque se desbordó y 0.5 barriles de crudo impactó al suelo natural.</t>
  </si>
  <si>
    <t>Tanque de diésel Plátaforma 114/Plátaforma 144, sitio 1</t>
  </si>
  <si>
    <t xml:space="preserve"> Cornelio Sandi</t>
  </si>
  <si>
    <t>COE200804.4/CSW200808</t>
  </si>
  <si>
    <t>08/06/2008 10/06/2008</t>
  </si>
  <si>
    <t>El derrame se dio al pie del tanque.</t>
  </si>
  <si>
    <t>CFD200801</t>
  </si>
  <si>
    <t>Un riachuelo fue contaminado por la parte arriba con crudo en más de 35 km. El derrame afectó a la quebrada Nayanmacu.</t>
  </si>
  <si>
    <t>La facilidad central de producción 7, Plátaforma x47 (en la comunidad de San José de Nueva Esperanza)</t>
  </si>
  <si>
    <t>CNA200301</t>
  </si>
  <si>
    <t>Esto es un sitio PAC.</t>
  </si>
  <si>
    <t>Batería Forestal</t>
  </si>
  <si>
    <t>CEV200602</t>
  </si>
  <si>
    <t>Los trabajos de remediación aún no se inician.</t>
  </si>
  <si>
    <t>CEV200603</t>
  </si>
  <si>
    <t>Sardina cocha</t>
  </si>
  <si>
    <t>CEV200604</t>
  </si>
  <si>
    <t>Hay residuos de las actividades de los trabajadores botados al medioambiente</t>
  </si>
  <si>
    <t>CEV200605</t>
  </si>
  <si>
    <t>Un riachuelo fue afectado.</t>
  </si>
  <si>
    <t>CEV200606</t>
  </si>
  <si>
    <t>CEV200607</t>
  </si>
  <si>
    <t>El sitio ha sido remediado.</t>
  </si>
  <si>
    <t>Capirona. Lote 8.</t>
  </si>
  <si>
    <t>CEV200608</t>
  </si>
  <si>
    <t>CGD200601</t>
  </si>
  <si>
    <t xml:space="preserve">Una remediación adecuada no se ha hecho aún. </t>
  </si>
  <si>
    <t>Hacia el pozo 10, Batería Jibarito [Hivarito, sic].</t>
  </si>
  <si>
    <t>Gil Dahua Hualinga, Miguel Carijano</t>
  </si>
  <si>
    <t>CJC200601</t>
  </si>
  <si>
    <t>CNA200606</t>
  </si>
  <si>
    <t>Un tubo enterrado está vertiendo petróleo.</t>
  </si>
  <si>
    <t>Batería Dorissa</t>
  </si>
  <si>
    <t>CNA200608</t>
  </si>
  <si>
    <t>Barriles barriles que aún contienen petróleo.</t>
  </si>
  <si>
    <t>CNA200609</t>
  </si>
  <si>
    <t>CNA200612</t>
  </si>
  <si>
    <t>CNA200613</t>
  </si>
  <si>
    <t>CNA200614</t>
  </si>
  <si>
    <t>CNA200615</t>
  </si>
  <si>
    <t xml:space="preserve">La empresa está quemando el derrame de crudo in situ. </t>
  </si>
  <si>
    <t>CNA200645</t>
  </si>
  <si>
    <t>CNA200647</t>
  </si>
  <si>
    <t>CNA200604</t>
  </si>
  <si>
    <t>CNA200611</t>
  </si>
  <si>
    <t>CNA200619</t>
  </si>
  <si>
    <t>Batería Huayurí</t>
  </si>
  <si>
    <t>CNA200620</t>
  </si>
  <si>
    <t xml:space="preserve"> Un tubo vertiendo agua mezclada con crudo. </t>
  </si>
  <si>
    <t>CNA200640</t>
  </si>
  <si>
    <t>Shiviyacu</t>
  </si>
  <si>
    <t>CNA200641</t>
  </si>
  <si>
    <t>CNA200642</t>
  </si>
  <si>
    <t>Batería Shiviyacu</t>
  </si>
  <si>
    <t>CNA200623</t>
  </si>
  <si>
    <t>CNA200636</t>
  </si>
  <si>
    <t>CNA200622</t>
  </si>
  <si>
    <t>CWS200601</t>
  </si>
  <si>
    <t>CWS200602</t>
  </si>
  <si>
    <t>CEV200609</t>
  </si>
  <si>
    <t>CEV200610</t>
  </si>
  <si>
    <t>La remediación no se ha hecho adecuadamente.</t>
  </si>
  <si>
    <t>Colpayo, en el km 17 de la estación de bomba a Trompeteros.</t>
  </si>
  <si>
    <t>CEV200611</t>
  </si>
  <si>
    <t>Suelo contaminado por crudo. La empresa está remediando el sitio.</t>
  </si>
  <si>
    <t>CNA200633</t>
  </si>
  <si>
    <t>Jibarito Batería.</t>
  </si>
  <si>
    <t>COE200601.3/CEH200601</t>
  </si>
  <si>
    <t xml:space="preserve">Un tubo roto es el origen del derrame. Este evento ocurrió en un riachuelo pequeño que pertenece a la quebrada Pucacungayacu. Según el informe, unas barreras de contención se armaron sobre el riachuelo. Se quemó el crudo por los trabajadores encargados de hacer la limpieza. </t>
  </si>
  <si>
    <t>El oleoducto principal entre Isla Jibaro y Batería Jibarito (en la carretera km 42 hacia Jibarito)</t>
  </si>
  <si>
    <t>La empresa quemó el petróleo</t>
  </si>
  <si>
    <t>CNA200601</t>
  </si>
  <si>
    <t>CNA200616</t>
  </si>
  <si>
    <t>CNA200624</t>
  </si>
  <si>
    <t>CNA200625</t>
  </si>
  <si>
    <t>CNA200626</t>
  </si>
  <si>
    <t>CNA200627</t>
  </si>
  <si>
    <t>CNA200628</t>
  </si>
  <si>
    <t>CNA200629</t>
  </si>
  <si>
    <t>CNA200630</t>
  </si>
  <si>
    <t>CNA200631</t>
  </si>
  <si>
    <t>CNA200632</t>
  </si>
  <si>
    <t>CNA200634</t>
  </si>
  <si>
    <t>CNA200602</t>
  </si>
  <si>
    <t>CNA200603</t>
  </si>
  <si>
    <t>CNA200605</t>
  </si>
  <si>
    <t>CNA200607</t>
  </si>
  <si>
    <t>CNA200646</t>
  </si>
  <si>
    <t xml:space="preserve">Los aves comen del suelo contaminado cerca al pozo. </t>
  </si>
  <si>
    <t>CNA200644</t>
  </si>
  <si>
    <t xml:space="preserve">La empresa está remediando un derrame que afecta a una superficie grande. </t>
  </si>
  <si>
    <t>Batería 5.</t>
  </si>
  <si>
    <t>CNA200635</t>
  </si>
  <si>
    <t>CNA200618</t>
  </si>
  <si>
    <t>CNA200621</t>
  </si>
  <si>
    <t>CNA200638</t>
  </si>
  <si>
    <t>CNA200639</t>
  </si>
  <si>
    <t>Remediación incompleta. Suelo aún contaminado.</t>
  </si>
  <si>
    <t>CNA200617</t>
  </si>
  <si>
    <t>Crudo antiguo vertido en la comunidad José Olaya.</t>
  </si>
  <si>
    <t>COE200601.5/CNA200637</t>
  </si>
  <si>
    <t>05/12/2006 08/12/2006</t>
  </si>
  <si>
    <t xml:space="preserve">Este evento ocurrió porque un árbol se cayó por encima de un tubo. Eso le afectó a un área que abarca una ladera con flora y una pequeña quebrada. Impactó un río, cubriendolo con una capa de crudo. </t>
  </si>
  <si>
    <t>Batería Shiviyacu. En no. 660 del oleoducto Forestal-Shiviyacu. El punto exacto es el km 17 de la carretera Shiviyacu-Forestal.</t>
  </si>
  <si>
    <t>Según el informe, en una visita realizada en agosto de 2007 se informó de que no había contaminación visible en la zona. Sin embargo, no hay información sobre cómo se llevaron a cabo los trabajos de remediación/limpieza.</t>
  </si>
  <si>
    <t>CNP200701</t>
  </si>
  <si>
    <t>Remediación incompleta.</t>
  </si>
  <si>
    <t>CNP200702</t>
  </si>
  <si>
    <t>CNP200703</t>
  </si>
  <si>
    <t>CNP200704</t>
  </si>
  <si>
    <t>Una laguna fue contaminada por multiples derrames.</t>
  </si>
  <si>
    <t>En el área de pesca de la comunidad Peruanito</t>
  </si>
  <si>
    <t>CWS200701</t>
  </si>
  <si>
    <t>Cerca a la Plátaforma 8.</t>
  </si>
  <si>
    <t>CWS200702</t>
  </si>
  <si>
    <t xml:space="preserve">La empresa cambió un tubo antiguo y roto pero no ha remediado la zona. </t>
  </si>
  <si>
    <t>CWS200703</t>
  </si>
  <si>
    <t>El agua de producción es botada directamente al río, afectando a la comunidad de San Cristobal.</t>
  </si>
  <si>
    <t>Comunidad de San Cristóbal</t>
  </si>
  <si>
    <t>CWS200704</t>
  </si>
  <si>
    <t>El sitio no ha sido remediado.</t>
  </si>
  <si>
    <t>El oleoducto que va hacia Batería 2.</t>
  </si>
  <si>
    <t>CWS200705</t>
  </si>
  <si>
    <t>CWS200706</t>
  </si>
  <si>
    <t>CWS200707</t>
  </si>
  <si>
    <t>El sitio no ha sido remediado. La laguna ha sido contaminada.</t>
  </si>
  <si>
    <t>Cerca de trompeteros</t>
  </si>
  <si>
    <t>CWS200708</t>
  </si>
  <si>
    <t>El sitio no ha sido remediado. La laguna sigue contaminada.</t>
  </si>
  <si>
    <t>CRAS200701</t>
  </si>
  <si>
    <t>CRAS200702</t>
  </si>
  <si>
    <t>CGS200705</t>
  </si>
  <si>
    <t>Una sustancia quimica de color amarillo ha sido botada.</t>
  </si>
  <si>
    <t>CGS200701</t>
  </si>
  <si>
    <t>CWS200709</t>
  </si>
  <si>
    <t>La foto muestra un pozo natural completamente lleno de crudo.</t>
  </si>
  <si>
    <t>CGS200702</t>
  </si>
  <si>
    <t>CRAS200704</t>
  </si>
  <si>
    <t>El derrame afecta al río.</t>
  </si>
  <si>
    <t>Riachuelo Chuuntsa, Batería Dorissa.</t>
  </si>
  <si>
    <t>CGD200701</t>
  </si>
  <si>
    <t xml:space="preserve"> Gil Dahua Hualinga</t>
  </si>
  <si>
    <t>CGD200702</t>
  </si>
  <si>
    <t xml:space="preserve">Crudo derramado de barriles. </t>
  </si>
  <si>
    <t>CGD200703</t>
  </si>
  <si>
    <t>CNP200705</t>
  </si>
  <si>
    <t>Plátaforma 12X.</t>
  </si>
  <si>
    <t>CNP200706</t>
  </si>
  <si>
    <t>Agua contaminada debido a un derrame de crudo.</t>
  </si>
  <si>
    <t>CNP200707</t>
  </si>
  <si>
    <t>Agua contaminada debido a un derrame de crudo. Superficie afectada: 7m2x55m2.</t>
  </si>
  <si>
    <t>Plátaforma 44x.</t>
  </si>
  <si>
    <t>CNP200708</t>
  </si>
  <si>
    <t xml:space="preserve">Crudo y otros productos quimicos derramados al medioambiente. </t>
  </si>
  <si>
    <t>CNP200709</t>
  </si>
  <si>
    <t xml:space="preserve">Hay un murciélago muerto en el tanque. </t>
  </si>
  <si>
    <t>CNP200710</t>
  </si>
  <si>
    <t xml:space="preserve">Hay un oleoducto que aún contiene crudo. Por el alto nivel de contaminación, algunos árboles han muerto. </t>
  </si>
  <si>
    <t>Plátaforma 44.</t>
  </si>
  <si>
    <t>CNP200711</t>
  </si>
  <si>
    <t>Plátaforma 33.</t>
  </si>
  <si>
    <t>CNP200712</t>
  </si>
  <si>
    <t xml:space="preserve">Múltiples barriles antiguos que aún contienen crudo. </t>
  </si>
  <si>
    <t>CEH200703</t>
  </si>
  <si>
    <t>CEH200704</t>
  </si>
  <si>
    <t>CRAS200705</t>
  </si>
  <si>
    <t>Hubo un derrame grande cerca de las instalaciones petroleras (no se puede identificar desde las fotos la ubicación exacta). Las fotos muestran un pozo grande de crudo que aún está saliendo. Muestra que el crudo sale por las zanjas y probablemente haya llegado a cuerpos de agua. Para contener el crudo, los trabajadores han instalado barreras de contención sobre algunas zanjas. Las fotos muestran que en algunos casos las barreras son hechas de materiales básicos. Cuando se tomaron las fotos, los trabajos de remediación estaban en proceso.</t>
  </si>
  <si>
    <t>En el momento en que se tomaron las fotos, se estaban llevando a cabo obras de remediación.</t>
  </si>
  <si>
    <t>CJC200803</t>
  </si>
  <si>
    <t>CWS200710</t>
  </si>
  <si>
    <t>CWS200712</t>
  </si>
  <si>
    <t>Lote 8.</t>
  </si>
  <si>
    <t>CRAS200706</t>
  </si>
  <si>
    <t>CRAS200707</t>
  </si>
  <si>
    <t>CWS200714</t>
  </si>
  <si>
    <t>COE200702.3/CEH200701</t>
  </si>
  <si>
    <t>25/07/2007 26/07/2007</t>
  </si>
  <si>
    <t>El evento ocurrió debido a un exceso de presión sobre los equipos de tratamiento de crudo. El crudo derramado salió hacia las descargas de agua de la batería Jibarito, afectado a la quebrada Tseku entsa y quebrada Pucacunga yacu.</t>
  </si>
  <si>
    <t>CRAS200805</t>
  </si>
  <si>
    <t>Cerca de Batería Dorissa</t>
  </si>
  <si>
    <t>CSW200809</t>
  </si>
  <si>
    <t>CSW200810</t>
  </si>
  <si>
    <t>CWS200808</t>
  </si>
  <si>
    <t>La empresa está remediando la zona. Un video muestra un ave completamente bañado por crudo.</t>
  </si>
  <si>
    <t>Centro de remediación 31X, cerca de la quebrada Trompeterillo, en el territorio de la comunidad San Cristóbal.</t>
  </si>
  <si>
    <t>CWS200809</t>
  </si>
  <si>
    <t>La laguna está contaminada.</t>
  </si>
  <si>
    <t>Plátaforma 10X.</t>
  </si>
  <si>
    <t>CWS200810</t>
  </si>
  <si>
    <t>El suelo y el agua afectados por contaminación.</t>
  </si>
  <si>
    <t>CWS200814</t>
  </si>
  <si>
    <t>CEH200801</t>
  </si>
  <si>
    <t>Suelo contaminado por crudo.</t>
  </si>
  <si>
    <t>CRAS200801</t>
  </si>
  <si>
    <t>La empresa ha remediado la zona.</t>
  </si>
  <si>
    <t>CGS200802</t>
  </si>
  <si>
    <t>CEH200802</t>
  </si>
  <si>
    <t>CGS200803</t>
  </si>
  <si>
    <t>Quebrada impactada.</t>
  </si>
  <si>
    <t>CEH200804</t>
  </si>
  <si>
    <t>CGS200805</t>
  </si>
  <si>
    <t>Batería Forestal. Lote 1-AB.</t>
  </si>
  <si>
    <t>CGS200806</t>
  </si>
  <si>
    <t>CGS200807</t>
  </si>
  <si>
    <t>CGS200808</t>
  </si>
  <si>
    <t xml:space="preserve">Un pozo de crudo se desbordó, afectando a la zona aledaña. </t>
  </si>
  <si>
    <t>CAUS200801</t>
  </si>
  <si>
    <t>Aurelien Stoll</t>
  </si>
  <si>
    <t>CAUS200802</t>
  </si>
  <si>
    <t>CAUS200803</t>
  </si>
  <si>
    <t>CAUS200804</t>
  </si>
  <si>
    <t>La reparación no se ha hecho adecuadamente. Han habido varias fugas.</t>
  </si>
  <si>
    <t>Batería Huayuri.</t>
  </si>
  <si>
    <t>CAUS200805</t>
  </si>
  <si>
    <t>CAUS200806</t>
  </si>
  <si>
    <t>CAUS200807</t>
  </si>
  <si>
    <t>CAUS200808</t>
  </si>
  <si>
    <t>CAUS200809</t>
  </si>
  <si>
    <t>CRAS200802</t>
  </si>
  <si>
    <t>CWS200818</t>
  </si>
  <si>
    <t>bateria 1</t>
  </si>
  <si>
    <t>CSW200801</t>
  </si>
  <si>
    <t>Los registros muestran una fuga de crudo de un tubo hacia el medioambiente. Hay mucha evidencia de un impacto negativo en el pequeño riachuelo de agua dulce.</t>
  </si>
  <si>
    <t>CWS200802</t>
  </si>
  <si>
    <t>CWS200803</t>
  </si>
  <si>
    <t>CWS200804</t>
  </si>
  <si>
    <t>CWS200806</t>
  </si>
  <si>
    <t>CWS200807</t>
  </si>
  <si>
    <t>CRAS200803</t>
  </si>
  <si>
    <t>CGS200810</t>
  </si>
  <si>
    <t>Tubería rota.</t>
  </si>
  <si>
    <t>CRAS200804</t>
  </si>
  <si>
    <t>CSW200802</t>
  </si>
  <si>
    <t>CSW200806</t>
  </si>
  <si>
    <t>CWS200811</t>
  </si>
  <si>
    <t>CWS200812</t>
  </si>
  <si>
    <t>CJC200801</t>
  </si>
  <si>
    <t>CGS200804</t>
  </si>
  <si>
    <t>Pozo 14.</t>
  </si>
  <si>
    <t>CJC200802</t>
  </si>
  <si>
    <t>CCS200802</t>
  </si>
  <si>
    <t>Plátaforma 70-MSA 1</t>
  </si>
  <si>
    <t>CCS200803</t>
  </si>
  <si>
    <t>CWS200815</t>
  </si>
  <si>
    <t xml:space="preserve">El derrame afectó al río Corrientes. </t>
  </si>
  <si>
    <t>CRAS200806</t>
  </si>
  <si>
    <t>CRAS200807</t>
  </si>
  <si>
    <t>CRAS200808</t>
  </si>
  <si>
    <t>CRAS200809</t>
  </si>
  <si>
    <t>CRAS200810</t>
  </si>
  <si>
    <t>CRAS200811</t>
  </si>
  <si>
    <t>CRAS200812</t>
  </si>
  <si>
    <t>CRAS200814</t>
  </si>
  <si>
    <t>CWS200816</t>
  </si>
  <si>
    <t>CWS200817</t>
  </si>
  <si>
    <t>COE200804.2/CWS200813</t>
  </si>
  <si>
    <t>18/05/2008 23/05/2008</t>
  </si>
  <si>
    <t xml:space="preserve">El derrame de diésel fue prooleoducto de una falla mecánica en las instalaciones. El derrame afectó al río. </t>
  </si>
  <si>
    <t>Batería 1, Corrientes. En el tanque de diesel que alimenta a las motobombas de Batería 1./ Cerca de la comunidad de San Cristobal.</t>
  </si>
  <si>
    <t>COE200804.3/CSW200805</t>
  </si>
  <si>
    <t>24/05/2008 25/05/2008</t>
  </si>
  <si>
    <t>El derrame de crudo fue causado por un exceso de presión en la línea de bomba Huayurí-Jibarito. El crudo salió hacia el derecho de via. No hay información sobre el impacto ambiental de este evento.</t>
  </si>
  <si>
    <t>Batería Jibarito. Trampa receptora de chanchos - Km. 38 de la carretera huayurí a Jibarito</t>
  </si>
  <si>
    <t>CNA200905</t>
  </si>
  <si>
    <t>CNA200906</t>
  </si>
  <si>
    <t>CNA200901</t>
  </si>
  <si>
    <t>CNA200902</t>
  </si>
  <si>
    <t>CNA200903</t>
  </si>
  <si>
    <t>bateria 7</t>
  </si>
  <si>
    <t>CNA200904</t>
  </si>
  <si>
    <t>PJP201014</t>
  </si>
  <si>
    <t>Los registros muestran una cantidad significativa de restos como barriles de metal y plástico y otros residuos, algunos aún conteniendo petróleo. El monitor dice que las empresas han ocultado los derrames cubriendolos con tierra.</t>
  </si>
  <si>
    <t>Pozo no. 6, Andoas.</t>
  </si>
  <si>
    <t>PJP201001</t>
  </si>
  <si>
    <t xml:space="preserve">Tubo antiguo que aún contiene crudo. El suelo justamente debajo está impactado. </t>
  </si>
  <si>
    <t>PJP201002</t>
  </si>
  <si>
    <t xml:space="preserve">Los registros muestran instalaciones abandonadas (tubería) y residuos solidos botados ahí cerca.  </t>
  </si>
  <si>
    <t>Sede central de GM, Batería Capahuari sur.</t>
  </si>
  <si>
    <t>PJP201003</t>
  </si>
  <si>
    <t xml:space="preserve">Un pozo antiguo y unos materiales de producción petrolera abandonados en pleno bosque. </t>
  </si>
  <si>
    <t>PJP201004</t>
  </si>
  <si>
    <t>Hay pedazos de tubería antigua abandonados por ambos lados de la tubería recién instalada.</t>
  </si>
  <si>
    <t>oleoducto que conecta el pozo 26 al pozo 29.</t>
  </si>
  <si>
    <t>PJP201005</t>
  </si>
  <si>
    <t xml:space="preserve">Instalación externa para la electricidad adecuadamente asegurada. </t>
  </si>
  <si>
    <t>PJP201007</t>
  </si>
  <si>
    <t>barriles antiguos abandonados</t>
  </si>
  <si>
    <t>PJP201008</t>
  </si>
  <si>
    <t>barriles antiguos de metal y plástico aún con petróleo.</t>
  </si>
  <si>
    <t>PJP201009</t>
  </si>
  <si>
    <t>Pedazo de tubería abandonado con evidencia de petróleo adentro y un barril de metal.</t>
  </si>
  <si>
    <t>PJP201010</t>
  </si>
  <si>
    <t>Hay pozos antiguos y abandonados con evidencia de derrames antiguos.</t>
  </si>
  <si>
    <t>Pozo 31, 21 y 23, Capahuari Sur.</t>
  </si>
  <si>
    <t>PJP201011</t>
  </si>
  <si>
    <t>PJP201012</t>
  </si>
  <si>
    <t>Es el mismo derrame que el de código PJP2010_06 de fecha 12/12/2010. Hay evidencia de contaminación en el suelo y de petróleo contaminando a la quebrada Ushupayacu. Los registros muestran fosas profundas donde la empresa oculta el crudo.</t>
  </si>
  <si>
    <t>PAS201007</t>
  </si>
  <si>
    <t xml:space="preserve">Tubería antigua botada. </t>
  </si>
  <si>
    <t>PAS201011</t>
  </si>
  <si>
    <t>PAS201012</t>
  </si>
  <si>
    <t>PAS201013</t>
  </si>
  <si>
    <t>Alambre metálico abandonado.</t>
  </si>
  <si>
    <t>PAS201014</t>
  </si>
  <si>
    <t>Unos barriles parcialmente enterrados y completamente abandonados.</t>
  </si>
  <si>
    <t>PAS201015</t>
  </si>
  <si>
    <t>barriles y tubería antigua abandonados.</t>
  </si>
  <si>
    <t>PAS201016</t>
  </si>
  <si>
    <t>PAS201019</t>
  </si>
  <si>
    <t>barriles abandonados.</t>
  </si>
  <si>
    <t>PAS201020</t>
  </si>
  <si>
    <t>PAS201021</t>
  </si>
  <si>
    <t>PAS201024</t>
  </si>
  <si>
    <t>PAS201025</t>
  </si>
  <si>
    <t>PAS201026</t>
  </si>
  <si>
    <t>PAS201027</t>
  </si>
  <si>
    <t>PAS201030</t>
  </si>
  <si>
    <t xml:space="preserve">Tubería e instalaciones antiguas abandonadas. </t>
  </si>
  <si>
    <t>PAS201031</t>
  </si>
  <si>
    <t xml:space="preserve">Tubería, barriles e instalaciones antiguas abandonadas. </t>
  </si>
  <si>
    <t>PAS201032</t>
  </si>
  <si>
    <t>Hay evidencia de crudo en el suelo.</t>
  </si>
  <si>
    <t>PAS201033</t>
  </si>
  <si>
    <t>PAS201034</t>
  </si>
  <si>
    <t>Hay evidencia de hidrocarburos en una laguna y los registros muestran un pez muerto.</t>
  </si>
  <si>
    <t>PAS201035</t>
  </si>
  <si>
    <t>PAS201036</t>
  </si>
  <si>
    <t>PAS201037</t>
  </si>
  <si>
    <t>PAS201038</t>
  </si>
  <si>
    <t>barriles y tubería abandonados.</t>
  </si>
  <si>
    <t>PAS201039</t>
  </si>
  <si>
    <t>PAS201040</t>
  </si>
  <si>
    <t>Pedazos de tubería abandonados.</t>
  </si>
  <si>
    <t>PAS201001</t>
  </si>
  <si>
    <t>Hay barriles de metal y plástico botados en el medioambiente de la industria petrolera.</t>
  </si>
  <si>
    <t>Km 28, cerca de la carretera, Batería Forestal.</t>
  </si>
  <si>
    <t>PAS201002</t>
  </si>
  <si>
    <t>El video muestra una gran cantidad de barriles antiguos botados en el bosque.</t>
  </si>
  <si>
    <t>Km 27, a 30 m de la carretera, Batería Forestal.</t>
  </si>
  <si>
    <t>PAS201003</t>
  </si>
  <si>
    <t>Los registros muestran una gran cantidad de tubos antiguos, barriles y otras instalaciones abandonados en el bosque.</t>
  </si>
  <si>
    <t>Frente a la Batería Forestal, a 20 m de la carretera.</t>
  </si>
  <si>
    <t>PAS201004</t>
  </si>
  <si>
    <t>Hay barriles antiguos llenos de cemento que han sido abandonados en el bosque.</t>
  </si>
  <si>
    <t>Cerca de la Batería Forestal, cerca de la carretera.</t>
  </si>
  <si>
    <t>PAS201041</t>
  </si>
  <si>
    <t>PAS201042</t>
  </si>
  <si>
    <t>Batería Forestal, cerca de la carretera.</t>
  </si>
  <si>
    <t>PAS201043</t>
  </si>
  <si>
    <t>El sitio tiene hartos residuos de metal y plástico.</t>
  </si>
  <si>
    <t>PAS201044</t>
  </si>
  <si>
    <t>PAS201005</t>
  </si>
  <si>
    <t>Hay barriles, tubería, etc. botados en el bosque. La empresa no ha limpiado la zona y ya está creciendo flora por encima.</t>
  </si>
  <si>
    <t>0F204, a 50 metros de la Batería Forestal.</t>
  </si>
  <si>
    <t>CNA201001</t>
  </si>
  <si>
    <t>CIC201001</t>
  </si>
  <si>
    <t>Crudo antiguo enterrado.</t>
  </si>
  <si>
    <t>Israel Chuje Garcia</t>
  </si>
  <si>
    <t>CJV201002</t>
  </si>
  <si>
    <t xml:space="preserve">El derrame afecta a un río. </t>
  </si>
  <si>
    <t>CWS201004</t>
  </si>
  <si>
    <t>CNA201004</t>
  </si>
  <si>
    <t>Batería Dorissa, tanque 10.</t>
  </si>
  <si>
    <t>PNA201003</t>
  </si>
  <si>
    <t>Por el lado izquiero hay una válvula botando aguas de producción. Este agua contaminada fluye hacia el río Capahuari.</t>
  </si>
  <si>
    <t>Pozos 10 y 12, en Batería Capahuari norte.</t>
  </si>
  <si>
    <t>PNA201002</t>
  </si>
  <si>
    <t>PNA201101</t>
  </si>
  <si>
    <t xml:space="preserve">barriles que aún contienen crudo. </t>
  </si>
  <si>
    <t>CJV201101</t>
  </si>
  <si>
    <t>PAS201101</t>
  </si>
  <si>
    <t>Un poblador contó que hubo un derrame significativo en los tiempos de Oxy, afectando a la zona, particularmente a la quebrada Chinguito.</t>
  </si>
  <si>
    <t>A 100 metros del pozo 6.</t>
  </si>
  <si>
    <t>CAS200901</t>
  </si>
  <si>
    <t>5/12/2009, 21/06/2017</t>
  </si>
  <si>
    <t>Se dio en la comunidad José Olaya, afectando a la quebrada Machu Pichu.</t>
  </si>
  <si>
    <t>Batería Huayurí, km 3, pozo Machu Pichu.</t>
  </si>
  <si>
    <t>TRC200201</t>
  </si>
  <si>
    <t>Un tubo antiguo se ha roto en plena aguajal y de ahí el crudo se ha expandido por una pequeña quebrada. De ahí ha llegado a la quebrada Lupuniya. Hoy el crudo forma una capa densa que cubre la superficie y afecta a la flora y fauna. El OEFA visitó al sitio pero negaron a colaborar con los monitores ambientales durante la expedición de supervisión.</t>
  </si>
  <si>
    <t>Carretera a San Jacinto, km 51, pozo 525, aguajal cerca a la quebrada afluente Lupuniya.</t>
  </si>
  <si>
    <t>TJC200701</t>
  </si>
  <si>
    <t>El derrame probablemente haya sido prooleoducto de una rotura de soldadura. Afectó al territorio de la comunidad Bretaña, la quebrada Aguablanca aguas abajas de Machari y el río Tigre y un aguajal. La zona de impacto constituye unos 300 m2. Se informó que OEFA nunca visitó el sitio.</t>
  </si>
  <si>
    <t>Cerca del pozo 1 de Batería Forestal, por el km 27 de la carretera principal.</t>
  </si>
  <si>
    <t>CAS201702</t>
  </si>
  <si>
    <t>El mismo evento se dio en 19/02/1999 y afectó a la comunidad José Olaya.</t>
  </si>
  <si>
    <r>
      <rPr>
        <rFont val="Calibri"/>
        <color theme="1"/>
        <sz val="10.0"/>
      </rPr>
      <t xml:space="preserve">Batería Forestal, km 21 pozo 5-6. </t>
    </r>
    <r>
      <rPr>
        <rFont val="Calibri"/>
        <color rgb="FFFF0000"/>
        <sz val="10.0"/>
      </rPr>
      <t>En la comunidad José Olaya</t>
    </r>
  </si>
  <si>
    <t>CWH20195</t>
  </si>
  <si>
    <t>Derrame de agua de formación, al parecer, posiblemente mezclado con crudo. Sale de un punto en la tubería que ya tiene grapa, con fecha de soldeo 23-09-2019.</t>
  </si>
  <si>
    <t>Antioquia, Isla Jíbaro</t>
  </si>
  <si>
    <t>TGS201605</t>
  </si>
  <si>
    <t>19/11/2016</t>
  </si>
  <si>
    <t xml:space="preserve">Sucedió debido a una rotura en una o dos tuberías. El derrame afectó de manera significativa a la zona aledaña. </t>
  </si>
  <si>
    <t xml:space="preserve">No hay detalles sobre la ubicación exacta. </t>
  </si>
  <si>
    <t>PJV201605</t>
  </si>
  <si>
    <t>28/03/2016</t>
  </si>
  <si>
    <t xml:space="preserve"> Área deforestada con bastante residuos botados o enterrados. Este botadero afecta a la quebrada Cetico, en Batería Shiviyacu.</t>
  </si>
  <si>
    <t>Quebrada Cetico, en Batería Shiviyacu.</t>
  </si>
  <si>
    <t>PAS201620</t>
  </si>
  <si>
    <t xml:space="preserve">El monitor dijo que este lugar era un botadero donde la empresa enterraba materiales provenientes de sus actividades, enterrado 5 metros bajo la superficie del suelo. Se detecta presencia de algunas sustancias químicas peligrosas, siendo afectada la quebrada de Anapada. Esta información también se encuentra en el Informe adjunto, en las páginas 9, 10 y 11. </t>
  </si>
  <si>
    <t>Carretera norte capahuari, km o. 02. En territorio de las comunidades Los Jardines y Porvenir, en Batería Capahuari Sur.</t>
  </si>
  <si>
    <t>PAS201604</t>
  </si>
  <si>
    <t>19/04/2016</t>
  </si>
  <si>
    <t xml:space="preserve">Bolsas llenas de crudo recogidas por trabajadores de la empresa. </t>
  </si>
  <si>
    <t>Descarga No. 10, aguas de área estanca, TK-TV 11 y 12.</t>
  </si>
  <si>
    <t>CAS201601</t>
  </si>
  <si>
    <t>PAS201601</t>
  </si>
  <si>
    <t xml:space="preserve"> Adan Sanchez</t>
  </si>
  <si>
    <t>CAS201602</t>
  </si>
  <si>
    <t>PEH201601</t>
  </si>
  <si>
    <t>Varios barriles abandonados.</t>
  </si>
  <si>
    <t>PEH201602</t>
  </si>
  <si>
    <t xml:space="preserve">Instalaciones antiguas abandonadas (tubería, cables, etc). Hay evidencia de contaminación química. </t>
  </si>
  <si>
    <t>PAS201602</t>
  </si>
  <si>
    <t>29/03/2016</t>
  </si>
  <si>
    <t>CAS201603</t>
  </si>
  <si>
    <t>PAS201605</t>
  </si>
  <si>
    <t>Suelo y agua contaminados.</t>
  </si>
  <si>
    <t>PAS201606</t>
  </si>
  <si>
    <t>PAS201607</t>
  </si>
  <si>
    <t>PAS201608</t>
  </si>
  <si>
    <t>barril antiguo abandonado.</t>
  </si>
  <si>
    <t>PAS201622</t>
  </si>
  <si>
    <t xml:space="preserve">El video muestra el esqueleto de una sachavaca que murió debido a la contaminación, según el monitor. </t>
  </si>
  <si>
    <t>PAS201624</t>
  </si>
  <si>
    <t xml:space="preserve">Sitio con agua contaminada y se ve crudo en la superficie del agua. Cuando se sacude en el fondo del cuerpo de agua, el crudo sale. </t>
  </si>
  <si>
    <t>PAS201625</t>
  </si>
  <si>
    <t xml:space="preserve">El video muestra un campamento temporal de personas de Andoas que han migrado por la contaminación de las empresas petroleras a sus territorios y zonas de caza y pesca. Toman directamente del agua contaminada de la cocha. </t>
  </si>
  <si>
    <t>PAS201621</t>
  </si>
  <si>
    <t xml:space="preserve">Los comuneros indican que hay instalaciones (pozos, tubos, etc) abandonadas en el bosque. Las empresas han estado botando residuos tóxicos directamente a los aguajales durante años, hasta 2009. La comunidad está reclamando la limpieza de la zona. Se evidencia que los árboles están creciendo y cubriendo el sitio contaminado. </t>
  </si>
  <si>
    <t>PAS201610</t>
  </si>
  <si>
    <t>10/06/2016</t>
  </si>
  <si>
    <t xml:space="preserve">Varios comuneros han recoletado agua y peces muertos de una colcha contaminada. </t>
  </si>
  <si>
    <t>PEH201604</t>
  </si>
  <si>
    <t xml:space="preserve">Una colcha afectada por crudo antiguo. </t>
  </si>
  <si>
    <t>PEH201605</t>
  </si>
  <si>
    <t xml:space="preserve">Crudo antiguo saliendo después de ser sacudido con un palo. </t>
  </si>
  <si>
    <t>PAS201611</t>
  </si>
  <si>
    <t xml:space="preserve">Un vehículo botado. </t>
  </si>
  <si>
    <t>PAS201626</t>
  </si>
  <si>
    <t>17/07/2016</t>
  </si>
  <si>
    <t>TGS201606</t>
  </si>
  <si>
    <t>29/12/2016</t>
  </si>
  <si>
    <t>Cerca a la quebrada que fluye a la quebrada Piedra negra. Esta información proviene de un análisis de campo de OEFA hecho después del derrame. Afecta a una fuente de agua. Hay una gran cantidad de bolsas plásticas llenas de crudo acumulándose. Hay mucha evidencia visible de crudo. Además, las coordenadas proporcionadas se tomaron 50 m río abajo desde la ubicación exacta del derrame de petróleo.</t>
  </si>
  <si>
    <t>PAS201623</t>
  </si>
  <si>
    <t xml:space="preserve">Afectó a un aguajal, a la Quebrada capahuari y la Quebrada shippilay que fluye hacia el río Pastaza. Afecta a las zonas de caza y pesca de la Quebrada capahuari y Quebrada shippilay. Fue contaminada por Pluspetrol. La empresa sostiene que el sitio fue remediado a pesar de que cuando un pescador agita en el fondo de la cocha con un palo, sale el crudo. </t>
  </si>
  <si>
    <t>En el territorio de Los Jardines (Batería Capahuari Sur)</t>
  </si>
  <si>
    <t>PMD201604</t>
  </si>
  <si>
    <t>12/09/2016</t>
  </si>
  <si>
    <t>El monitor cuenta que sus territorios de caza y pesca han sido contaminados por la extracción de petróleo, lo cual les obliga a mudarse para poder conseguir insumos y comida.</t>
  </si>
  <si>
    <t>dentro del Ecuador (al otro lado de la frontera).</t>
  </si>
  <si>
    <t>CRS201602</t>
  </si>
  <si>
    <t>Afectó a la comunidad de Jerusalén.</t>
  </si>
  <si>
    <t>carretera de Dorissa a Huayuri, km 7.</t>
  </si>
  <si>
    <t>PAA201601</t>
  </si>
  <si>
    <t>10/11/2016</t>
  </si>
  <si>
    <t>km 206, río Morona (No hay más información disponible)</t>
  </si>
  <si>
    <t>TJO201702</t>
  </si>
  <si>
    <t>Hay barriles y pedazos de tubería entre otros residuos enterrados de los tiempos de Oxy. El sitio actualmente es una colpa.</t>
  </si>
  <si>
    <t>La ubicación exacta se encuentra 1 km después de las instalaciones de Batería San Jacinto.</t>
  </si>
  <si>
    <t>TGS201704</t>
  </si>
  <si>
    <t>16/01/2017</t>
  </si>
  <si>
    <t xml:space="preserve">Los registros muestran unas instalaciones abandonadas y una falta de implementación de medidas preventivas básicas. </t>
  </si>
  <si>
    <t>No hay información disponible sobre la ubicación exacta.</t>
  </si>
  <si>
    <t>TGS201702</t>
  </si>
  <si>
    <t>18/01/2017</t>
  </si>
  <si>
    <t>Se dio por una rotura en la tubería. Este evento afectó a una zona amplia y el petróleo llegó al río. La empresa puso un abrazadera (un perno) en la fisura.</t>
  </si>
  <si>
    <t>Al parecer, el punto se encuentra cerca de la carretera 1A- San Jacinto. No hay más información sobre la ubicación exacta.</t>
  </si>
  <si>
    <t>TJO201703</t>
  </si>
  <si>
    <t xml:space="preserve">Los registros muestra una gran cantidad de bolsas plásticas llenas de crudo acumuladas. Cuando se tomaron las fotos, aún había petróleo en el suelo. Hay evidencia de un impacto directo en la fauna. </t>
  </si>
  <si>
    <t>No hay información sobre la ubicación exacta. Ocurrió dentro de las instalaciones de extracción de petróleo.</t>
  </si>
  <si>
    <t>TDC198501</t>
  </si>
  <si>
    <t>La quebrada Yanayacu fue afectada por un derrame hace 30 años. La empresa excavó un tajo y lo llenó con el crudo. Este tajo aún existe pero está cubierto por plantas. La empresa nunca lo remedió y se ha convertido en una fuente de contaminación que está afectando a la quebrada y el río.</t>
  </si>
  <si>
    <t>La quebrada Yanayacu</t>
  </si>
  <si>
    <t>Daniel Cuje</t>
  </si>
  <si>
    <t>TAS199501</t>
  </si>
  <si>
    <t>Los pozos 12 y 14 no están adecuadamente tapados y hay fugas de gas. Está en riesgo de colapsar. El monitor les informó a los apus y el OEFA fue informado. Un equipo visitó a Bartra el 7 de junio 2016 pero no hay más información sobre la visita.</t>
  </si>
  <si>
    <t>En la Instalación Central de Producción Bartra, en territorio de San Juan de Bartra.</t>
  </si>
  <si>
    <t>TAS199502</t>
  </si>
  <si>
    <t>El crudo se ha acumulado debajo del suelo y contamina a los riachuelos.</t>
  </si>
  <si>
    <t>Instalación Central de Producción Bartra, Plátaformas 12-13, en territorio de San Juan Bartra.</t>
  </si>
  <si>
    <t>TAS199503</t>
  </si>
  <si>
    <t>Hay un botadero que contiene barriles antiguos y otros restos de las actividades de extracción de Oxy (Occidental Petroleum). Afecta a la quebrada Montano.</t>
  </si>
  <si>
    <t>Cerca al km 22 en camino a la Instalación Central de Producción Bartra en la comunidad San Juan.</t>
  </si>
  <si>
    <t>TDC199501</t>
  </si>
  <si>
    <t>En un área privada los residentes dicen que existe un depósito con chatarra, fierros y plásticos y barriles con químicos. Esta información proviene de ex-trabajadores de Oxy.</t>
  </si>
  <si>
    <t>Carretera San Jacinto, km 152.</t>
  </si>
  <si>
    <t>CEH199501</t>
  </si>
  <si>
    <t>Con los años, hay otros derrames que ya han impactado a la zona. Sin embargo, nunca ha sido remediado. Hay un ducto abandonado por el otro lado del pueblo. Hubo un gran derrame y el crudo afectó a las quebradas y cuerpos de agua aledaños. OEFA todavía no ha visitado el sitio.</t>
  </si>
  <si>
    <t>De la Instalación Central de Producción 5 a San José de Nueva Esperanza.</t>
  </si>
  <si>
    <t>Elias Huaman Maynas</t>
  </si>
  <si>
    <t>TJX201701</t>
  </si>
  <si>
    <t>Lodos de perforación</t>
  </si>
  <si>
    <t>En los tiempos de Oxy, lodos de perforación de los pozos 22 y 27 fueron vertidos en la quebrada Cucuyacu que fluye hacia la quebrada de Piedra Negra. Estos charcos aún existen y los animales los usan como una fuente de sal. Esta información proviene de Jhon.</t>
  </si>
  <si>
    <t>Lodos de perforación 22 y 27</t>
  </si>
  <si>
    <t>Jhon (no surname known)</t>
  </si>
  <si>
    <t>TJX201702</t>
  </si>
  <si>
    <t>La empresa responsible es Oxy y en los tiempos de Oxy, la empresa solía botar crudo directamente al medioambiente. Los restos del crudo llegan hasta 1.2 metros de profundidad, 40 metros de ancho y 1 km de distancia. Fue visitado por Sr. Baskut de las Naciones Unidas.</t>
  </si>
  <si>
    <t>En la carretera que va a los pozos 2-4 después de cruzar San Jacinto. A los 30 metros del pozo hay un sitio contaminado.</t>
  </si>
  <si>
    <t>CFS199601</t>
  </si>
  <si>
    <t>Rotura de tubería como consecuencia de corrosión interna y falta de mantenimiento.</t>
  </si>
  <si>
    <t>Pozo 5, Batería 1</t>
  </si>
  <si>
    <t>CAS199901</t>
  </si>
  <si>
    <t>aguas de producción</t>
  </si>
  <si>
    <t>Afectó a la quebrada Ogo.</t>
  </si>
  <si>
    <t>Km 21 de pozo 5 a 6 en el territorio de la comunidad José Olaya, Batería Forestal</t>
  </si>
  <si>
    <t>TEP200001</t>
  </si>
  <si>
    <t>El derrame afectó a la Quebrada de Piedra Negra y el río Tigre.</t>
  </si>
  <si>
    <t>En territorio de la comunidad Arenal. Cerca al pozo 1, unos 100 metros de la Base Militar Cahuide.</t>
  </si>
  <si>
    <t>TEP200002</t>
  </si>
  <si>
    <t xml:space="preserve"> Se ha impactado a la quebrada Poroto desde hace muchos años. Este derrame antiguo se dio en 2000 y no se remedió. OEFA nunca visitó el sitio. Tiene un impacto directo en la comunidad Arenales porque el crudo está contaminando fuentes de agua dulce, el suelo y el ecosistema en su totalidad. Hay también residuos vertidos de actividades de extracción de petróleo, como barriles y chatarra.</t>
  </si>
  <si>
    <t>El sitio se ubica a 100 metros arriba por el río desde Arenal.</t>
  </si>
  <si>
    <t>TJX201703</t>
  </si>
  <si>
    <t xml:space="preserve">Un rango de residuos han sido enterrados, incluidos vehículos y residuos hospitalarios. Incluye un área de 200m por 500m. En 2015, el sitio fue remediado de manera superficial por Pluspetrol pero aún alberga cantidades de materiales dañinos. </t>
  </si>
  <si>
    <t>Cerca de los pozos 2-4.</t>
  </si>
  <si>
    <t>PAS201702</t>
  </si>
  <si>
    <t>No hay información.</t>
  </si>
  <si>
    <t>CJG200601</t>
  </si>
  <si>
    <t>Batería 5, Instalación Central de Producción 5, cerca al pozo 25.</t>
  </si>
  <si>
    <t>CJG200602</t>
  </si>
  <si>
    <t>Pozo 92D</t>
  </si>
  <si>
    <t>PAS201102</t>
  </si>
  <si>
    <t>Una "colpa" contaminada prooleoducto de derrames de los tiempos de Oxy y Pluspetrol.</t>
  </si>
  <si>
    <t>PAS201103</t>
  </si>
  <si>
    <t>Un botadero antiguo en una "colpa." El área total incluye más de 800 x 800m de superficie.</t>
  </si>
  <si>
    <t>CNA201202</t>
  </si>
  <si>
    <t>PNA201201</t>
  </si>
  <si>
    <t>La colcha ha sido contaminada.</t>
  </si>
  <si>
    <t>PNA201202</t>
  </si>
  <si>
    <t>PRD201202</t>
  </si>
  <si>
    <t>CNA201201</t>
  </si>
  <si>
    <t>PRD201201</t>
  </si>
  <si>
    <t xml:space="preserve">Tubería antigua enterrada. </t>
  </si>
  <si>
    <t>CJV201301</t>
  </si>
  <si>
    <t>CJV201302</t>
  </si>
  <si>
    <t>CJV201303</t>
  </si>
  <si>
    <t>CJV201304</t>
  </si>
  <si>
    <t>CJV201305</t>
  </si>
  <si>
    <t>CJV201306</t>
  </si>
  <si>
    <t>CJV201307</t>
  </si>
  <si>
    <t xml:space="preserve">Vehículos antiguos abandonados en el bosque. </t>
  </si>
  <si>
    <t>CNA201306</t>
  </si>
  <si>
    <t>CNA201303</t>
  </si>
  <si>
    <t>CNA201304</t>
  </si>
  <si>
    <t>CNA201305</t>
  </si>
  <si>
    <t>Varios barriles botados.</t>
  </si>
  <si>
    <t>CNA201307</t>
  </si>
  <si>
    <t xml:space="preserve"> El derrame antiguo afecta a una colca (salegar) utilizado por animales.</t>
  </si>
  <si>
    <t>CNA201308</t>
  </si>
  <si>
    <t>Superficie de agua con crudo.</t>
  </si>
  <si>
    <t>CNA201309</t>
  </si>
  <si>
    <t>Orilla contaminada.</t>
  </si>
  <si>
    <t>CNA201310</t>
  </si>
  <si>
    <t>Derrame de un tanque de almacenamiento antiguo.</t>
  </si>
  <si>
    <t>CNA201302</t>
  </si>
  <si>
    <t>CNA201301</t>
  </si>
  <si>
    <t>COE201336</t>
  </si>
  <si>
    <t>Este procedimiento administrativo es prooleoducto de una reunión entre el OEFA y miembros de FECONACO para identificar posibles sitios contaminados dentro de la cuenca del río Corrientes, particularmente los que se encuentran cerca al 'Derecho de Vía del oleoducto Pavayacu - Trompeteros y Cocha Negra. Se encontraron 3422m2 de sitios contaminados.</t>
  </si>
  <si>
    <t>'Derecho de Vía del oleoducto Pavayacu - Trompeteros'' y Cocha Negra.</t>
  </si>
  <si>
    <t>POE201402.1</t>
  </si>
  <si>
    <t>Lista de denuncias ambientales</t>
  </si>
  <si>
    <t>La FEDIQUEP hizo una denuncia formal advirtiendo al OEFA sobre el derrame de crudo.</t>
  </si>
  <si>
    <t>En la carretera principal hacia Tambo, cerca de Comunidad Nativa Alianza Capahuari en Batería Tambo.</t>
  </si>
  <si>
    <t>POE201402.2</t>
  </si>
  <si>
    <t>En la carretera principal hacia Tambo km 7, cerca de la laguna de Sanshococha. En Batería Tambo.</t>
  </si>
  <si>
    <t>PRD201417</t>
  </si>
  <si>
    <t>PRD201420</t>
  </si>
  <si>
    <t xml:space="preserve">Un tanque de Pluspetrol se ha llenado con crudo. </t>
  </si>
  <si>
    <t>CIS201401</t>
  </si>
  <si>
    <t>Lote 143</t>
  </si>
  <si>
    <t>cuadra 43, a media hora aguas arriba desde San José de Porvenir. Luego caminando 40 minutos.</t>
  </si>
  <si>
    <t>Iván Victoriano Sujeta</t>
  </si>
  <si>
    <t>PRD201402</t>
  </si>
  <si>
    <t xml:space="preserve">Hay evidencia de una zona contaminada por un derrame antiguo. El crudo permanece en el fondo del cuerpo de agua, lo cual sale cuando se sacude el lodo. </t>
  </si>
  <si>
    <t>PRD201403</t>
  </si>
  <si>
    <t>Instalaciones abandonadas.</t>
  </si>
  <si>
    <t>PRD201405</t>
  </si>
  <si>
    <t xml:space="preserve">Los registros muestran unos trabajadores remediando un sitio impactado y también una cantidad de bolsas plásticas llenas de crudo. </t>
  </si>
  <si>
    <t>TJC201501</t>
  </si>
  <si>
    <t>Se sabe que Pluspetrol contrató a una empresa comunal para remediar al derrame. Sin embargo, no queda claro si el OEFA haya visitado o haya tomado muestras en el sitio impactado.</t>
  </si>
  <si>
    <t>Río Tigre, comunidad 12 de Octubre, camino a San Jacinto, Pozo 4, cerca de Quebrada Limón.</t>
  </si>
  <si>
    <t>TEP201501</t>
  </si>
  <si>
    <t>Quebrada Yanchama, cercana al lote 1A. Desde la comunidad 12 de Octubre, en lancha hay que dirigirse hasta Arenales, y luego hasta Quebrada Yanchana (300 metros más Alente). Hay dos quebradas, Yanchama y Yanayacu.</t>
  </si>
  <si>
    <t>POE201503/PRD201501</t>
  </si>
  <si>
    <t>Lista de incidentes ambientales</t>
  </si>
  <si>
    <t xml:space="preserve">Se mezcló accidentalmente crudo con agua durante un trabajo de limpieza del sump tank y bulk drums. </t>
  </si>
  <si>
    <t>Derrame del camión aspirador 11-47.</t>
  </si>
  <si>
    <t>PRD201502</t>
  </si>
  <si>
    <t>PRD201503</t>
  </si>
  <si>
    <t>Remediando el sitio.</t>
  </si>
  <si>
    <t>CST201501</t>
  </si>
  <si>
    <t>Km 48 del camino. 1474 m2 de extensión.</t>
  </si>
  <si>
    <t xml:space="preserve"> Segundo Manuel Torres Vilchez</t>
  </si>
  <si>
    <t>CGS201501</t>
  </si>
  <si>
    <t>PRD201505</t>
  </si>
  <si>
    <t xml:space="preserve">Un sitio muy impactado. Hay un depósito grande cerca a las instalaciones que permiten ver los efectos de la contaminación del suelo. </t>
  </si>
  <si>
    <t>CES201501</t>
  </si>
  <si>
    <t>Afectó a una cocha y las áreas de caza y pesca de la comunidad José Olaya.</t>
  </si>
  <si>
    <t>comunidad José Olaya, Km 5.</t>
  </si>
  <si>
    <t xml:space="preserve"> Adán Dando Carijana y Eval Salas</t>
  </si>
  <si>
    <t>PRD201506</t>
  </si>
  <si>
    <t xml:space="preserve">El crudo permanece en la cocha. Cuando el monitor sacude el fondo de la cocha, sale crudo. </t>
  </si>
  <si>
    <t>PRD201509</t>
  </si>
  <si>
    <t xml:space="preserve">Un depósito mostrando crudo antiguo almacenado en el suelo. </t>
  </si>
  <si>
    <t>PRD201507</t>
  </si>
  <si>
    <t>PRD201508</t>
  </si>
  <si>
    <t>PAS201503</t>
  </si>
  <si>
    <t>22/10/2015</t>
  </si>
  <si>
    <t xml:space="preserve">Una gran cantidad de plástico y otros materiales visibles en la zona. Un botadero activo. </t>
  </si>
  <si>
    <t>PAS201501</t>
  </si>
  <si>
    <t>"Botadero nuevo titiyacu''.</t>
  </si>
  <si>
    <t>PAS201504</t>
  </si>
  <si>
    <t>CFS201502</t>
  </si>
  <si>
    <t>Plátaforma 1019. Cerca de la comunidad de San Cristóbal.</t>
  </si>
  <si>
    <t>POE201508/PRD201504</t>
  </si>
  <si>
    <t>22/03/2015 30/03/2015</t>
  </si>
  <si>
    <t>Tubería enterrada se ha roto por accidente durante trabajos de maquinaria pesada. Suelos completamente contaminados. Hay bolsas plásticas con crudo.</t>
  </si>
  <si>
    <t>Carretera principal de Capahuari Sur, km 2+900.</t>
  </si>
  <si>
    <t>PAS201627</t>
  </si>
  <si>
    <t>03/01/2016</t>
  </si>
  <si>
    <t>Adam Sánchez</t>
  </si>
  <si>
    <t>CFS201601</t>
  </si>
  <si>
    <t>Los registros indican un derrame de agua que afectó a la flora aledaña.</t>
  </si>
  <si>
    <t>En el oleoducto se puede leer: Corrientes-Saramuro km 3+776.</t>
  </si>
  <si>
    <t>PMD201601</t>
  </si>
  <si>
    <t>16-19/06/2016</t>
  </si>
  <si>
    <t>Este sitio fue remediado por Pluspetrol, lo ocultaba con tierras traidas de otros sitios. La contaminación está afectando a una zona de caza y pesca importante para la comunidad. El monitor indica que cuando se agite en el fondo de la laguna, sale crudo. Esta cocha desemboca a la quebrada Capahuari.</t>
  </si>
  <si>
    <t>quebrada Ushupayacu. Este lugar es un cruce de diferentes caños que provienen de Huayuri, Shiviyacu, Carmen, San Jacinto, Dorisa, Jibarito, etc.</t>
  </si>
  <si>
    <t>TJC201701</t>
  </si>
  <si>
    <t>Se dio debido a la oxidación interna de la tubería. Afectó a la quebrada Bancal y el territorio de caza y pesca de Marsella.</t>
  </si>
  <si>
    <t>De Shiviyacu a San Jacinto. Ocurrió en el tramo Marsella-A.A.A Cacers</t>
  </si>
  <si>
    <t>Javier Chavez, James Cisneros</t>
  </si>
  <si>
    <t>TDP201701</t>
  </si>
  <si>
    <t>El derrame se dio debido a oxidación. Afectó al aguajal 1A y el territorio de caza y pesca de la comunidad 12 de Octubre.</t>
  </si>
  <si>
    <t>Km 6, carretera 1A de Shiviyacu a San Jacinto en territorio de la comunidad 12 de Octubre. Para llegar al punto exacto: desde la estación de bombeo de agua en Quebrada Llanchama hay que caminar 300 m río arriba hasta encontrar la tubería. Luego, hay que caminar 1 km por el caño hacia San Jacinto. El número de tubería es JT-210.</t>
  </si>
  <si>
    <t>Ducner Papuy, Teddy Tello</t>
  </si>
  <si>
    <t>CES201706</t>
  </si>
  <si>
    <t>Afectó al río y las zonas de caza y pesca de José Olaya.</t>
  </si>
  <si>
    <t>Comunidad José Olaya, Pozo Huayurí.</t>
  </si>
  <si>
    <t>TEP201704</t>
  </si>
  <si>
    <t xml:space="preserve">Afectó a la quebrada Llanchama y un aguajal. Los monitores reportaron animales muertos. En el ODK dice Pozo A1 km 7, pero no hay ninguna referencia sobre la ubicación exacta. </t>
  </si>
  <si>
    <t>Pozos 10,11, 12, en el territorio de la comunidad Marsella.</t>
  </si>
  <si>
    <t>Eduar Prada, Dario Ushihua</t>
  </si>
  <si>
    <t>TEP201705</t>
  </si>
  <si>
    <t>Afectó a la quebrada Llanllama y la zona de caza y pesca de Marsella.</t>
  </si>
  <si>
    <t>Pozos 10, 11, 12, A1 km7, en territorio de comunidad Marsella.</t>
  </si>
  <si>
    <t>Eduar Prada, Ruben Sandi</t>
  </si>
  <si>
    <t>TEP201703</t>
  </si>
  <si>
    <t xml:space="preserve">Afectó a la quebrada Yanayacu. Los monitores reportaron peces muertos. </t>
  </si>
  <si>
    <t>Pozos 11, 12, 10, km 5. En el territorio de la comunidad Marsella.</t>
  </si>
  <si>
    <t>Eduard Prada</t>
  </si>
  <si>
    <t>TRD201702</t>
  </si>
  <si>
    <t>Se dio en el territorio de la comunidad Marsella y afectó a la quebrada Yanayacu.</t>
  </si>
  <si>
    <t>Pozo 10, km 7 1A.</t>
  </si>
  <si>
    <t>-75.85150511</t>
  </si>
  <si>
    <t>-2.36096734</t>
  </si>
  <si>
    <t>CFS201702</t>
  </si>
  <si>
    <t>El derrame afecta a un aguajal y un afluyente del río Tigre. El monitor detecta flora manchada con crudo y animales muertos (caimanes, añujes y fasacos).</t>
  </si>
  <si>
    <t>Desde el Pozo 11 hacia base Shiviyacu (en el km 7 del oleoducto) en territorio de la comunidad Nueva Jerusalén.</t>
  </si>
  <si>
    <t>TJC201702</t>
  </si>
  <si>
    <t>Javier Chavez, Wilson Sandi</t>
  </si>
  <si>
    <t>TJC201703</t>
  </si>
  <si>
    <t>En el territorio de la comunidad 12 de Octubre. Frente a una chacra.</t>
  </si>
  <si>
    <t>CFS201703</t>
  </si>
  <si>
    <t xml:space="preserve">Derrame antiguo enterrado hasta 1m de profundidad. Se encuentra a 97m de la plátaforma. Afectó a cuerpos de agua y suelos. </t>
  </si>
  <si>
    <t>Territorio de la comunidad 12 de Octubre.</t>
  </si>
  <si>
    <t>TAR201701</t>
  </si>
  <si>
    <t xml:space="preserve">La empresa encargada fue Pluspetrol y no se llevó a cabo la remediación. Este derrame antiguo aún afecta a la cocha Pashincosha y el entorno. Se dio en el territorio de caza y pesca de Mariscal Caceres. </t>
  </si>
  <si>
    <t>Pozos 10, 11, 12 en el territorio de la Comunidad 12 de Octubre. En Mariscal Cáceres</t>
  </si>
  <si>
    <t>Alberto Rodríguez</t>
  </si>
  <si>
    <t>TDC201702</t>
  </si>
  <si>
    <t>El evento afectó a Chancchama, en el territorio de caza y pesca de Marsella.</t>
  </si>
  <si>
    <t>Km 6 desde San Jacinto hasta Shiviyacu. Bomba de agua quebrada Chanchama más al fondo tubería a 500 m.</t>
  </si>
  <si>
    <t>Daniel Cuje and Jose Mayanchi Diaz</t>
  </si>
  <si>
    <t>TDP201702</t>
  </si>
  <si>
    <t xml:space="preserve">Los registros muestran una acumulación de bolsas plásticas llenas de crudo recuperado. Martí Orta sacó una muestra. Aquel día no se había hecho ninguna remediación aún. El derrame afectó el territorio de la comunidad 12 de Octubre. </t>
  </si>
  <si>
    <t>Carretera 1 km 6 alrededor del puente Chanchama, a 5 metros de la carretera que va de Batería Shiviyacu a Batería San Jacinto.</t>
  </si>
  <si>
    <t>Ducner Papuy, Guillermo Sandi, James Cisneros, Jhon García, Martí Orta, America</t>
  </si>
  <si>
    <t>TEUP201701</t>
  </si>
  <si>
    <t xml:space="preserve">Una gran cantidad de bolsas plásticas de crudo acumulándose dentro de las instalaciones de extracción petrolera. </t>
  </si>
  <si>
    <t>TAS201709</t>
  </si>
  <si>
    <t xml:space="preserve">El evento se dio durante la época de Pluspetrol debido a una rotura en la tubería. </t>
  </si>
  <si>
    <t>TDC201701</t>
  </si>
  <si>
    <t>La quebrada de Agua blanca fue afectada. Los registros muestran crudo y residuos enterrados en el jardin de una casa en la comunidad 12 de Octubre de los tiempos de Oxy.</t>
  </si>
  <si>
    <t>Km 48, camino al pozo 10. Comunidad 12 de Octubre, Batería San Jacinto.</t>
  </si>
  <si>
    <t>TJC201704</t>
  </si>
  <si>
    <t>TJO201701</t>
  </si>
  <si>
    <t xml:space="preserve">Es una reinyección de aguas producidas. Afecta a riachuelos y la flora y fauna asociada. </t>
  </si>
  <si>
    <t>San Jacinto, km 148. En el territorio de la comunidad Marsella, Batería Bartra. Está en el brazo Piedra Negra- Quebrada Piedra Negra- río Tigre.</t>
  </si>
  <si>
    <t>TMO201702</t>
  </si>
  <si>
    <t>Los monitores ambientales señalaron la existencia de una fuente de aguas producidas. El investigador Martí Orta recolectó muestras.</t>
  </si>
  <si>
    <t>CFS201716</t>
  </si>
  <si>
    <t>El pueblo se contruyó por encima de un botadero. Una capa delgada de suelo (2cm) lo separa de residuos enterrados y otros impactos como derrames antiguos.</t>
  </si>
  <si>
    <t>Comunidad 12 de octubre.</t>
  </si>
  <si>
    <t>CFS201705</t>
  </si>
  <si>
    <t>CAS201701</t>
  </si>
  <si>
    <t>Quebrada Machu Pichju. A 3 kilómetros de Huayuri. En la comunidad José Olaya</t>
  </si>
  <si>
    <t>CWC201701</t>
  </si>
  <si>
    <t>Todavía no se ha hecho una limpieza</t>
  </si>
  <si>
    <t>En el territorio Pampa Hermosa</t>
  </si>
  <si>
    <t>CFS201714</t>
  </si>
  <si>
    <t>Agua producida</t>
  </si>
  <si>
    <t>TAS201716</t>
  </si>
  <si>
    <t xml:space="preserve"> En el sitio había una cocha que se llenó con crudo durante años y al final fue enterrado. Aún hay evidencia del crudo enterrado.</t>
  </si>
  <si>
    <t>Alrededores de las instalaciones de producción de San Jacinto.</t>
  </si>
  <si>
    <t>TAS201712</t>
  </si>
  <si>
    <t>TAS201717</t>
  </si>
  <si>
    <t xml:space="preserve">Afectó a las comunidades de Arenal, 12 de Octubre, Cáceres y San Juan Bartra. El evento impactó a la cocha Rosa, cocha Tipishca y cocha Auca y también a la quebrada Piedra Negra. La remediación fue deficiente y aún queda bastante crudo en el suelo. </t>
  </si>
  <si>
    <t>Batería San Jacinto, en el territorio de la comunidad Marsella. Proviene del tanque sumidero T-1419, cercano al pozo 27.</t>
  </si>
  <si>
    <t>-2.31559736</t>
  </si>
  <si>
    <t>CFD201805</t>
  </si>
  <si>
    <t>Derrame en ducto que conecta la Batería 7 con Batería 4 en Capirona, dentro de la comunidad San José de Nueva Esperanza. Afectó a la cocha Raúl. El sitio no ha sido remediado.</t>
  </si>
  <si>
    <r>
      <rPr>
        <rFont val="Calibri"/>
        <color rgb="FFFF0000"/>
        <sz val="10.0"/>
      </rPr>
      <t>Ducto</t>
    </r>
    <r>
      <rPr>
        <rFont val="Calibri"/>
        <color theme="1"/>
        <sz val="10.0"/>
      </rPr>
      <t xml:space="preserve"> que conecta Batería 7 a Batería 4 en Capirona, en la comunidad San José de Nueva Esperanza.</t>
    </r>
  </si>
  <si>
    <t>TJG20201</t>
  </si>
  <si>
    <t>Fuga de hidrocarburos en base abandonada San Jacinto</t>
  </si>
  <si>
    <t>COE20103.4/CRAS201001</t>
  </si>
  <si>
    <t>El evento se dio debido al drenaje del sump tank. No hay información acerca del impacto ambiental.</t>
  </si>
  <si>
    <t>Plátaforma del pozo Dorissa 5/Batería Dorissa.</t>
  </si>
  <si>
    <t>366542 366107</t>
  </si>
  <si>
    <t>9697271 9697336</t>
  </si>
  <si>
    <t xml:space="preserve">Solo el segundo UTM X y Y están en la BD original, y están OK. </t>
  </si>
  <si>
    <t>COE201003.7/CJT201001</t>
  </si>
  <si>
    <t>11/10/2010 12/10/2010</t>
  </si>
  <si>
    <t>El evento se dio porque el sump tank se rebalsó (fuga de tubería). El crudo salió por una zanja natural y afectó a la quebrada Najanamaca.</t>
  </si>
  <si>
    <t>Tanque colector pozo 9, Batería Forestal.</t>
  </si>
  <si>
    <t>370644 370965</t>
  </si>
  <si>
    <t>9741947 9742512</t>
  </si>
  <si>
    <t xml:space="preserve"> José Tamani</t>
  </si>
  <si>
    <t xml:space="preserve">Solo el primer UTM X y Y  están en la BD original, y está OK. </t>
  </si>
  <si>
    <t>CWH20226</t>
  </si>
  <si>
    <t>2017-2019</t>
  </si>
  <si>
    <t>#FronteraEnergy, ex operadora del #Lote192 continúa sin recoger decenas de bolsas con petróleo que datan de derrames del 2017 y 2019. Con el paso de los años y las condiciones del clima, el crudo se ha esparcido afectando su territorio y la cuenca del #Corrientes. La empresa se resiste a hacerse cargo a pesar de las exigencias del OEFA Perú</t>
  </si>
  <si>
    <t>TDO20201</t>
  </si>
  <si>
    <t>apu Rosa</t>
  </si>
  <si>
    <t>CNS20204</t>
  </si>
  <si>
    <t>13/12/2020</t>
  </si>
  <si>
    <t>Derrame de tanque de almacenamiento</t>
  </si>
  <si>
    <t>PMD20201</t>
  </si>
  <si>
    <t>14/12/2020</t>
  </si>
  <si>
    <t>Desconocido</t>
  </si>
  <si>
    <t>La empresa usa la bahía de porveniar para dejar chatarra y bolsas de crudo. No han compensado a la comunidad por uso de tierras. Area afectada: 400m2</t>
  </si>
  <si>
    <t>Porvenir</t>
  </si>
  <si>
    <t>Malquia Dahua</t>
  </si>
  <si>
    <t>CNS20211</t>
  </si>
  <si>
    <t>19/01/2020</t>
  </si>
  <si>
    <t>Derrame que sale de tubería cerca del Carmen</t>
  </si>
  <si>
    <t>Carmen, José Olaya</t>
  </si>
  <si>
    <t>CNS20203</t>
  </si>
  <si>
    <t>Derrame de crudo sale de tubería de Shiviyacu. áreas afectadas por derrame de hidrocarburos en una poza y raspatubos</t>
  </si>
  <si>
    <t>TAS20211</t>
  </si>
  <si>
    <t>Teléfono</t>
  </si>
  <si>
    <t>Fuga de petroleo en el pozo 13 de Bartra.</t>
  </si>
  <si>
    <t>Pozo 13 Bartra</t>
  </si>
  <si>
    <t>CWH20211</t>
  </si>
  <si>
    <t>Plataforma</t>
  </si>
  <si>
    <t>Antioquía/Jibarito</t>
  </si>
  <si>
    <t>CEM20211</t>
  </si>
  <si>
    <t>Baterías 4 y 5 y 9</t>
  </si>
  <si>
    <t>El derrame se produjo en la Batería 9 de Pavayacu alrededor del separador dentro del dominio de Pluspetrol. El origen del petróleo vendría a ser la tubería de la línea 3, que se encuentra a una profundidad de un metro de la tierra, por tanto, la causa de la fuga de petróleo sería la corrosió</t>
  </si>
  <si>
    <t>Linea 3, batería 9, Pavayacu, Pucacuro</t>
  </si>
  <si>
    <t>Emerson Mucushua</t>
  </si>
  <si>
    <t>CDJ20221</t>
  </si>
  <si>
    <t>Monitor ambiental envia fotos y viideos de derrame en tuberia de petróleo en el ducto corrientes-saramuro, a unos 100 metros de la quebrada Patuyacu. Calculan que el área afectada es de 300 metros de largo por 200 metros de ancho. La empresa comunal de Saramuro ha hecho un tapon con trapos, pero la tuberia sigue goteando.</t>
  </si>
  <si>
    <t>No hay coordenadas</t>
  </si>
  <si>
    <t>Darwin Jaba Torres</t>
  </si>
  <si>
    <t>CWH20225</t>
  </si>
  <si>
    <t>Moniotres ambientales envian video sobre nuevo derrame en Pozo 13, km 50, profundidad contamina es de aproximadamente 2 metros</t>
  </si>
  <si>
    <t>Km 50 Pozo 13</t>
  </si>
  <si>
    <t>18 MUB8734893383</t>
  </si>
  <si>
    <t>Watman Hualinga, Manuel Torres</t>
  </si>
  <si>
    <t>CRP20221</t>
  </si>
  <si>
    <t>Apu y comuneros reportan a la empresa del derrame en el oleoducto corrientes - Saramuro en el anexo Bella Vista perteneciente a la cc.nn. La Petrolera</t>
  </si>
  <si>
    <t>km 48+500 del oleoducto Corrientes - Saramuro</t>
  </si>
  <si>
    <t>Robles Pisco</t>
  </si>
  <si>
    <t>MEC2022</t>
  </si>
  <si>
    <t>17/09/2022</t>
  </si>
  <si>
    <t>Edilberto Chasnamonte</t>
  </si>
  <si>
    <t>MEP20221</t>
  </si>
  <si>
    <t>21/10/2022</t>
  </si>
  <si>
    <t>Derrame que brota del canal de flotación</t>
  </si>
  <si>
    <t>km 15 + 300, CC.NN. San Pedro de Urarinas, río Marañón</t>
  </si>
  <si>
    <t>MSV20221</t>
  </si>
  <si>
    <t>26/07/2022</t>
  </si>
  <si>
    <t>Hay una quebrada a 100 metros hacia el norte y hacia el Este a 40 metros el río chambira que esta siendo contaminada por el derrame de la tuberia</t>
  </si>
  <si>
    <t>Progresiva pk. 80+600</t>
  </si>
  <si>
    <t>MCM20221</t>
  </si>
  <si>
    <t>25/10/2022</t>
  </si>
  <si>
    <t>Derrame en la progresiva 61 + 700 Tramo Corrientes Saramuro T1 en territorio de la comunidad de Santa Teresa. Pobladores comunidad encontraron el derrame el cual estiman es de hace algunos días por el avanzado estado del derrame.</t>
  </si>
  <si>
    <t>SC-3263-2022</t>
  </si>
  <si>
    <t>CSS20223</t>
  </si>
  <si>
    <t>Contaminación de suelos y de cuerpos de agua por ruptura de tubería. El crudo no deja de salir y comienza a esparcirse por la carretrera llegando a cursos de agua.</t>
  </si>
  <si>
    <t>Pozo 13, Dorissa, km 20. El lugar queda a 13 o 14 km de la CC.NN. Nueva Jerusalen</t>
  </si>
  <si>
    <t>SC-2686-2022</t>
  </si>
  <si>
    <t>MSP20221</t>
  </si>
  <si>
    <t>31/03/2022</t>
  </si>
  <si>
    <t>Derrame en km 20+200 en comunidad de San Pedro (Urarinas), contamina a agua en canal de flotación y vegetación. Afectación de 19 x 700 metros. Petroperu entró por su cuenta, pusieron una barrera de contención y grapa. Evidencia de personas entrando al crudo hasta sus cuellos.</t>
  </si>
  <si>
    <t>Jiner Panduro</t>
  </si>
  <si>
    <t>CNC20231</t>
  </si>
  <si>
    <t>26/05/2023</t>
  </si>
  <si>
    <t>24/05/2023</t>
  </si>
  <si>
    <t>Derrame por hidrocarburos proveniente de una tubería de 16” contigua a la tubería de inscripción 126 A y al costado del stank dump con afectación a la vegetación y al componente suelo en un área de 40m2. Este derrame está ubicado en una zona de pendiente medianamente alta (loma), la misma que tiene a 150m a una cocha que desemboca en la quebrada Pucacuro.</t>
  </si>
  <si>
    <t>Ubicación: Km19 de la Carretera Dorissa, Km19 de la Carretera Dorissa (Territorio de la CCNN Nueva Jerusalén). Referencia: Pasando el puesto de guardianía. Altura de Pozo 15. A 150 m de cocha.</t>
  </si>
  <si>
    <t>Neder Canayo Payma</t>
  </si>
  <si>
    <t>SC-2073-2023</t>
  </si>
  <si>
    <t>CWH20231</t>
  </si>
  <si>
    <t>05/01/2023 o 10/01/2023</t>
  </si>
  <si>
    <t>SC-0796-2023</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</si>
</sst>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d/yyyy"/>
    <numFmt numFmtId="165" formatCode="mm/yyyy"/>
    <numFmt numFmtId="166" formatCode="mm/dd/yyyy"/>
    <numFmt numFmtId="167" formatCode="dd&quot;/&quot;mm&quot;/&quot;yyyy"/>
    <numFmt numFmtId="168" formatCode="dd/mm/yyyy"/>
    <numFmt numFmtId="169" formatCode="[$-809]dd/mm/yyyy"/>
    <numFmt numFmtId="170" formatCode="###0"/>
    <numFmt numFmtId="171" formatCode="0000000"/>
    <numFmt numFmtId="172" formatCode="d/m/yy"/>
    <numFmt numFmtId="173" formatCode="mm/dd/yy"/>
    <numFmt numFmtId="174" formatCode="#,##0.00000000"/>
    <numFmt numFmtId="175" formatCode="0.00000"/>
    <numFmt numFmtId="176" formatCode="m/d/yy"/>
  </numFmts>
  <fonts count="23">
    <font>
      <sz val="10.0"/>
      <color rgb="FF000000"/>
      <name val="Arial"/>
      <scheme val="minor"/>
    </font>
    <font>
      <b/>
      <sz val="10.0"/>
      <color theme="1"/>
      <name val="Calibri"/>
    </font>
    <font>
      <b/>
      <sz val="10.0"/>
      <color theme="1"/>
      <name val="Arial"/>
    </font>
    <font>
      <b/>
      <color theme="1"/>
      <name val="Arial"/>
    </font>
    <font>
      <sz val="10.0"/>
      <color theme="1"/>
      <name val="Calibri"/>
    </font>
    <font>
      <color theme="1"/>
      <name val="Arial"/>
    </font>
    <font>
      <color rgb="FFFF0000"/>
      <name val="Arial"/>
    </font>
    <font>
      <color theme="1"/>
      <name val="Arial"/>
      <scheme val="minor"/>
    </font>
    <font>
      <color rgb="FF000000"/>
      <name val="Arial"/>
    </font>
    <font>
      <sz val="10.0"/>
      <color rgb="FF000000"/>
      <name val="Calibri"/>
    </font>
    <font>
      <sz val="10.0"/>
      <color rgb="FFFF0000"/>
      <name val="Calibri"/>
    </font>
    <font>
      <sz val="10.0"/>
      <color rgb="FF000000"/>
      <name val="Arial"/>
    </font>
    <font>
      <sz val="10.0"/>
      <color rgb="FF1F1F1F"/>
      <name val="Calibri"/>
    </font>
    <font>
      <color rgb="FF000000"/>
      <name val="Calibri"/>
    </font>
    <font>
      <sz val="12.0"/>
      <color rgb="FF000000"/>
      <name val="Calibri"/>
    </font>
    <font>
      <sz val="10.0"/>
      <color theme="1"/>
      <name val="Arial"/>
    </font>
    <font>
      <sz val="10.0"/>
      <color theme="1"/>
      <name val="Roboto"/>
    </font>
    <font>
      <sz val="10.0"/>
      <color rgb="FF333333"/>
      <name val="Calibri"/>
    </font>
    <font>
      <color rgb="FFFF0000"/>
      <name val="Calibri"/>
    </font>
    <font>
      <sz val="10.0"/>
      <color rgb="FF1F1F1F"/>
      <name val="Google Sans"/>
    </font>
    <font>
      <sz val="12.0"/>
      <color rgb="FF222222"/>
      <name val="Calibri"/>
    </font>
    <font>
      <sz val="12.0"/>
      <color theme="1"/>
      <name val="Calibri"/>
    </font>
    <font>
      <b/>
      <sz val="10.0"/>
      <color rgb="FF000000"/>
      <name val="Calibri"/>
    </font>
  </fonts>
  <fills count="19">
    <fill>
      <patternFill patternType="none"/>
    </fill>
    <fill>
      <patternFill patternType="lightGray"/>
    </fill>
    <fill>
      <patternFill patternType="solid">
        <fgColor rgb="FFA2C4C9"/>
        <bgColor rgb="FFA2C4C9"/>
      </patternFill>
    </fill>
    <fill>
      <patternFill patternType="solid">
        <fgColor rgb="FFFFD966"/>
        <bgColor rgb="FFFFD966"/>
      </patternFill>
    </fill>
    <fill>
      <patternFill patternType="solid">
        <fgColor rgb="FFFF00FF"/>
        <bgColor rgb="FFFF00FF"/>
      </patternFill>
    </fill>
    <fill>
      <patternFill patternType="solid">
        <fgColor rgb="FFF6B26B"/>
        <bgColor rgb="FFF6B26B"/>
      </patternFill>
    </fill>
    <fill>
      <patternFill patternType="solid">
        <fgColor rgb="FF93C47D"/>
        <bgColor rgb="FF93C47D"/>
      </patternFill>
    </fill>
    <fill>
      <patternFill patternType="solid">
        <fgColor rgb="FFB6D7A8"/>
        <bgColor rgb="FFB6D7A8"/>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F5050"/>
        <bgColor rgb="FFFF5050"/>
      </patternFill>
    </fill>
    <fill>
      <patternFill patternType="solid">
        <fgColor rgb="FFFFE599"/>
        <bgColor rgb="FFFFE599"/>
      </patternFill>
    </fill>
    <fill>
      <patternFill patternType="solid">
        <fgColor rgb="FF00FFFF"/>
        <bgColor rgb="FF00FFFF"/>
      </patternFill>
    </fill>
    <fill>
      <patternFill patternType="solid">
        <fgColor rgb="FFB7E1CD"/>
        <bgColor rgb="FFB7E1CD"/>
      </patternFill>
    </fill>
    <fill>
      <patternFill patternType="solid">
        <fgColor rgb="FFFF0000"/>
        <bgColor rgb="FFFF0000"/>
      </patternFill>
    </fill>
    <fill>
      <patternFill patternType="solid">
        <fgColor rgb="FFFF9900"/>
        <bgColor rgb="FFFF9900"/>
      </patternFill>
    </fill>
    <fill>
      <patternFill patternType="solid">
        <fgColor rgb="FFD9EAD3"/>
        <bgColor rgb="FFD9EAD3"/>
      </patternFill>
    </fill>
    <fill>
      <patternFill patternType="solid">
        <fgColor rgb="FFFFF2CC"/>
        <bgColor rgb="FFFFF2CC"/>
      </patternFill>
    </fill>
  </fills>
  <borders count="11">
    <border/>
    <border>
      <left/>
      <right/>
      <top style="thin">
        <color rgb="FF000000"/>
      </top>
      <bottom style="thin">
        <color rgb="FF000000"/>
      </bottom>
    </border>
    <border>
      <left/>
      <right/>
      <top/>
      <bottom/>
    </border>
    <border>
      <top style="thin">
        <color rgb="FF000000"/>
      </top>
      <bottom style="thin">
        <color rgb="FF000000"/>
      </bottom>
    </border>
    <border>
      <bottom style="thin">
        <color rgb="FF000000"/>
      </bottom>
    </border>
    <border>
      <top style="thin">
        <color rgb="FF000000"/>
      </top>
    </border>
    <border>
      <lef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top/>
      <bottom/>
    </border>
  </borders>
  <cellStyleXfs count="1">
    <xf borderId="0" fillId="0" fontId="0" numFmtId="0" applyAlignment="1" applyFont="1"/>
  </cellStyleXfs>
  <cellXfs count="314">
    <xf borderId="0" fillId="0" fontId="0" numFmtId="0" xfId="0" applyAlignment="1" applyFont="1">
      <alignment readingOrder="0" shrinkToFit="0" vertical="bottom" wrapText="0"/>
    </xf>
    <xf borderId="0" fillId="2" fontId="1" numFmtId="0" xfId="0" applyAlignment="1" applyFill="1" applyFont="1">
      <alignment shrinkToFit="0" wrapText="1"/>
    </xf>
    <xf borderId="1" fillId="2" fontId="1" numFmtId="0" xfId="0" applyAlignment="1" applyBorder="1" applyFont="1">
      <alignment horizontal="center" shrinkToFit="0" wrapText="1"/>
    </xf>
    <xf borderId="1" fillId="2" fontId="1" numFmtId="0" xfId="0" applyAlignment="1" applyBorder="1" applyFont="1">
      <alignment shrinkToFit="0" wrapText="1"/>
    </xf>
    <xf borderId="2" fillId="2" fontId="1" numFmtId="0" xfId="0" applyAlignment="1" applyBorder="1" applyFont="1">
      <alignment shrinkToFit="0" wrapText="1"/>
    </xf>
    <xf borderId="2" fillId="2" fontId="1" numFmtId="0" xfId="0" applyAlignment="1" applyBorder="1" applyFont="1">
      <alignment horizontal="center" shrinkToFit="0" wrapText="1"/>
    </xf>
    <xf borderId="0" fillId="0" fontId="2" numFmtId="0" xfId="0" applyAlignment="1" applyFont="1">
      <alignment shrinkToFit="0" wrapText="1"/>
    </xf>
    <xf borderId="0" fillId="0" fontId="3" numFmtId="0" xfId="0" applyFont="1"/>
    <xf borderId="0" fillId="0" fontId="4" numFmtId="0" xfId="0" applyFont="1"/>
    <xf borderId="0" fillId="3" fontId="3" numFmtId="0" xfId="0" applyFill="1" applyFont="1"/>
    <xf borderId="0" fillId="4" fontId="3" numFmtId="0" xfId="0" applyFill="1" applyFont="1"/>
    <xf borderId="0" fillId="0" fontId="5" numFmtId="0" xfId="0" applyFont="1"/>
    <xf borderId="0" fillId="0" fontId="6" numFmtId="0" xfId="0" applyFont="1"/>
    <xf borderId="0" fillId="0" fontId="7" numFmtId="0" xfId="0" applyFont="1"/>
    <xf borderId="0" fillId="0" fontId="8" numFmtId="0" xfId="0" applyFont="1"/>
    <xf borderId="0" fillId="5" fontId="5" numFmtId="0" xfId="0" applyFill="1" applyFont="1"/>
    <xf borderId="0" fillId="6" fontId="5" numFmtId="0" xfId="0" applyFill="1" applyFont="1"/>
    <xf borderId="0" fillId="0" fontId="4" numFmtId="0" xfId="0" applyAlignment="1" applyFont="1">
      <alignment horizontal="center"/>
    </xf>
    <xf borderId="0" fillId="0" fontId="4" numFmtId="164" xfId="0" applyAlignment="1" applyFont="1" applyNumberFormat="1">
      <alignment horizontal="center"/>
    </xf>
    <xf borderId="0" fillId="0" fontId="4" numFmtId="165" xfId="0" applyAlignment="1" applyFont="1" applyNumberFormat="1">
      <alignment horizontal="center"/>
    </xf>
    <xf borderId="0" fillId="0" fontId="9" numFmtId="165" xfId="0" applyAlignment="1" applyFont="1" applyNumberFormat="1">
      <alignment horizontal="center" vertical="center"/>
    </xf>
    <xf borderId="0" fillId="0" fontId="4" numFmtId="0" xfId="0" applyAlignment="1" applyFont="1">
      <alignment horizontal="left"/>
    </xf>
    <xf borderId="0" fillId="0" fontId="10" numFmtId="0" xfId="0" applyAlignment="1" applyFont="1">
      <alignment horizontal="left"/>
    </xf>
    <xf borderId="0" fillId="0" fontId="9" numFmtId="0" xfId="0" applyFont="1"/>
    <xf borderId="0" fillId="0" fontId="11" numFmtId="0" xfId="0" applyFont="1"/>
    <xf borderId="0" fillId="7" fontId="5" numFmtId="0" xfId="0" applyFill="1" applyFont="1"/>
    <xf borderId="0" fillId="8" fontId="5" numFmtId="0" xfId="0" applyFill="1" applyFont="1"/>
    <xf borderId="0" fillId="0" fontId="4" numFmtId="166" xfId="0" applyAlignment="1" applyFont="1" applyNumberFormat="1">
      <alignment horizontal="center"/>
    </xf>
    <xf borderId="0" fillId="0" fontId="9" numFmtId="0" xfId="0" applyAlignment="1" applyFont="1">
      <alignment horizontal="center" vertical="center"/>
    </xf>
    <xf borderId="0" fillId="0" fontId="10" numFmtId="0" xfId="0" applyFont="1"/>
    <xf borderId="0" fillId="0" fontId="12" numFmtId="0" xfId="0" applyFont="1"/>
    <xf borderId="0" fillId="0" fontId="9" numFmtId="0" xfId="0" applyAlignment="1" applyFont="1">
      <alignment vertical="bottom"/>
    </xf>
    <xf borderId="0" fillId="0" fontId="10" numFmtId="0" xfId="0" applyAlignment="1" applyFont="1">
      <alignment vertical="bottom"/>
    </xf>
    <xf borderId="0" fillId="0" fontId="9" numFmtId="0" xfId="0" applyAlignment="1" applyFont="1">
      <alignment shrinkToFit="0" vertical="bottom" wrapText="0"/>
    </xf>
    <xf borderId="0" fillId="0" fontId="9" numFmtId="0" xfId="0" applyAlignment="1" applyFont="1">
      <alignment horizontal="center"/>
    </xf>
    <xf borderId="0" fillId="0" fontId="9" numFmtId="167" xfId="0" applyAlignment="1" applyFont="1" applyNumberFormat="1">
      <alignment horizontal="center"/>
    </xf>
    <xf borderId="0" fillId="0" fontId="9" numFmtId="165" xfId="0" applyAlignment="1" applyFont="1" applyNumberFormat="1">
      <alignment horizontal="center"/>
    </xf>
    <xf borderId="0" fillId="0" fontId="9" numFmtId="14" xfId="0" applyAlignment="1" applyFont="1" applyNumberFormat="1">
      <alignment horizontal="center"/>
    </xf>
    <xf borderId="0" fillId="0" fontId="4" numFmtId="0" xfId="0" applyAlignment="1" applyFont="1">
      <alignment horizontal="right" vertical="bottom"/>
    </xf>
    <xf borderId="0" fillId="9" fontId="9" numFmtId="0" xfId="0" applyAlignment="1" applyFill="1" applyFont="1">
      <alignment horizontal="center"/>
    </xf>
    <xf borderId="0" fillId="9" fontId="9" numFmtId="168" xfId="0" applyAlignment="1" applyFont="1" applyNumberFormat="1">
      <alignment horizontal="center"/>
    </xf>
    <xf borderId="0" fillId="9" fontId="9" numFmtId="165" xfId="0" applyAlignment="1" applyFont="1" applyNumberFormat="1">
      <alignment horizontal="center"/>
    </xf>
    <xf borderId="2" fillId="10" fontId="9" numFmtId="165" xfId="0" applyAlignment="1" applyBorder="1" applyFill="1" applyFont="1" applyNumberFormat="1">
      <alignment horizontal="center" vertical="center"/>
    </xf>
    <xf borderId="0" fillId="9" fontId="9" numFmtId="14" xfId="0" applyAlignment="1" applyFont="1" applyNumberFormat="1">
      <alignment horizontal="center"/>
    </xf>
    <xf borderId="0" fillId="9" fontId="9" numFmtId="0" xfId="0" applyAlignment="1" applyFont="1">
      <alignment horizontal="center" shrinkToFit="0" wrapText="1"/>
    </xf>
    <xf borderId="0" fillId="0" fontId="4" numFmtId="0" xfId="0" applyAlignment="1" applyFont="1">
      <alignment shrinkToFit="0" wrapText="1"/>
    </xf>
    <xf borderId="0" fillId="9" fontId="10" numFmtId="0" xfId="0" applyAlignment="1" applyFont="1">
      <alignment horizontal="center"/>
    </xf>
    <xf borderId="0" fillId="11" fontId="4" numFmtId="0" xfId="0" applyFill="1" applyFont="1"/>
    <xf borderId="0" fillId="0" fontId="10" numFmtId="169" xfId="0" applyAlignment="1" applyFont="1" applyNumberFormat="1">
      <alignment horizontal="center"/>
    </xf>
    <xf borderId="0" fillId="12" fontId="4" numFmtId="0" xfId="0" applyAlignment="1" applyFill="1" applyFont="1">
      <alignment horizontal="center"/>
    </xf>
    <xf borderId="2" fillId="9" fontId="9" numFmtId="165" xfId="0" applyAlignment="1" applyBorder="1" applyFont="1" applyNumberFormat="1">
      <alignment horizontal="center" vertical="center"/>
    </xf>
    <xf borderId="0" fillId="9" fontId="9" numFmtId="0" xfId="0" applyAlignment="1" applyFont="1">
      <alignment horizontal="center" vertical="top"/>
    </xf>
    <xf borderId="0" fillId="0" fontId="13" numFmtId="0" xfId="0" applyAlignment="1" applyFont="1">
      <alignment horizontal="right" shrinkToFit="0" vertical="bottom" wrapText="0"/>
    </xf>
    <xf borderId="0" fillId="9" fontId="14" numFmtId="0" xfId="0" applyAlignment="1" applyFont="1">
      <alignment horizontal="center" shrinkToFit="0" wrapText="0"/>
    </xf>
    <xf borderId="0" fillId="9" fontId="14" numFmtId="166" xfId="0" applyAlignment="1" applyFont="1" applyNumberFormat="1">
      <alignment horizontal="center" shrinkToFit="0" wrapText="0"/>
    </xf>
    <xf borderId="2" fillId="9" fontId="14" numFmtId="0" xfId="0" applyAlignment="1" applyBorder="1" applyFont="1">
      <alignment horizontal="center" shrinkToFit="0" wrapText="0"/>
    </xf>
    <xf borderId="0" fillId="9" fontId="14" numFmtId="0" xfId="0" applyAlignment="1" applyFont="1">
      <alignment horizontal="center"/>
    </xf>
    <xf borderId="0" fillId="0" fontId="8" numFmtId="0" xfId="0" applyAlignment="1" applyFont="1">
      <alignment shrinkToFit="0" vertical="bottom" wrapText="0"/>
    </xf>
    <xf borderId="0" fillId="0" fontId="14" numFmtId="0" xfId="0" applyAlignment="1" applyFont="1">
      <alignment horizontal="center" shrinkToFit="0" wrapText="0"/>
    </xf>
    <xf borderId="0" fillId="9" fontId="9" numFmtId="0" xfId="0" applyAlignment="1" applyFont="1">
      <alignment horizontal="center" vertical="center"/>
    </xf>
    <xf borderId="0" fillId="9" fontId="10" numFmtId="49" xfId="0" applyAlignment="1" applyFont="1" applyNumberFormat="1">
      <alignment horizontal="center"/>
    </xf>
    <xf borderId="0" fillId="13" fontId="5" numFmtId="0" xfId="0" applyFill="1" applyFont="1"/>
    <xf borderId="0" fillId="10" fontId="5" numFmtId="0" xfId="0" applyFont="1"/>
    <xf borderId="0" fillId="9" fontId="8" numFmtId="0" xfId="0" applyAlignment="1" applyFont="1">
      <alignment horizontal="left"/>
    </xf>
    <xf borderId="0" fillId="9" fontId="11" numFmtId="0" xfId="0" applyAlignment="1" applyFont="1">
      <alignment horizontal="left"/>
    </xf>
    <xf borderId="0" fillId="0" fontId="4" numFmtId="0" xfId="0" applyAlignment="1" applyFont="1">
      <alignment shrinkToFit="0" vertical="bottom" wrapText="0"/>
    </xf>
    <xf borderId="0" fillId="0" fontId="5" numFmtId="0" xfId="0" applyAlignment="1" applyFont="1">
      <alignment shrinkToFit="0" wrapText="1"/>
    </xf>
    <xf borderId="0" fillId="0" fontId="10" numFmtId="0" xfId="0" applyAlignment="1" applyFont="1">
      <alignment horizontal="center"/>
    </xf>
    <xf borderId="0" fillId="0" fontId="9" numFmtId="0" xfId="0" applyAlignment="1" applyFont="1">
      <alignment horizontal="center" vertical="top"/>
    </xf>
    <xf borderId="0" fillId="0" fontId="2" numFmtId="0" xfId="0" applyFont="1"/>
    <xf borderId="0" fillId="0" fontId="15" numFmtId="0" xfId="0" applyFont="1"/>
    <xf borderId="0" fillId="0" fontId="15" numFmtId="0" xfId="0" applyAlignment="1" applyFont="1">
      <alignment horizontal="right"/>
    </xf>
    <xf borderId="0" fillId="0" fontId="16" numFmtId="0" xfId="0" applyFont="1"/>
    <xf borderId="0" fillId="9" fontId="9" numFmtId="169" xfId="0" applyAlignment="1" applyFont="1" applyNumberFormat="1">
      <alignment horizontal="center" vertical="top"/>
    </xf>
    <xf borderId="0" fillId="9" fontId="9" numFmtId="165" xfId="0" applyAlignment="1" applyFont="1" applyNumberFormat="1">
      <alignment horizontal="center" vertical="center"/>
    </xf>
    <xf borderId="0" fillId="14" fontId="14" numFmtId="0" xfId="0" applyAlignment="1" applyFill="1" applyFont="1">
      <alignment horizontal="center" shrinkToFit="0" wrapText="0"/>
    </xf>
    <xf borderId="0" fillId="0" fontId="10" numFmtId="167" xfId="0" applyAlignment="1" applyFont="1" applyNumberFormat="1">
      <alignment horizontal="center"/>
    </xf>
    <xf borderId="0" fillId="0" fontId="10" numFmtId="165" xfId="0" applyAlignment="1" applyFont="1" applyNumberFormat="1">
      <alignment horizontal="center"/>
    </xf>
    <xf borderId="0" fillId="9" fontId="9" numFmtId="14" xfId="0" applyAlignment="1" applyFont="1" applyNumberFormat="1">
      <alignment horizontal="center" vertical="center"/>
    </xf>
    <xf borderId="0" fillId="0" fontId="17" numFmtId="0" xfId="0" applyAlignment="1" applyFont="1">
      <alignment horizontal="center" vertical="top"/>
    </xf>
    <xf borderId="0" fillId="4" fontId="9" numFmtId="0" xfId="0" applyAlignment="1" applyFont="1">
      <alignment horizontal="center"/>
    </xf>
    <xf borderId="0" fillId="15" fontId="9" numFmtId="0" xfId="0" applyAlignment="1" applyFill="1" applyFont="1">
      <alignment horizontal="center"/>
    </xf>
    <xf borderId="0" fillId="15" fontId="9" numFmtId="165" xfId="0" applyAlignment="1" applyFont="1" applyNumberFormat="1">
      <alignment horizontal="center"/>
    </xf>
    <xf borderId="2" fillId="15" fontId="9" numFmtId="165" xfId="0" applyAlignment="1" applyBorder="1" applyFont="1" applyNumberFormat="1">
      <alignment horizontal="center" vertical="center"/>
    </xf>
    <xf borderId="0" fillId="15" fontId="9" numFmtId="14" xfId="0" applyAlignment="1" applyFont="1" applyNumberFormat="1">
      <alignment horizontal="center"/>
    </xf>
    <xf borderId="0" fillId="15" fontId="9" numFmtId="0" xfId="0" applyFont="1"/>
    <xf borderId="0" fillId="9" fontId="12" numFmtId="0" xfId="0" applyFont="1"/>
    <xf borderId="0" fillId="0" fontId="9" numFmtId="14" xfId="0" applyAlignment="1" applyFont="1" applyNumberFormat="1">
      <alignment horizontal="center" vertical="center"/>
    </xf>
    <xf borderId="0" fillId="0" fontId="9" numFmtId="0" xfId="0" applyAlignment="1" applyFont="1">
      <alignment horizontal="center" shrinkToFit="0" wrapText="1"/>
    </xf>
    <xf borderId="2" fillId="9" fontId="9" numFmtId="0" xfId="0" applyAlignment="1" applyBorder="1" applyFont="1">
      <alignment horizontal="center"/>
    </xf>
    <xf borderId="0" fillId="9" fontId="10" numFmtId="49" xfId="0" applyAlignment="1" applyFont="1" applyNumberFormat="1">
      <alignment horizontal="center" vertical="center"/>
    </xf>
    <xf borderId="0" fillId="0" fontId="9" numFmtId="169" xfId="0" applyAlignment="1" applyFont="1" applyNumberFormat="1">
      <alignment horizontal="center"/>
    </xf>
    <xf borderId="0" fillId="0" fontId="4" numFmtId="0" xfId="0" applyAlignment="1" applyFont="1">
      <alignment horizontal="right" vertical="top"/>
    </xf>
    <xf borderId="0" fillId="0" fontId="14" numFmtId="166" xfId="0" applyAlignment="1" applyFont="1" applyNumberFormat="1">
      <alignment horizontal="center" shrinkToFit="0" wrapText="0"/>
    </xf>
    <xf borderId="0" fillId="0" fontId="9" numFmtId="167" xfId="0" applyAlignment="1" applyFont="1" applyNumberFormat="1">
      <alignment horizontal="center" vertical="center"/>
    </xf>
    <xf borderId="0" fillId="0" fontId="9" numFmtId="165" xfId="0" applyAlignment="1" applyFont="1" applyNumberFormat="1">
      <alignment horizontal="center" vertical="top"/>
    </xf>
    <xf borderId="0" fillId="9" fontId="9" numFmtId="170" xfId="0" applyAlignment="1" applyFont="1" applyNumberFormat="1">
      <alignment horizontal="center" vertical="center"/>
    </xf>
    <xf borderId="0" fillId="0" fontId="18" numFmtId="0" xfId="0" applyAlignment="1" applyFont="1">
      <alignment horizontal="right" shrinkToFit="0" vertical="bottom" wrapText="0"/>
    </xf>
    <xf borderId="0" fillId="0" fontId="13" numFmtId="0" xfId="0" applyAlignment="1" applyFont="1">
      <alignment horizontal="center" shrinkToFit="0" vertical="bottom" wrapText="0"/>
    </xf>
    <xf borderId="0" fillId="0" fontId="13" numFmtId="0" xfId="0" applyAlignment="1" applyFont="1">
      <alignment horizontal="left" shrinkToFit="0" vertical="bottom" wrapText="0"/>
    </xf>
    <xf borderId="0" fillId="9" fontId="13" numFmtId="0" xfId="0" applyAlignment="1" applyFont="1">
      <alignment horizontal="left" shrinkToFit="0" vertical="bottom" wrapText="0"/>
    </xf>
    <xf borderId="0" fillId="0" fontId="13" numFmtId="165" xfId="0" applyAlignment="1" applyFont="1" applyNumberFormat="1">
      <alignment horizontal="center" shrinkToFit="0" vertical="bottom" wrapText="0"/>
    </xf>
    <xf borderId="2" fillId="9" fontId="13" numFmtId="0" xfId="0" applyAlignment="1" applyBorder="1" applyFont="1">
      <alignment horizontal="center" shrinkToFit="0" wrapText="0"/>
    </xf>
    <xf borderId="0" fillId="0" fontId="13" numFmtId="0" xfId="0" applyAlignment="1" applyFont="1">
      <alignment shrinkToFit="0" vertical="bottom" wrapText="0"/>
    </xf>
    <xf borderId="0" fillId="9" fontId="9" numFmtId="171" xfId="0" applyAlignment="1" applyFont="1" applyNumberFormat="1">
      <alignment horizontal="center" vertical="center"/>
    </xf>
    <xf borderId="0" fillId="9" fontId="9" numFmtId="172" xfId="0" applyAlignment="1" applyFont="1" applyNumberFormat="1">
      <alignment horizontal="center"/>
    </xf>
    <xf borderId="0" fillId="9" fontId="9" numFmtId="165" xfId="0" applyAlignment="1" applyFont="1" applyNumberFormat="1">
      <alignment horizontal="center" vertical="top"/>
    </xf>
    <xf borderId="0" fillId="0" fontId="9" numFmtId="169" xfId="0" applyAlignment="1" applyFont="1" applyNumberFormat="1">
      <alignment horizontal="center" vertical="center"/>
    </xf>
    <xf borderId="0" fillId="0" fontId="9" numFmtId="0" xfId="0" applyAlignment="1" applyFont="1">
      <alignment shrinkToFit="0" wrapText="1"/>
    </xf>
    <xf borderId="0" fillId="9" fontId="9" numFmtId="169" xfId="0" applyAlignment="1" applyFont="1" applyNumberFormat="1">
      <alignment horizontal="center" vertical="center"/>
    </xf>
    <xf borderId="0" fillId="0" fontId="14" numFmtId="173" xfId="0" applyAlignment="1" applyFont="1" applyNumberFormat="1">
      <alignment horizontal="center" shrinkToFit="0" wrapText="0"/>
    </xf>
    <xf borderId="0" fillId="0" fontId="9" numFmtId="168" xfId="0" applyAlignment="1" applyFont="1" applyNumberFormat="1">
      <alignment horizontal="center" vertical="center"/>
    </xf>
    <xf borderId="2" fillId="9" fontId="9" numFmtId="165" xfId="0" applyAlignment="1" applyBorder="1" applyFont="1" applyNumberFormat="1">
      <alignment horizontal="center" vertical="top"/>
    </xf>
    <xf borderId="2" fillId="9" fontId="9" numFmtId="0" xfId="0" applyAlignment="1" applyBorder="1" applyFont="1">
      <alignment horizontal="center" vertical="center"/>
    </xf>
    <xf borderId="2" fillId="9" fontId="9" numFmtId="0" xfId="0" applyAlignment="1" applyBorder="1" applyFont="1">
      <alignment horizontal="center" vertical="top"/>
    </xf>
    <xf borderId="2" fillId="9" fontId="9" numFmtId="169" xfId="0" applyAlignment="1" applyBorder="1" applyFont="1" applyNumberFormat="1">
      <alignment horizontal="center" vertical="center"/>
    </xf>
    <xf borderId="2" fillId="9" fontId="9" numFmtId="14" xfId="0" applyAlignment="1" applyBorder="1" applyFont="1" applyNumberFormat="1">
      <alignment horizontal="center" vertical="center"/>
    </xf>
    <xf borderId="0" fillId="0" fontId="5" numFmtId="0" xfId="0" applyAlignment="1" applyFont="1">
      <alignment horizontal="left" vertical="center"/>
    </xf>
    <xf borderId="2" fillId="4" fontId="9" numFmtId="0" xfId="0" applyAlignment="1" applyBorder="1" applyFont="1">
      <alignment horizontal="center"/>
    </xf>
    <xf borderId="2" fillId="9" fontId="9" numFmtId="168" xfId="0" applyAlignment="1" applyBorder="1" applyFont="1" applyNumberFormat="1">
      <alignment horizontal="center"/>
    </xf>
    <xf borderId="2" fillId="9" fontId="9" numFmtId="0" xfId="0" applyAlignment="1" applyBorder="1" applyFont="1">
      <alignment horizontal="center" shrinkToFit="0" wrapText="1"/>
    </xf>
    <xf borderId="2" fillId="10" fontId="9" numFmtId="0" xfId="0" applyAlignment="1" applyBorder="1" applyFont="1">
      <alignment horizontal="center"/>
    </xf>
    <xf borderId="2" fillId="9" fontId="9" numFmtId="165" xfId="0" applyAlignment="1" applyBorder="1" applyFont="1" applyNumberFormat="1">
      <alignment horizontal="center"/>
    </xf>
    <xf borderId="2" fillId="9" fontId="9" numFmtId="14" xfId="0" applyAlignment="1" applyBorder="1" applyFont="1" applyNumberFormat="1">
      <alignment horizontal="center"/>
    </xf>
    <xf borderId="2" fillId="9" fontId="9" numFmtId="171" xfId="0" applyAlignment="1" applyBorder="1" applyFont="1" applyNumberFormat="1">
      <alignment horizontal="center" vertical="center"/>
    </xf>
    <xf borderId="2" fillId="9" fontId="10" numFmtId="0" xfId="0" applyAlignment="1" applyBorder="1" applyFont="1">
      <alignment horizontal="center"/>
    </xf>
    <xf borderId="2" fillId="9" fontId="10" numFmtId="169" xfId="0" applyAlignment="1" applyBorder="1" applyFont="1" applyNumberFormat="1">
      <alignment horizontal="center" vertical="center"/>
    </xf>
    <xf borderId="3" fillId="9" fontId="9" numFmtId="0" xfId="0" applyAlignment="1" applyBorder="1" applyFont="1">
      <alignment horizontal="center"/>
    </xf>
    <xf borderId="3" fillId="0" fontId="4" numFmtId="0" xfId="0" applyBorder="1" applyFont="1"/>
    <xf borderId="2" fillId="9" fontId="9" numFmtId="170" xfId="0" applyAlignment="1" applyBorder="1" applyFont="1" applyNumberFormat="1">
      <alignment horizontal="center" vertical="center"/>
    </xf>
    <xf borderId="0" fillId="0" fontId="5" numFmtId="0" xfId="0" applyAlignment="1" applyFont="1">
      <alignment horizontal="left"/>
    </xf>
    <xf borderId="2" fillId="9" fontId="14" numFmtId="166" xfId="0" applyAlignment="1" applyBorder="1" applyFont="1" applyNumberFormat="1">
      <alignment horizontal="center" shrinkToFit="0" wrapText="0"/>
    </xf>
    <xf borderId="0" fillId="0" fontId="14" numFmtId="164" xfId="0" applyAlignment="1" applyFont="1" applyNumberFormat="1">
      <alignment horizontal="center" shrinkToFit="0" wrapText="0"/>
    </xf>
    <xf borderId="4" fillId="9" fontId="9" numFmtId="0" xfId="0" applyAlignment="1" applyBorder="1" applyFont="1">
      <alignment horizontal="center" vertical="top"/>
    </xf>
    <xf borderId="3" fillId="0" fontId="14" numFmtId="0" xfId="0" applyAlignment="1" applyBorder="1" applyFont="1">
      <alignment horizontal="center" shrinkToFit="0" wrapText="0"/>
    </xf>
    <xf borderId="4" fillId="0" fontId="14" numFmtId="0" xfId="0" applyAlignment="1" applyBorder="1" applyFont="1">
      <alignment horizontal="center" shrinkToFit="0" wrapText="0"/>
    </xf>
    <xf borderId="3" fillId="9" fontId="14" numFmtId="0" xfId="0" applyAlignment="1" applyBorder="1" applyFont="1">
      <alignment horizontal="center" shrinkToFit="0" wrapText="0"/>
    </xf>
    <xf borderId="3" fillId="0" fontId="8" numFmtId="0" xfId="0" applyAlignment="1" applyBorder="1" applyFont="1">
      <alignment shrinkToFit="0" vertical="bottom" wrapText="0"/>
    </xf>
    <xf borderId="3" fillId="9" fontId="9" numFmtId="0" xfId="0" applyAlignment="1" applyBorder="1" applyFont="1">
      <alignment horizontal="center" vertical="center"/>
    </xf>
    <xf borderId="3" fillId="9" fontId="9" numFmtId="168" xfId="0" applyAlignment="1" applyBorder="1" applyFont="1" applyNumberFormat="1">
      <alignment horizontal="center"/>
    </xf>
    <xf borderId="3" fillId="9" fontId="9" numFmtId="165" xfId="0" applyAlignment="1" applyBorder="1" applyFont="1" applyNumberFormat="1">
      <alignment horizontal="center"/>
    </xf>
    <xf borderId="3" fillId="0" fontId="10" numFmtId="0" xfId="0" applyBorder="1" applyFont="1"/>
    <xf borderId="3" fillId="9" fontId="9" numFmtId="14" xfId="0" applyAlignment="1" applyBorder="1" applyFont="1" applyNumberFormat="1">
      <alignment horizontal="center"/>
    </xf>
    <xf borderId="3" fillId="9" fontId="9" numFmtId="0" xfId="0" applyAlignment="1" applyBorder="1" applyFont="1">
      <alignment horizontal="center" shrinkToFit="0" wrapText="1"/>
    </xf>
    <xf borderId="3" fillId="9" fontId="9" numFmtId="171" xfId="0" applyAlignment="1" applyBorder="1" applyFont="1" applyNumberFormat="1">
      <alignment horizontal="center" vertical="center"/>
    </xf>
    <xf borderId="3" fillId="9" fontId="10" numFmtId="0" xfId="0" applyAlignment="1" applyBorder="1" applyFont="1">
      <alignment horizontal="center"/>
    </xf>
    <xf borderId="3" fillId="0" fontId="4" numFmtId="0" xfId="0" applyAlignment="1" applyBorder="1" applyFont="1">
      <alignment horizontal="center"/>
    </xf>
    <xf borderId="3" fillId="0" fontId="9" numFmtId="0" xfId="0" applyBorder="1" applyFont="1"/>
    <xf borderId="3" fillId="9" fontId="10" numFmtId="49" xfId="0" applyAlignment="1" applyBorder="1" applyFont="1" applyNumberFormat="1">
      <alignment horizontal="center" vertical="center"/>
    </xf>
    <xf borderId="3" fillId="9" fontId="9" numFmtId="0" xfId="0" applyAlignment="1" applyBorder="1" applyFont="1">
      <alignment horizontal="center" vertical="top"/>
    </xf>
    <xf borderId="3" fillId="4" fontId="9" numFmtId="0" xfId="0" applyAlignment="1" applyBorder="1" applyFont="1">
      <alignment horizontal="center"/>
    </xf>
    <xf borderId="3" fillId="9" fontId="10" numFmtId="169" xfId="0" applyAlignment="1" applyBorder="1" applyFont="1" applyNumberFormat="1">
      <alignment horizontal="center" vertical="center"/>
    </xf>
    <xf borderId="3" fillId="9" fontId="9" numFmtId="165" xfId="0" applyAlignment="1" applyBorder="1" applyFont="1" applyNumberFormat="1">
      <alignment horizontal="center" vertical="top"/>
    </xf>
    <xf borderId="3" fillId="9" fontId="9" numFmtId="14" xfId="0" applyAlignment="1" applyBorder="1" applyFont="1" applyNumberFormat="1">
      <alignment horizontal="center" vertical="center"/>
    </xf>
    <xf borderId="0" fillId="9" fontId="19" numFmtId="0" xfId="0" applyFont="1"/>
    <xf borderId="3" fillId="9" fontId="9" numFmtId="170" xfId="0" applyAlignment="1" applyBorder="1" applyFont="1" applyNumberFormat="1">
      <alignment horizontal="center" vertical="center"/>
    </xf>
    <xf borderId="3" fillId="0" fontId="9" numFmtId="0" xfId="0" applyAlignment="1" applyBorder="1" applyFont="1">
      <alignment horizontal="center" vertical="center"/>
    </xf>
    <xf borderId="3" fillId="0" fontId="9" numFmtId="0" xfId="0" applyAlignment="1" applyBorder="1" applyFont="1">
      <alignment horizontal="center" vertical="top"/>
    </xf>
    <xf borderId="3" fillId="0" fontId="9" numFmtId="0" xfId="0" applyAlignment="1" applyBorder="1" applyFont="1">
      <alignment horizontal="center"/>
    </xf>
    <xf borderId="3" fillId="0" fontId="9" numFmtId="167" xfId="0" applyAlignment="1" applyBorder="1" applyFont="1" applyNumberFormat="1">
      <alignment horizontal="center" vertical="center"/>
    </xf>
    <xf borderId="3" fillId="0" fontId="9" numFmtId="165" xfId="0" applyAlignment="1" applyBorder="1" applyFont="1" applyNumberFormat="1">
      <alignment horizontal="center" vertical="top"/>
    </xf>
    <xf borderId="3" fillId="0" fontId="9" numFmtId="165" xfId="0" applyAlignment="1" applyBorder="1" applyFont="1" applyNumberFormat="1">
      <alignment horizontal="center" vertical="center"/>
    </xf>
    <xf borderId="3" fillId="0" fontId="4" numFmtId="0" xfId="0" applyAlignment="1" applyBorder="1" applyFont="1">
      <alignment horizontal="right" vertical="bottom"/>
    </xf>
    <xf borderId="1" fillId="9" fontId="9" numFmtId="0" xfId="0" applyAlignment="1" applyBorder="1" applyFont="1">
      <alignment horizontal="center"/>
    </xf>
    <xf borderId="3" fillId="0" fontId="9" numFmtId="165" xfId="0" applyAlignment="1" applyBorder="1" applyFont="1" applyNumberFormat="1">
      <alignment horizontal="center"/>
    </xf>
    <xf borderId="3" fillId="0" fontId="9" numFmtId="169" xfId="0" applyAlignment="1" applyBorder="1" applyFont="1" applyNumberFormat="1">
      <alignment horizontal="center"/>
    </xf>
    <xf borderId="3" fillId="0" fontId="10" numFmtId="0" xfId="0" applyAlignment="1" applyBorder="1" applyFont="1">
      <alignment horizontal="center"/>
    </xf>
    <xf borderId="1" fillId="9" fontId="9" numFmtId="0" xfId="0" applyAlignment="1" applyBorder="1" applyFont="1">
      <alignment horizontal="center" vertical="center"/>
    </xf>
    <xf borderId="1" fillId="9" fontId="9" numFmtId="14" xfId="0" applyAlignment="1" applyBorder="1" applyFont="1" applyNumberFormat="1">
      <alignment horizontal="center" vertical="center"/>
    </xf>
    <xf borderId="1" fillId="9" fontId="9" numFmtId="165" xfId="0" applyAlignment="1" applyBorder="1" applyFont="1" applyNumberFormat="1">
      <alignment horizontal="center"/>
    </xf>
    <xf borderId="3" fillId="0" fontId="9" numFmtId="0" xfId="0" applyAlignment="1" applyBorder="1" applyFont="1">
      <alignment horizontal="center" shrinkToFit="0" wrapText="1"/>
    </xf>
    <xf borderId="1" fillId="9" fontId="9" numFmtId="170" xfId="0" applyAlignment="1" applyBorder="1" applyFont="1" applyNumberFormat="1">
      <alignment horizontal="center" vertical="center"/>
    </xf>
    <xf borderId="1" fillId="9" fontId="9" numFmtId="168" xfId="0" applyAlignment="1" applyBorder="1" applyFont="1" applyNumberFormat="1">
      <alignment horizontal="center"/>
    </xf>
    <xf borderId="1" fillId="9" fontId="9" numFmtId="14" xfId="0" applyAlignment="1" applyBorder="1" applyFont="1" applyNumberFormat="1">
      <alignment horizontal="center"/>
    </xf>
    <xf borderId="1" fillId="9" fontId="9" numFmtId="0" xfId="0" applyAlignment="1" applyBorder="1" applyFont="1">
      <alignment horizontal="center" shrinkToFit="0" wrapText="1"/>
    </xf>
    <xf borderId="1" fillId="9" fontId="9" numFmtId="171" xfId="0" applyAlignment="1" applyBorder="1" applyFont="1" applyNumberFormat="1">
      <alignment horizontal="center" vertical="center"/>
    </xf>
    <xf borderId="1" fillId="9" fontId="10" numFmtId="0" xfId="0" applyAlignment="1" applyBorder="1" applyFont="1">
      <alignment horizontal="center"/>
    </xf>
    <xf borderId="1" fillId="9" fontId="9" numFmtId="169" xfId="0" applyAlignment="1" applyBorder="1" applyFont="1" applyNumberFormat="1">
      <alignment horizontal="center" vertical="center"/>
    </xf>
    <xf borderId="1" fillId="9" fontId="9" numFmtId="165" xfId="0" applyAlignment="1" applyBorder="1" applyFont="1" applyNumberFormat="1">
      <alignment horizontal="center" vertical="center"/>
    </xf>
    <xf borderId="1" fillId="9" fontId="14" numFmtId="0" xfId="0" applyAlignment="1" applyBorder="1" applyFont="1">
      <alignment horizontal="center" shrinkToFit="0" wrapText="0"/>
    </xf>
    <xf borderId="1" fillId="9" fontId="10" numFmtId="169" xfId="0" applyAlignment="1" applyBorder="1" applyFont="1" applyNumberFormat="1">
      <alignment horizontal="center" vertical="center"/>
    </xf>
    <xf borderId="1" fillId="9" fontId="9" numFmtId="0" xfId="0" applyAlignment="1" applyBorder="1" applyFont="1">
      <alignment horizontal="center" vertical="top"/>
    </xf>
    <xf borderId="3" fillId="0" fontId="4" numFmtId="166" xfId="0" applyAlignment="1" applyBorder="1" applyFont="1" applyNumberFormat="1">
      <alignment horizontal="center"/>
    </xf>
    <xf borderId="1" fillId="9" fontId="9" numFmtId="165" xfId="0" applyAlignment="1" applyBorder="1" applyFont="1" applyNumberFormat="1">
      <alignment horizontal="center" vertical="top"/>
    </xf>
    <xf borderId="1" fillId="9" fontId="14" numFmtId="0" xfId="0" applyAlignment="1" applyBorder="1" applyFont="1">
      <alignment horizontal="center"/>
    </xf>
    <xf borderId="3" fillId="0" fontId="4" numFmtId="0" xfId="0" applyAlignment="1" applyBorder="1" applyFont="1">
      <alignment horizontal="right" vertical="top"/>
    </xf>
    <xf borderId="3" fillId="0" fontId="9" numFmtId="169" xfId="0" applyAlignment="1" applyBorder="1" applyFont="1" applyNumberFormat="1">
      <alignment horizontal="center" vertical="center"/>
    </xf>
    <xf borderId="3" fillId="0" fontId="14" numFmtId="166" xfId="0" applyAlignment="1" applyBorder="1" applyFont="1" applyNumberFormat="1">
      <alignment horizontal="center" shrinkToFit="0" wrapText="0"/>
    </xf>
    <xf borderId="1" fillId="4" fontId="9" numFmtId="0" xfId="0" applyAlignment="1" applyBorder="1" applyFont="1">
      <alignment horizontal="center"/>
    </xf>
    <xf borderId="1" fillId="9" fontId="10" numFmtId="49" xfId="0" applyAlignment="1" applyBorder="1" applyFont="1" applyNumberFormat="1">
      <alignment horizontal="center"/>
    </xf>
    <xf borderId="3" fillId="0" fontId="9" numFmtId="14" xfId="0" applyAlignment="1" applyBorder="1" applyFont="1" applyNumberFormat="1">
      <alignment horizontal="center" vertical="center"/>
    </xf>
    <xf borderId="3" fillId="0" fontId="4" numFmtId="0" xfId="0" applyAlignment="1" applyBorder="1" applyFont="1">
      <alignment horizontal="right"/>
    </xf>
    <xf borderId="3" fillId="0" fontId="13" numFmtId="0" xfId="0" applyAlignment="1" applyBorder="1" applyFont="1">
      <alignment horizontal="center" shrinkToFit="0" vertical="top" wrapText="0"/>
    </xf>
    <xf borderId="3" fillId="0" fontId="13" numFmtId="0" xfId="0" applyAlignment="1" applyBorder="1" applyFont="1">
      <alignment horizontal="left" shrinkToFit="0" vertical="top" wrapText="0"/>
    </xf>
    <xf borderId="3" fillId="0" fontId="13" numFmtId="0" xfId="0" applyAlignment="1" applyBorder="1" applyFont="1">
      <alignment horizontal="left" shrinkToFit="0" vertical="bottom" wrapText="0"/>
    </xf>
    <xf borderId="0" fillId="0" fontId="13" numFmtId="0" xfId="0" applyAlignment="1" applyFont="1">
      <alignment horizontal="center" shrinkToFit="0" vertical="top" wrapText="0"/>
    </xf>
    <xf borderId="3" fillId="0" fontId="13" numFmtId="0" xfId="0" applyAlignment="1" applyBorder="1" applyFont="1">
      <alignment horizontal="center" shrinkToFit="0" vertical="bottom" wrapText="0"/>
    </xf>
    <xf borderId="1" fillId="9" fontId="13" numFmtId="0" xfId="0" applyAlignment="1" applyBorder="1" applyFont="1">
      <alignment horizontal="left" shrinkToFit="0" vertical="bottom" wrapText="0"/>
    </xf>
    <xf borderId="3" fillId="0" fontId="13" numFmtId="0" xfId="0" applyAlignment="1" applyBorder="1" applyFont="1">
      <alignment horizontal="right" shrinkToFit="0" vertical="top" wrapText="0"/>
    </xf>
    <xf borderId="3" fillId="0" fontId="13" numFmtId="0" xfId="0" applyAlignment="1" applyBorder="1" applyFont="1">
      <alignment horizontal="right" shrinkToFit="0" vertical="bottom" wrapText="0"/>
    </xf>
    <xf borderId="1" fillId="10" fontId="14" numFmtId="0" xfId="0" applyAlignment="1" applyBorder="1" applyFont="1">
      <alignment horizontal="center" shrinkToFit="0" wrapText="0"/>
    </xf>
    <xf borderId="0" fillId="10" fontId="14" numFmtId="0" xfId="0" applyAlignment="1" applyFont="1">
      <alignment horizontal="center" shrinkToFit="0" wrapText="0"/>
    </xf>
    <xf borderId="1" fillId="9" fontId="9" numFmtId="172" xfId="0" applyAlignment="1" applyBorder="1" applyFont="1" applyNumberFormat="1">
      <alignment horizontal="center" vertical="center"/>
    </xf>
    <xf borderId="1" fillId="9" fontId="14" numFmtId="166" xfId="0" applyAlignment="1" applyBorder="1" applyFont="1" applyNumberFormat="1">
      <alignment horizontal="center" shrinkToFit="0" wrapText="0"/>
    </xf>
    <xf borderId="1" fillId="9" fontId="9" numFmtId="169" xfId="0" applyAlignment="1" applyBorder="1" applyFont="1" applyNumberFormat="1">
      <alignment horizontal="center"/>
    </xf>
    <xf borderId="3" fillId="0" fontId="10" numFmtId="169" xfId="0" applyAlignment="1" applyBorder="1" applyFont="1" applyNumberFormat="1">
      <alignment horizontal="center"/>
    </xf>
    <xf borderId="3" fillId="0" fontId="9" numFmtId="172" xfId="0" applyAlignment="1" applyBorder="1" applyFont="1" applyNumberFormat="1">
      <alignment horizontal="center" vertical="center"/>
    </xf>
    <xf borderId="1" fillId="9" fontId="10" numFmtId="0" xfId="0" applyAlignment="1" applyBorder="1" applyFont="1">
      <alignment horizontal="center" vertical="center"/>
    </xf>
    <xf borderId="3" fillId="0" fontId="14" numFmtId="0" xfId="0" applyAlignment="1" applyBorder="1" applyFont="1">
      <alignment horizontal="center"/>
    </xf>
    <xf borderId="1" fillId="9" fontId="20" numFmtId="0" xfId="0" applyAlignment="1" applyBorder="1" applyFont="1">
      <alignment horizontal="center" shrinkToFit="0" wrapText="0"/>
    </xf>
    <xf borderId="1" fillId="16" fontId="9" numFmtId="0" xfId="0" applyAlignment="1" applyBorder="1" applyFill="1" applyFont="1">
      <alignment horizontal="center"/>
    </xf>
    <xf borderId="3" fillId="0" fontId="9" numFmtId="14" xfId="0" applyAlignment="1" applyBorder="1" applyFont="1" applyNumberFormat="1">
      <alignment horizontal="center"/>
    </xf>
    <xf borderId="3" fillId="9" fontId="9" numFmtId="172" xfId="0" applyAlignment="1" applyBorder="1" applyFont="1" applyNumberFormat="1">
      <alignment horizontal="center" vertical="center"/>
    </xf>
    <xf borderId="1" fillId="9" fontId="10" numFmtId="169" xfId="0" applyAlignment="1" applyBorder="1" applyFont="1" applyNumberFormat="1">
      <alignment horizontal="center"/>
    </xf>
    <xf borderId="1" fillId="9" fontId="9" numFmtId="174" xfId="0" applyAlignment="1" applyBorder="1" applyFont="1" applyNumberFormat="1">
      <alignment horizontal="center" vertical="top"/>
    </xf>
    <xf borderId="3" fillId="0" fontId="9" numFmtId="167" xfId="0" applyAlignment="1" applyBorder="1" applyFont="1" applyNumberFormat="1">
      <alignment horizontal="center"/>
    </xf>
    <xf borderId="3" fillId="0" fontId="9" numFmtId="167" xfId="0" applyAlignment="1" applyBorder="1" applyFont="1" applyNumberFormat="1">
      <alignment horizontal="center" vertical="top"/>
    </xf>
    <xf borderId="3" fillId="0" fontId="4" numFmtId="0" xfId="0" applyAlignment="1" applyBorder="1" applyFont="1">
      <alignment shrinkToFit="0" vertical="bottom" wrapText="0"/>
    </xf>
    <xf borderId="0" fillId="0" fontId="21" numFmtId="0" xfId="0" applyAlignment="1" applyFont="1">
      <alignment vertical="top"/>
    </xf>
    <xf borderId="0" fillId="0" fontId="21" numFmtId="0" xfId="0" applyAlignment="1" applyFont="1">
      <alignment horizontal="right" vertical="top"/>
    </xf>
    <xf borderId="4" fillId="0" fontId="9" numFmtId="0" xfId="0" applyAlignment="1" applyBorder="1" applyFont="1">
      <alignment horizontal="center"/>
    </xf>
    <xf borderId="4" fillId="0" fontId="4" numFmtId="0" xfId="0" applyBorder="1" applyFont="1"/>
    <xf borderId="4" fillId="0" fontId="9" numFmtId="0" xfId="0" applyAlignment="1" applyBorder="1" applyFont="1">
      <alignment horizontal="center" vertical="top"/>
    </xf>
    <xf borderId="3" fillId="0" fontId="9" numFmtId="0" xfId="0" applyAlignment="1" applyBorder="1" applyFont="1">
      <alignment horizontal="center" shrinkToFit="0" vertical="center" wrapText="1"/>
    </xf>
    <xf borderId="3" fillId="0" fontId="4" numFmtId="0" xfId="0" applyAlignment="1" applyBorder="1" applyFont="1">
      <alignment horizontal="left"/>
    </xf>
    <xf borderId="3" fillId="0" fontId="4" numFmtId="165" xfId="0" applyAlignment="1" applyBorder="1" applyFont="1" applyNumberFormat="1">
      <alignment horizontal="center"/>
    </xf>
    <xf borderId="3" fillId="0" fontId="4" numFmtId="0" xfId="0" applyAlignment="1" applyBorder="1" applyFont="1">
      <alignment shrinkToFit="0" wrapText="1"/>
    </xf>
    <xf borderId="5" fillId="0" fontId="4" numFmtId="166" xfId="0" applyAlignment="1" applyBorder="1" applyFont="1" applyNumberFormat="1">
      <alignment horizontal="center"/>
    </xf>
    <xf borderId="5" fillId="0" fontId="4" numFmtId="164" xfId="0" applyAlignment="1" applyBorder="1" applyFont="1" applyNumberFormat="1">
      <alignment horizontal="center"/>
    </xf>
    <xf borderId="4" fillId="0" fontId="4" numFmtId="166" xfId="0" applyAlignment="1" applyBorder="1" applyFont="1" applyNumberFormat="1">
      <alignment horizontal="center"/>
    </xf>
    <xf borderId="4" fillId="9" fontId="9" numFmtId="0" xfId="0" applyAlignment="1" applyBorder="1" applyFont="1">
      <alignment horizontal="center"/>
    </xf>
    <xf borderId="3" fillId="0" fontId="4" numFmtId="0" xfId="0" applyAlignment="1" applyBorder="1" applyFont="1">
      <alignment horizontal="center" shrinkToFit="0" wrapText="1"/>
    </xf>
    <xf borderId="4" fillId="0" fontId="10" numFmtId="0" xfId="0" applyBorder="1" applyFont="1"/>
    <xf borderId="1" fillId="9" fontId="9" numFmtId="170" xfId="0" applyAlignment="1" applyBorder="1" applyFont="1" applyNumberFormat="1">
      <alignment horizontal="center" vertical="top"/>
    </xf>
    <xf borderId="1" fillId="9" fontId="9" numFmtId="168" xfId="0" applyAlignment="1" applyBorder="1" applyFont="1" applyNumberFormat="1">
      <alignment horizontal="center" vertical="center"/>
    </xf>
    <xf borderId="0" fillId="10" fontId="4" numFmtId="0" xfId="0" applyFont="1"/>
    <xf borderId="1" fillId="9" fontId="9" numFmtId="171" xfId="0" applyAlignment="1" applyBorder="1" applyFont="1" applyNumberFormat="1">
      <alignment horizontal="center" vertical="top"/>
    </xf>
    <xf borderId="3" fillId="0" fontId="4" numFmtId="0" xfId="0" applyAlignment="1" applyBorder="1" applyFont="1">
      <alignment horizontal="left" vertical="center"/>
    </xf>
    <xf borderId="3" fillId="0" fontId="10" numFmtId="0" xfId="0" applyAlignment="1" applyBorder="1" applyFont="1">
      <alignment horizontal="center" vertical="center"/>
    </xf>
    <xf borderId="1" fillId="9" fontId="10" numFmtId="0" xfId="0" applyAlignment="1" applyBorder="1" applyFont="1">
      <alignment horizontal="center" shrinkToFit="0" wrapText="1"/>
    </xf>
    <xf borderId="5" fillId="0" fontId="8" numFmtId="0" xfId="0" applyAlignment="1" applyBorder="1" applyFont="1">
      <alignment shrinkToFit="0" vertical="bottom" wrapText="0"/>
    </xf>
    <xf borderId="0" fillId="17" fontId="5" numFmtId="0" xfId="0" applyFill="1" applyFont="1"/>
    <xf borderId="0" fillId="0" fontId="4" numFmtId="0" xfId="0" applyAlignment="1" applyFont="1">
      <alignment horizontal="right" vertical="center"/>
    </xf>
    <xf borderId="3" fillId="0" fontId="9" numFmtId="0" xfId="0" applyAlignment="1" applyBorder="1" applyFont="1">
      <alignment horizontal="left" vertical="center"/>
    </xf>
    <xf borderId="0" fillId="0" fontId="4" numFmtId="0" xfId="0" applyAlignment="1" applyFont="1">
      <alignment horizontal="left" vertical="center"/>
    </xf>
    <xf borderId="0" fillId="0" fontId="9" numFmtId="0" xfId="0" applyAlignment="1" applyFont="1">
      <alignment horizontal="left" vertical="center"/>
    </xf>
    <xf borderId="6" fillId="9" fontId="9" numFmtId="0" xfId="0" applyAlignment="1" applyBorder="1" applyFont="1">
      <alignment horizontal="center"/>
    </xf>
    <xf borderId="7" fillId="9" fontId="9" numFmtId="0" xfId="0" applyAlignment="1" applyBorder="1" applyFont="1">
      <alignment horizontal="center" vertical="center"/>
    </xf>
    <xf borderId="6" fillId="9" fontId="9" numFmtId="0" xfId="0" applyAlignment="1" applyBorder="1" applyFont="1">
      <alignment horizontal="center" vertical="center"/>
    </xf>
    <xf borderId="6" fillId="9" fontId="9" numFmtId="171" xfId="0" applyAlignment="1" applyBorder="1" applyFont="1" applyNumberFormat="1">
      <alignment horizontal="center" vertical="top"/>
    </xf>
    <xf borderId="6" fillId="9" fontId="14" numFmtId="0" xfId="0" applyAlignment="1" applyBorder="1" applyFont="1">
      <alignment horizontal="center" shrinkToFit="0" wrapText="0"/>
    </xf>
    <xf borderId="7" fillId="9" fontId="14" numFmtId="0" xfId="0" applyAlignment="1" applyBorder="1" applyFont="1">
      <alignment horizontal="center" shrinkToFit="0" wrapText="0"/>
    </xf>
    <xf borderId="6" fillId="9" fontId="9" numFmtId="0" xfId="0" applyAlignment="1" applyBorder="1" applyFont="1">
      <alignment horizontal="center" vertical="top"/>
    </xf>
    <xf borderId="0" fillId="17" fontId="4" numFmtId="0" xfId="0" applyFont="1"/>
    <xf borderId="1" fillId="17" fontId="9" numFmtId="0" xfId="0" applyAlignment="1" applyBorder="1" applyFont="1">
      <alignment horizontal="center" vertical="center"/>
    </xf>
    <xf borderId="1" fillId="17" fontId="9" numFmtId="0" xfId="0" applyAlignment="1" applyBorder="1" applyFont="1">
      <alignment horizontal="center" vertical="top"/>
    </xf>
    <xf borderId="1" fillId="17" fontId="9" numFmtId="0" xfId="0" applyAlignment="1" applyBorder="1" applyFont="1">
      <alignment horizontal="center"/>
    </xf>
    <xf borderId="1" fillId="17" fontId="9" numFmtId="167" xfId="0" applyAlignment="1" applyBorder="1" applyFont="1" applyNumberFormat="1">
      <alignment horizontal="center"/>
    </xf>
    <xf borderId="1" fillId="17" fontId="9" numFmtId="165" xfId="0" applyAlignment="1" applyBorder="1" applyFont="1" applyNumberFormat="1">
      <alignment horizontal="center" vertical="top"/>
    </xf>
    <xf borderId="2" fillId="17" fontId="9" numFmtId="165" xfId="0" applyAlignment="1" applyBorder="1" applyFont="1" applyNumberFormat="1">
      <alignment horizontal="center" vertical="center"/>
    </xf>
    <xf borderId="1" fillId="17" fontId="9" numFmtId="14" xfId="0" applyAlignment="1" applyBorder="1" applyFont="1" applyNumberFormat="1">
      <alignment horizontal="center" vertical="center"/>
    </xf>
    <xf borderId="6" fillId="17" fontId="9" numFmtId="0" xfId="0" applyAlignment="1" applyBorder="1" applyFont="1">
      <alignment horizontal="center" vertical="center"/>
    </xf>
    <xf borderId="3" fillId="17" fontId="4" numFmtId="0" xfId="0" applyAlignment="1" applyBorder="1" applyFont="1">
      <alignment horizontal="right" vertical="bottom"/>
    </xf>
    <xf borderId="7" fillId="17" fontId="9" numFmtId="0" xfId="0" applyAlignment="1" applyBorder="1" applyFont="1">
      <alignment horizontal="center" vertical="center"/>
    </xf>
    <xf borderId="0" fillId="17" fontId="9" numFmtId="0" xfId="0" applyFont="1"/>
    <xf borderId="3" fillId="0" fontId="9" numFmtId="172" xfId="0" applyAlignment="1" applyBorder="1" applyFont="1" applyNumberFormat="1">
      <alignment horizontal="center"/>
    </xf>
    <xf borderId="3" fillId="0" fontId="10" numFmtId="0" xfId="0" applyAlignment="1" applyBorder="1" applyFont="1">
      <alignment horizontal="left" vertical="center"/>
    </xf>
    <xf borderId="3" fillId="0" fontId="9" numFmtId="0" xfId="0" applyAlignment="1" applyBorder="1" applyFont="1">
      <alignment horizontal="left"/>
    </xf>
    <xf borderId="3" fillId="0" fontId="10" numFmtId="0" xfId="0" applyAlignment="1" applyBorder="1" applyFont="1">
      <alignment horizontal="left"/>
    </xf>
    <xf borderId="7" fillId="9" fontId="9" numFmtId="0" xfId="0" applyAlignment="1" applyBorder="1" applyFont="1">
      <alignment horizontal="center"/>
    </xf>
    <xf borderId="1" fillId="9" fontId="9" numFmtId="172" xfId="0" applyAlignment="1" applyBorder="1" applyFont="1" applyNumberFormat="1">
      <alignment horizontal="center"/>
    </xf>
    <xf borderId="1" fillId="10" fontId="9" numFmtId="0" xfId="0" applyAlignment="1" applyBorder="1" applyFont="1">
      <alignment horizontal="center"/>
    </xf>
    <xf borderId="3" fillId="0" fontId="4" numFmtId="164" xfId="0" applyAlignment="1" applyBorder="1" applyFont="1" applyNumberFormat="1">
      <alignment horizontal="center"/>
    </xf>
    <xf borderId="8" fillId="0" fontId="9" numFmtId="0" xfId="0" applyAlignment="1" applyBorder="1" applyFont="1">
      <alignment horizontal="center"/>
    </xf>
    <xf borderId="9" fillId="0" fontId="9" numFmtId="0" xfId="0" applyAlignment="1" applyBorder="1" applyFont="1">
      <alignment horizontal="center"/>
    </xf>
    <xf borderId="10" fillId="9" fontId="9" numFmtId="0" xfId="0" applyAlignment="1" applyBorder="1" applyFont="1">
      <alignment horizontal="center" vertical="center"/>
    </xf>
    <xf borderId="6" fillId="9" fontId="9" numFmtId="165" xfId="0" applyAlignment="1" applyBorder="1" applyFont="1" applyNumberFormat="1">
      <alignment horizontal="center" vertical="center"/>
    </xf>
    <xf borderId="5" fillId="9" fontId="9" numFmtId="0" xfId="0" applyAlignment="1" applyBorder="1" applyFont="1">
      <alignment horizontal="center"/>
    </xf>
    <xf borderId="1" fillId="9" fontId="22" numFmtId="0" xfId="0" applyAlignment="1" applyBorder="1" applyFont="1">
      <alignment horizontal="center"/>
    </xf>
    <xf borderId="8" fillId="9" fontId="9" numFmtId="0" xfId="0" applyAlignment="1" applyBorder="1" applyFont="1">
      <alignment horizontal="center"/>
    </xf>
    <xf borderId="0" fillId="9" fontId="9" numFmtId="0" xfId="0" applyAlignment="1" applyFont="1">
      <alignment horizontal="left"/>
    </xf>
    <xf borderId="1" fillId="10" fontId="9" numFmtId="165" xfId="0" applyAlignment="1" applyBorder="1" applyFont="1" applyNumberFormat="1">
      <alignment horizontal="center" vertical="center"/>
    </xf>
    <xf borderId="0" fillId="0" fontId="4" numFmtId="0" xfId="0" applyAlignment="1" applyFont="1">
      <alignment horizontal="right"/>
    </xf>
    <xf borderId="0" fillId="0" fontId="9" numFmtId="0" xfId="0" applyAlignment="1" applyFont="1">
      <alignment horizontal="left"/>
    </xf>
    <xf borderId="3" fillId="0" fontId="9" numFmtId="0" xfId="0" applyAlignment="1" applyBorder="1" applyFont="1">
      <alignment horizontal="left" vertical="top"/>
    </xf>
    <xf borderId="3" fillId="0" fontId="22" numFmtId="0" xfId="0" applyAlignment="1" applyBorder="1" applyFont="1">
      <alignment horizontal="center" vertical="center"/>
    </xf>
    <xf borderId="1" fillId="17" fontId="9" numFmtId="165" xfId="0" applyAlignment="1" applyBorder="1" applyFont="1" applyNumberFormat="1">
      <alignment horizontal="center"/>
    </xf>
    <xf borderId="1" fillId="18" fontId="9" numFmtId="0" xfId="0" applyAlignment="1" applyBorder="1" applyFill="1" applyFont="1">
      <alignment horizontal="center"/>
    </xf>
    <xf quotePrefix="1" borderId="0" fillId="0" fontId="9" numFmtId="0" xfId="0" applyFont="1"/>
    <xf borderId="2" fillId="15" fontId="11" numFmtId="0" xfId="0" applyBorder="1" applyFont="1"/>
    <xf borderId="0" fillId="10" fontId="9" numFmtId="165" xfId="0" applyAlignment="1" applyFont="1" applyNumberFormat="1">
      <alignment horizontal="center" vertical="center"/>
    </xf>
    <xf borderId="0" fillId="0" fontId="8" numFmtId="0" xfId="0" applyAlignment="1" applyFont="1">
      <alignment horizontal="center" shrinkToFit="0" wrapText="0"/>
    </xf>
    <xf borderId="0" fillId="9" fontId="10" numFmtId="169" xfId="0" applyAlignment="1" applyFont="1" applyNumberFormat="1">
      <alignment horizontal="center" vertical="center"/>
    </xf>
    <xf borderId="3" fillId="9" fontId="9" numFmtId="165" xfId="0" applyAlignment="1" applyBorder="1" applyFont="1" applyNumberFormat="1">
      <alignment horizontal="center" vertical="center"/>
    </xf>
    <xf borderId="3" fillId="9" fontId="9" numFmtId="169" xfId="0" applyAlignment="1" applyBorder="1" applyFont="1" applyNumberFormat="1">
      <alignment horizontal="center"/>
    </xf>
    <xf borderId="3" fillId="10" fontId="9" numFmtId="165" xfId="0" applyAlignment="1" applyBorder="1" applyFont="1" applyNumberFormat="1">
      <alignment horizontal="center" vertical="center"/>
    </xf>
    <xf borderId="0" fillId="0" fontId="9" numFmtId="172" xfId="0" applyAlignment="1" applyFont="1" applyNumberFormat="1">
      <alignment horizontal="center"/>
    </xf>
    <xf borderId="0" fillId="0" fontId="9" numFmtId="172" xfId="0" applyAlignment="1" applyFont="1" applyNumberFormat="1">
      <alignment horizontal="center" vertical="center"/>
    </xf>
    <xf borderId="0" fillId="0" fontId="9" numFmtId="175" xfId="0" applyAlignment="1" applyFont="1" applyNumberFormat="1">
      <alignment horizontal="center"/>
    </xf>
    <xf borderId="0" fillId="0" fontId="4" numFmtId="0" xfId="0" applyAlignment="1" applyFont="1">
      <alignment horizontal="center" vertical="center"/>
    </xf>
    <xf borderId="0" fillId="0" fontId="4" numFmtId="165" xfId="0" applyAlignment="1" applyFont="1" applyNumberFormat="1">
      <alignment horizontal="center" vertical="center"/>
    </xf>
    <xf borderId="0" fillId="0" fontId="4" numFmtId="14" xfId="0" applyAlignment="1" applyFont="1" applyNumberFormat="1">
      <alignment horizontal="center" vertical="center"/>
    </xf>
    <xf borderId="0" fillId="10" fontId="8" numFmtId="0" xfId="0" applyAlignment="1" applyFont="1">
      <alignment horizontal="center" shrinkToFit="0" wrapText="0"/>
    </xf>
    <xf borderId="0" fillId="10" fontId="8" numFmtId="0" xfId="0" applyAlignment="1" applyFont="1">
      <alignment shrinkToFit="0" vertical="bottom" wrapText="0"/>
    </xf>
    <xf borderId="0" fillId="9" fontId="4" numFmtId="0" xfId="0" applyFont="1"/>
    <xf borderId="0" fillId="0" fontId="8" numFmtId="0" xfId="0" applyAlignment="1" applyFont="1">
      <alignment horizontal="left" shrinkToFit="0" vertical="bottom" wrapText="0"/>
    </xf>
    <xf borderId="0" fillId="9" fontId="14" numFmtId="165" xfId="0" applyAlignment="1" applyFont="1" applyNumberFormat="1">
      <alignment horizontal="center" shrinkToFit="0" wrapText="0"/>
    </xf>
    <xf borderId="0" fillId="9" fontId="14" numFmtId="176" xfId="0" applyAlignment="1" applyFont="1" applyNumberFormat="1">
      <alignment horizontal="center" shrinkToFit="0" wrapText="0"/>
    </xf>
    <xf borderId="0" fillId="0" fontId="14" numFmtId="0" xfId="0" applyAlignment="1" applyFont="1">
      <alignment horizontal="center"/>
    </xf>
    <xf borderId="0" fillId="9" fontId="20" numFmtId="0" xfId="0" applyAlignment="1" applyFont="1">
      <alignment horizontal="center" shrinkToFit="0" wrapText="0"/>
    </xf>
    <xf borderId="0" fillId="0" fontId="15" numFmtId="0" xfId="0" applyAlignment="1" applyFont="1">
      <alignment horizontal="center"/>
    </xf>
    <xf borderId="0" fillId="0" fontId="5" numFmtId="0" xfId="0" applyAlignment="1" applyFont="1">
      <alignment horizontal="center"/>
    </xf>
    <xf borderId="0" fillId="0" fontId="11" numFmtId="0" xfId="0" applyAlignment="1" applyFont="1">
      <alignment shrinkToFit="0" wrapText="1"/>
    </xf>
    <xf borderId="0" fillId="0" fontId="15" numFmtId="0" xfId="0" applyAlignment="1" applyFont="1">
      <alignment shrinkToFit="0" wrapText="1"/>
    </xf>
  </cellXfs>
  <cellStyles count="1">
    <cellStyle xfId="0" name="Normal" builtinId="0"/>
  </cellStyles>
  <dxfs count="2">
    <dxf>
      <font/>
      <fill>
        <patternFill patternType="solid">
          <fgColor rgb="FFB7E1CD"/>
          <bgColor rgb="FFB7E1CD"/>
        </patternFill>
      </fill>
      <border/>
    </dxf>
    <dxf>
      <font>
        <b/>
        <color rgb="FFFFFFFF"/>
      </font>
      <fill>
        <patternFill patternType="solid">
          <fgColor rgb="FFFF5050"/>
          <bgColor rgb="FFFF5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995" sheet="Base de datos"/>
  </cacheSource>
  <cacheFields>
    <cacheField name="Número" numFmtId="0">
      <sharedItems containsSemiMixedTypes="0" containsString="0" containsNumber="1" containsInteger="1">
        <n v="155.0"/>
        <n v="46.0"/>
        <n v="153.0"/>
        <n v="154.0"/>
        <n v="566.0"/>
        <n v="561.0"/>
        <n v="463.0"/>
        <n v="920.0"/>
        <n v="164.0"/>
        <n v="570.0"/>
        <n v="919.0"/>
        <n v="565.0"/>
        <n v="449.0"/>
        <n v="939.0"/>
        <n v="723.0"/>
        <n v="934.0"/>
        <n v="572.0"/>
        <n v="587.0"/>
        <n v="564.0"/>
        <n v="930.0"/>
        <n v="724.0"/>
        <n v="502.0"/>
        <n v="573.0"/>
        <n v="361.0"/>
        <n v="580.0"/>
        <n v="679.0"/>
        <n v="699.0"/>
        <n v="898.0"/>
        <n v="897.0"/>
        <n v="127.0"/>
        <n v="904.0"/>
        <n v="678.0"/>
        <n v="890.0"/>
        <n v="889.0"/>
        <n v="560.0"/>
        <n v="709.0"/>
        <n v="454.0"/>
        <n v="965.0"/>
        <n v="903.0"/>
        <n v="899.0"/>
        <n v="574.0"/>
        <n v="902.0"/>
        <n v="901.0"/>
        <n v="715.0"/>
        <n v="910.0"/>
        <n v="578.0"/>
        <n v="747.0"/>
        <n v="5.0"/>
        <n v="508.0"/>
        <n v="909.0"/>
        <n v="687.0"/>
        <n v="510.0"/>
        <n v="507.0"/>
        <n v="716.0"/>
        <n v="797.0"/>
        <n v="477.0"/>
        <n v="905.0"/>
        <n v="734.0"/>
        <n v="906.0"/>
        <n v="907.0"/>
        <n v="908.0"/>
        <n v="479.0"/>
        <n v="913.0"/>
        <n v="918.0"/>
        <n v="917.0"/>
        <n v="506.0"/>
        <n v="948.0"/>
        <n v="708.0"/>
        <n v="706.0"/>
        <n v="915.0"/>
        <n v="799.0"/>
        <n v="379.0"/>
        <n v="686.0"/>
        <n v="478.0"/>
        <n v="790.0"/>
        <n v="885.0"/>
        <n v="374.0"/>
        <n v="377.0"/>
        <n v="483.0"/>
        <n v="386.0"/>
        <n v="484.0"/>
        <n v="375.0"/>
        <n v="571.0"/>
        <n v="494.0"/>
        <n v="796.0"/>
        <n v="739.0"/>
        <n v="710.0"/>
        <n v="503.0"/>
        <n v="504.0"/>
        <n v="505.0"/>
        <n v="632.0"/>
        <n v="720.0"/>
        <n v="575.0"/>
        <n v="576.0"/>
        <n v="892.0"/>
        <n v="121.0"/>
        <n v="4.0"/>
        <n v="3.0"/>
        <n v="991.0"/>
        <n v="986.0"/>
        <n v="964.0"/>
        <n v="961.0"/>
        <n v="568.0"/>
        <n v="282.0"/>
        <n v="987.0"/>
        <n v="942.0"/>
        <n v="132.0"/>
        <n v="949.0"/>
        <n v="978.0"/>
        <n v="320.0"/>
        <n v="984.0"/>
        <n v="558.0"/>
        <n v="605.0"/>
        <n v="608.0"/>
        <n v="603.0"/>
        <n v="604.0"/>
        <n v="228.0"/>
        <n v="443.0"/>
        <n v="360.0"/>
        <n v="923.0"/>
        <n v="362.0"/>
        <n v="363.0"/>
        <n v="753.0"/>
        <n v="773.0"/>
        <n v="993.0"/>
        <n v="976.0"/>
        <n v="456.0"/>
        <n v="924.0"/>
        <n v="943.0"/>
        <n v="926.0"/>
        <n v="283.0"/>
        <n v="925.0"/>
        <n v="946.0"/>
        <n v="451.0"/>
        <n v="461.0"/>
        <n v="837.0"/>
        <n v="763.0"/>
        <n v="761.0"/>
        <n v="928.0"/>
        <n v="462.0"/>
        <n v="328.0"/>
        <n v="832.0"/>
        <n v="722.0"/>
        <n v="927.0"/>
        <n v="95.0"/>
        <n v="312.0"/>
        <n v="954.0"/>
        <n v="956.0"/>
        <n v="959.0"/>
        <n v="953.0"/>
        <n v="955.0"/>
        <n v="122.0"/>
        <n v="743.0"/>
        <n v="982.0"/>
        <n v="989.0"/>
        <n v="447.0"/>
        <n v="117.0"/>
        <n v="118.0"/>
        <n v="633.0"/>
        <n v="639.0"/>
        <n v="234.0"/>
        <n v="567.0"/>
        <n v="698.0"/>
        <n v="631.0"/>
        <n v="592.0"/>
        <n v="848.0"/>
        <n v="284.0"/>
        <n v="441.0"/>
        <n v="882.0"/>
        <n v="251.0"/>
        <n v="660.0"/>
        <n v="960.0"/>
        <n v="659.0"/>
        <n v="658.0"/>
        <n v="661.0"/>
        <n v="657.0"/>
        <n v="662.0"/>
        <n v="663.0"/>
        <n v="656.0"/>
        <n v="655.0"/>
        <n v="654.0"/>
        <n v="668.0"/>
        <n v="667.0"/>
        <n v="669.0"/>
        <n v="666.0"/>
        <n v="670.0"/>
        <n v="664.0"/>
        <n v="87.0"/>
        <n v="86.0"/>
        <n v="123.0"/>
        <n v="378.0"/>
        <n v="936.0"/>
        <n v="376.0"/>
        <n v="439.0"/>
        <n v="1.0"/>
        <n v="269.0"/>
        <n v="91.0"/>
        <n v="458.0"/>
        <n v="988.0"/>
        <n v="719.0"/>
        <n v="357.0"/>
        <n v="209.0"/>
        <n v="446.0"/>
        <n v="452.0"/>
        <n v="598.0"/>
        <n v="410.0"/>
        <n v="409.0"/>
        <n v="405.0"/>
        <n v="404.0"/>
        <n v="88.0"/>
        <n v="89.0"/>
        <n v="44.0"/>
        <n v="43.0"/>
        <n v="45.0"/>
        <n v="47.0"/>
        <n v="963.0"/>
        <n v="49.0"/>
        <n v="48.0"/>
        <n v="66.0"/>
        <n v="50.0"/>
        <n v="67.0"/>
        <n v="69.0"/>
        <n v="690.0"/>
        <n v="68.0"/>
        <n v="52.0"/>
        <n v="51.0"/>
        <n v="992.0"/>
        <n v="70.0"/>
        <n v="57.0"/>
        <n v="72.0"/>
        <n v="53.0"/>
        <n v="62.0"/>
        <n v="71.0"/>
        <n v="73.0"/>
        <n v="54.0"/>
        <n v="74.0"/>
        <n v="65.0"/>
        <n v="83.0"/>
        <n v="944.0"/>
        <n v="966.0"/>
        <n v="393.0"/>
        <n v="82.0"/>
        <n v="884.0"/>
        <n v="395.0"/>
        <n v="396.0"/>
        <n v="55.0"/>
        <n v="81.0"/>
        <n v="779.0"/>
        <n v="63.0"/>
        <n v="397.0"/>
        <n v="765.0"/>
        <n v="767.0"/>
        <n v="697.0"/>
        <n v="75.0"/>
        <n v="958.0"/>
        <n v="58.0"/>
        <n v="774.0"/>
        <n v="826.0"/>
        <n v="766.0"/>
        <n v="80.0"/>
        <n v="56.0"/>
        <n v="781.0"/>
        <n v="974.0"/>
        <n v="64.0"/>
        <n v="980.0"/>
        <n v="79.0"/>
        <n v="78.0"/>
        <n v="983.0"/>
        <n v="61.0"/>
        <n v="868.0"/>
        <n v="76.0"/>
        <n v="77.0"/>
        <n v="59.0"/>
        <n v="165.0"/>
        <n v="967.0"/>
        <n v="742.0"/>
        <n v="415.0"/>
        <n v="931.0"/>
        <n v="60.0"/>
        <n v="952.0"/>
        <n v="815.0"/>
        <n v="416.0"/>
        <n v="756.0"/>
        <n v="783.0"/>
        <n v="671.0"/>
        <n v="749.0"/>
        <n v="786.0"/>
        <n v="637.0"/>
        <n v="636.0"/>
        <n v="691.0"/>
        <n v="692.0"/>
        <n v="512.0"/>
        <n v="513.0"/>
        <n v="557.0"/>
        <n v="516.0"/>
        <n v="471.0"/>
        <n v="517.0"/>
        <n v="116.0"/>
        <n v="27.0"/>
        <n v="26.0"/>
        <n v="28.0"/>
        <n v="31.0"/>
        <n v="30.0"/>
        <n v="29.0"/>
        <n v="838.0"/>
        <n v="115.0"/>
        <n v="515.0"/>
        <n v="514.0"/>
        <n v="114.0"/>
        <n v="553.0"/>
        <n v="563.0"/>
        <n v="593.0"/>
        <n v="875.0"/>
        <n v="21.0"/>
        <n v="590.0"/>
        <n v="41.0"/>
        <n v="562.0"/>
        <n v="893.0"/>
        <n v="881.0"/>
        <n v="133.0"/>
        <n v="96.0"/>
        <n v="97.0"/>
        <n v="14.0"/>
        <n v="126.0"/>
        <n v="25.0"/>
        <n v="94.0"/>
        <n v="93.0"/>
        <n v="85.0"/>
        <n v="135.0"/>
        <n v="40.0"/>
        <n v="98.0"/>
        <n v="845.0"/>
        <n v="99.0"/>
        <n v="120.0"/>
        <n v="125.0"/>
        <n v="119.0"/>
        <n v="161.0"/>
        <n v="23.0"/>
        <n v="24.0"/>
        <n v="124.0"/>
        <n v="13.0"/>
        <n v="6.0"/>
        <n v="594.0"/>
        <n v="39.0"/>
        <n v="162.0"/>
        <n v="106.0"/>
        <n v="843.0"/>
        <n v="108.0"/>
        <n v="846.0"/>
        <n v="107.0"/>
        <n v="844.0"/>
        <n v="160.0"/>
        <n v="110.0"/>
        <n v="16.0"/>
        <n v="19.0"/>
        <n v="163.0"/>
        <n v="7.0"/>
        <n v="159.0"/>
        <n v="103.0"/>
        <n v="22.0"/>
        <n v="32.0"/>
        <n v="15.0"/>
        <n v="8.0"/>
        <n v="104.0"/>
        <n v="157.0"/>
        <n v="36.0"/>
        <n v="11.0"/>
        <n v="42.0"/>
        <n v="33.0"/>
        <n v="111.0"/>
        <n v="20.0"/>
        <n v="109.0"/>
        <n v="37.0"/>
        <n v="34.0"/>
        <n v="17.0"/>
        <n v="35.0"/>
        <n v="18.0"/>
        <n v="101.0"/>
        <n v="156.0"/>
        <n v="10.0"/>
        <n v="112.0"/>
        <n v="841.0"/>
        <n v="113.0"/>
        <n v="12.0"/>
        <n v="740.0"/>
        <n v="595.0"/>
        <n v="883.0"/>
        <n v="102.0"/>
        <n v="9.0"/>
        <n v="100.0"/>
        <n v="158.0"/>
        <n v="38.0"/>
        <n v="880.0"/>
        <n v="134.0"/>
        <n v="367.0"/>
        <n v="584.0"/>
        <n v="533.0"/>
        <n v="532.0"/>
        <n v="531.0"/>
        <n v="198.0"/>
        <n v="527.0"/>
        <n v="599.0"/>
        <n v="526.0"/>
        <n v="524.0"/>
        <n v="525.0"/>
        <n v="635.0"/>
        <n v="569.0"/>
        <n v="737.0"/>
        <n v="518.0"/>
        <n v="520.0"/>
        <n v="519.0"/>
        <n v="521.0"/>
        <n v="522.0"/>
        <n v="523.0"/>
        <n v="530.0"/>
        <n v="529.0"/>
        <n v="528.0"/>
        <n v="556.0"/>
        <n v="202.0"/>
        <n v="200.0"/>
        <n v="472.0"/>
        <n v="581.0"/>
        <n v="589.0"/>
        <n v="591.0"/>
        <n v="466.0"/>
        <n v="652.0"/>
        <n v="748.0"/>
        <n v="460.0"/>
        <n v="534.0"/>
        <n v="489.0"/>
        <n v="863.0"/>
        <n v="624.0"/>
        <n v="738.0"/>
        <n v="736.0"/>
        <n v="275.0"/>
        <n v="334.0"/>
        <n v="149.0"/>
        <n v="373.0"/>
        <n v="481.0"/>
        <n v="932.0"/>
        <n v="551.0"/>
        <n v="627.0"/>
        <n v="105.0"/>
        <n v="537.0"/>
        <n v="629.0"/>
        <n v="620.0"/>
        <n v="321.0"/>
        <n v="535.0"/>
        <n v="467.0"/>
        <n v="316.0"/>
        <n v="457.0"/>
        <n v="619.0"/>
        <n v="358.0"/>
        <n v="130.0"/>
        <n v="864.0"/>
        <n v="536.0"/>
        <n v="90.0"/>
        <n v="630.0"/>
        <n v="453.0"/>
        <n v="559.0"/>
        <n v="745.0"/>
        <n v="612.0"/>
        <n v="933.0"/>
        <n v="865.0"/>
        <n v="862.0"/>
        <n v="550.0"/>
        <n v="548.0"/>
        <n v="611.0"/>
        <n v="972.0"/>
        <n v="622.0"/>
        <n v="138.0"/>
        <n v="128.0"/>
        <n v="764.0"/>
        <n v="538.0"/>
        <n v="539.0"/>
        <n v="628.0"/>
        <n v="623.0"/>
        <n v="546.0"/>
        <n v="277.0"/>
        <n v="861.0"/>
        <n v="547.0"/>
        <n v="860.0"/>
        <n v="84.0"/>
        <n v="541.0"/>
        <n v="542.0"/>
        <n v="268.0"/>
        <n v="540.0"/>
        <n v="131.0"/>
        <n v="139.0"/>
        <n v="129.0"/>
        <n v="609.0"/>
        <n v="545.0"/>
        <n v="859.0"/>
        <n v="544.0"/>
        <n v="947.0"/>
        <n v="610.0"/>
        <n v="364.0"/>
        <n v="621.0"/>
        <n v="543.0"/>
        <n v="549.0"/>
        <n v="368.0"/>
        <n v="653.0"/>
        <n v="626.0"/>
        <n v="582.0"/>
        <n v="625.0"/>
        <n v="971.0"/>
        <n v="741.0"/>
        <n v="758.0"/>
        <n v="754.0"/>
        <n v="762.0"/>
        <n v="759.0"/>
        <n v="450.0"/>
        <n v="822.0"/>
        <n v="853.0"/>
        <n v="136.0"/>
        <n v="143.0"/>
        <n v="672.0"/>
        <n v="673.0"/>
        <n v="674.0"/>
        <n v="675.0"/>
        <n v="676.0"/>
        <n v="677.0"/>
        <n v="680.0"/>
        <n v="681.0"/>
        <n v="682.0"/>
        <n v="683.0"/>
        <n v="707.0"/>
        <n v="721.0"/>
        <n v="725.0"/>
        <n v="729.0"/>
        <n v="732.0"/>
        <n v="733.0"/>
        <n v="750.0"/>
        <n v="752.0"/>
        <n v="665.0"/>
        <n v="770.0"/>
        <n v="834.0"/>
        <n v="873.0"/>
        <n v="788.0"/>
        <n v="787.0"/>
        <n v="798.0"/>
        <n v="814.0"/>
        <n v="784.0"/>
        <n v="785.0"/>
        <n v="782.0"/>
        <n v="2.0"/>
        <n v="831.0"/>
        <n v="833.0"/>
        <n v="840.0"/>
        <n v="775.0"/>
        <n v="912.0"/>
        <n v="922.0"/>
        <n v="789.0"/>
        <n v="929.0"/>
        <n v="867.0"/>
        <n v="855.0"/>
        <n v="895.0"/>
        <n v="823.0"/>
        <n v="921.0"/>
        <n v="791.0"/>
        <n v="792.0"/>
        <n v="793.0"/>
        <n v="794.0"/>
        <n v="795.0"/>
        <n v="806.0"/>
        <n v="808.0"/>
        <n v="809.0"/>
        <n v="821.0"/>
        <n v="829.0"/>
        <n v="830.0"/>
        <n v="839.0"/>
        <n v="842.0"/>
        <n v="849.0"/>
        <n v="850.0"/>
        <n v="852.0"/>
        <n v="854.0"/>
        <n v="856.0"/>
        <n v="857.0"/>
        <n v="858.0"/>
        <n v="869.0"/>
        <n v="870.0"/>
        <n v="871.0"/>
        <n v="872.0"/>
        <n v="877.0"/>
        <n v="879.0"/>
        <n v="886.0"/>
        <n v="887.0"/>
        <n v="888.0"/>
        <n v="891.0"/>
        <n v="896.0"/>
        <n v="900.0"/>
        <n v="911.0"/>
        <n v="914.0"/>
        <n v="916.0"/>
        <n v="702.0"/>
        <n v="730.0"/>
        <n v="744.0"/>
        <n v="638.0"/>
        <n v="644.0"/>
        <n v="645.0"/>
        <n v="646.0"/>
        <n v="647.0"/>
        <n v="648.0"/>
        <n v="649.0"/>
        <n v="175.0"/>
        <n v="354.0"/>
        <n v="349.0"/>
        <n v="335.0"/>
        <n v="340.0"/>
        <n v="353.0"/>
        <n v="332.0"/>
        <n v="167.0"/>
        <n v="168.0"/>
        <n v="169.0"/>
        <n v="170.0"/>
        <n v="171.0"/>
        <n v="172.0"/>
        <n v="173.0"/>
        <n v="174.0"/>
        <n v="176.0"/>
        <n v="177.0"/>
        <n v="178.0"/>
        <n v="179.0"/>
        <n v="180.0"/>
        <n v="181.0"/>
        <n v="182.0"/>
        <n v="183.0"/>
        <n v="184.0"/>
        <n v="185.0"/>
        <n v="186.0"/>
        <n v="187.0"/>
        <n v="188.0"/>
        <n v="189.0"/>
        <n v="190.0"/>
        <n v="191.0"/>
        <n v="192.0"/>
        <n v="193.0"/>
        <n v="194.0"/>
        <n v="195.0"/>
        <n v="196.0"/>
        <n v="197.0"/>
        <n v="199.0"/>
        <n v="201.0"/>
        <n v="205.0"/>
        <n v="206.0"/>
        <n v="207.0"/>
        <n v="208.0"/>
        <n v="210.0"/>
        <n v="211.0"/>
        <n v="212.0"/>
        <n v="213.0"/>
        <n v="214.0"/>
        <n v="215.0"/>
        <n v="216.0"/>
        <n v="217.0"/>
        <n v="218.0"/>
        <n v="219.0"/>
        <n v="220.0"/>
        <n v="221.0"/>
        <n v="222.0"/>
        <n v="223.0"/>
        <n v="224.0"/>
        <n v="225.0"/>
        <n v="226.0"/>
        <n v="227.0"/>
        <n v="229.0"/>
        <n v="230.0"/>
        <n v="231.0"/>
        <n v="232.0"/>
        <n v="233.0"/>
        <n v="235.0"/>
        <n v="236.0"/>
        <n v="237.0"/>
        <n v="238.0"/>
        <n v="239.0"/>
        <n v="240.0"/>
        <n v="241.0"/>
        <n v="242.0"/>
        <n v="243.0"/>
        <n v="244.0"/>
        <n v="245.0"/>
        <n v="246.0"/>
        <n v="247.0"/>
        <n v="248.0"/>
        <n v="249.0"/>
        <n v="250.0"/>
        <n v="252.0"/>
        <n v="253.0"/>
        <n v="254.0"/>
        <n v="255.0"/>
        <n v="256.0"/>
        <n v="257.0"/>
        <n v="258.0"/>
        <n v="259.0"/>
        <n v="260.0"/>
        <n v="261.0"/>
        <n v="262.0"/>
        <n v="263.0"/>
        <n v="264.0"/>
        <n v="265.0"/>
        <n v="266.0"/>
        <n v="267.0"/>
        <n v="270.0"/>
        <n v="271.0"/>
        <n v="272.0"/>
        <n v="273.0"/>
        <n v="274.0"/>
        <n v="276.0"/>
        <n v="278.0"/>
        <n v="280.0"/>
        <n v="281.0"/>
        <n v="285.0"/>
        <n v="286.0"/>
        <n v="287.0"/>
        <n v="288.0"/>
        <n v="289.0"/>
        <n v="290.0"/>
        <n v="291.0"/>
        <n v="292.0"/>
        <n v="293.0"/>
        <n v="294.0"/>
        <n v="295.0"/>
        <n v="296.0"/>
        <n v="297.0"/>
        <n v="298.0"/>
        <n v="299.0"/>
        <n v="300.0"/>
        <n v="301.0"/>
        <n v="302.0"/>
        <n v="303.0"/>
        <n v="304.0"/>
        <n v="305.0"/>
        <n v="306.0"/>
        <n v="307.0"/>
        <n v="308.0"/>
        <n v="309.0"/>
        <n v="310.0"/>
        <n v="311.0"/>
        <n v="313.0"/>
        <n v="314.0"/>
        <n v="315.0"/>
        <n v="317.0"/>
        <n v="318.0"/>
        <n v="319.0"/>
        <n v="322.0"/>
        <n v="323.0"/>
        <n v="324.0"/>
        <n v="325.0"/>
        <n v="326.0"/>
        <n v="327.0"/>
        <n v="329.0"/>
        <n v="330.0"/>
        <n v="331.0"/>
        <n v="333.0"/>
        <n v="336.0"/>
        <n v="337.0"/>
        <n v="338.0"/>
        <n v="339.0"/>
        <n v="341.0"/>
        <n v="342.0"/>
        <n v="343.0"/>
        <n v="344.0"/>
        <n v="345.0"/>
        <n v="346.0"/>
        <n v="347.0"/>
        <n v="348.0"/>
        <n v="350.0"/>
        <n v="351.0"/>
        <n v="352.0"/>
        <n v="355.0"/>
        <n v="356.0"/>
        <n v="359.0"/>
        <n v="366.0"/>
        <n v="369.0"/>
        <n v="370.0"/>
        <n v="371.0"/>
        <n v="372.0"/>
        <n v="380.0"/>
        <n v="381.0"/>
        <n v="382.0"/>
        <n v="383.0"/>
        <n v="384.0"/>
        <n v="385.0"/>
        <n v="387.0"/>
        <n v="388.0"/>
        <n v="389.0"/>
        <n v="390.0"/>
        <n v="391.0"/>
        <n v="392.0"/>
        <n v="394.0"/>
        <n v="398.0"/>
        <n v="399.0"/>
        <n v="400.0"/>
        <n v="401.0"/>
        <n v="402.0"/>
        <n v="403.0"/>
        <n v="406.0"/>
        <n v="407.0"/>
        <n v="408.0"/>
        <n v="411.0"/>
        <n v="412.0"/>
        <n v="413.0"/>
        <n v="414.0"/>
        <n v="417.0"/>
        <n v="418.0"/>
        <n v="419.0"/>
        <n v="420.0"/>
        <n v="421.0"/>
        <n v="422.0"/>
        <n v="423.0"/>
        <n v="424.0"/>
        <n v="425.0"/>
        <n v="426.0"/>
        <n v="427.0"/>
        <n v="428.0"/>
        <n v="429.0"/>
        <n v="430.0"/>
        <n v="431.0"/>
        <n v="432.0"/>
        <n v="433.0"/>
        <n v="434.0"/>
        <n v="435.0"/>
        <n v="436.0"/>
        <n v="437.0"/>
        <n v="438.0"/>
        <n v="440.0"/>
        <n v="442.0"/>
        <n v="444.0"/>
        <n v="448.0"/>
        <n v="455.0"/>
        <n v="464.0"/>
        <n v="465.0"/>
        <n v="468.0"/>
        <n v="365.0"/>
        <n v="166.0"/>
        <n v="279.0"/>
        <n v="836.0"/>
        <n v="92.0"/>
        <n v="757.0"/>
        <n v="694.0"/>
        <n v="717.0"/>
        <n v="700.0"/>
        <n v="684.0"/>
        <n v="685.0"/>
        <n v="689.0"/>
        <n v="688.0"/>
        <n v="693.0"/>
        <n v="695.0"/>
        <n v="696.0"/>
        <n v="701.0"/>
        <n v="703.0"/>
        <n v="704.0"/>
        <n v="705.0"/>
        <n v="711.0"/>
        <n v="713.0"/>
        <n v="714.0"/>
        <n v="718.0"/>
        <n v="726.0"/>
        <n v="727.0"/>
        <n v="728.0"/>
        <n v="731.0"/>
        <n v="735.0"/>
        <n v="760.0"/>
        <n v="712.0"/>
        <n v="746.0"/>
        <n v="751.0"/>
        <n v="755.0"/>
        <n v="776.0"/>
        <n v="771.0"/>
        <n v="772.0"/>
        <n v="778.0"/>
        <n v="140.0"/>
        <n v="141.0"/>
        <n v="142.0"/>
        <n v="144.0"/>
        <n v="145.0"/>
        <n v="146.0"/>
        <n v="147.0"/>
        <n v="148.0"/>
        <n v="150.0"/>
        <n v="151.0"/>
        <n v="152.0"/>
        <n v="769.0"/>
        <n v="801.0"/>
        <n v="203.0"/>
        <n v="204.0"/>
        <n v="469.0"/>
        <n v="470.0"/>
        <n v="473.0"/>
        <n v="474.0"/>
        <n v="475.0"/>
        <n v="476.0"/>
        <n v="480.0"/>
        <n v="482.0"/>
        <n v="485.0"/>
        <n v="486.0"/>
        <n v="487.0"/>
        <n v="488.0"/>
        <n v="490.0"/>
        <n v="491.0"/>
        <n v="492.0"/>
        <n v="493.0"/>
        <n v="495.0"/>
        <n v="496.0"/>
        <n v="497.0"/>
        <n v="498.0"/>
        <n v="499.0"/>
        <n v="500.0"/>
        <n v="501.0"/>
        <n v="509.0"/>
        <n v="511.0"/>
        <n v="552.0"/>
        <n v="554.0"/>
        <n v="555.0"/>
        <n v="577.0"/>
        <n v="579.0"/>
        <n v="583.0"/>
        <n v="585.0"/>
        <n v="586.0"/>
        <n v="588.0"/>
        <n v="596.0"/>
        <n v="597.0"/>
        <n v="600.0"/>
        <n v="601.0"/>
        <n v="602.0"/>
        <n v="606.0"/>
        <n v="607.0"/>
        <n v="613.0"/>
        <n v="614.0"/>
        <n v="615.0"/>
        <n v="616.0"/>
        <n v="617.0"/>
        <n v="618.0"/>
        <n v="634.0"/>
        <n v="640.0"/>
        <n v="641.0"/>
        <n v="642.0"/>
        <n v="643.0"/>
        <n v="650.0"/>
        <n v="651.0"/>
        <n v="768.0"/>
        <n v="777.0"/>
        <n v="780.0"/>
        <n v="800.0"/>
        <n v="802.0"/>
        <n v="803.0"/>
        <n v="804.0"/>
        <n v="805.0"/>
        <n v="807.0"/>
        <n v="810.0"/>
        <n v="811.0"/>
        <n v="812.0"/>
        <n v="813.0"/>
        <n v="816.0"/>
        <n v="817.0"/>
        <n v="818.0"/>
        <n v="819.0"/>
        <n v="820.0"/>
        <n v="824.0"/>
        <n v="825.0"/>
        <n v="827.0"/>
        <n v="828.0"/>
        <n v="835.0"/>
        <n v="847.0"/>
        <n v="851.0"/>
        <n v="866.0"/>
        <n v="874.0"/>
        <n v="876.0"/>
        <n v="878.0"/>
        <n v="894.0"/>
        <n v="938.0"/>
        <n v="445.0"/>
        <n v="459.0"/>
        <n v="935.0"/>
        <n v="937.0"/>
        <n v="940.0"/>
        <n v="941.0"/>
        <n v="945.0"/>
        <n v="950.0"/>
        <n v="951.0"/>
        <n v="957.0"/>
        <n v="962.0"/>
        <n v="968.0"/>
        <n v="969.0"/>
        <n v="970.0"/>
        <n v="973.0"/>
        <n v="975.0"/>
        <n v="977.0"/>
        <n v="979.0"/>
        <n v="981.0"/>
        <n v="985.0"/>
        <n v="990.0"/>
        <n v="994.0"/>
      </sharedItems>
    </cacheField>
    <cacheField name="Código" numFmtId="0">
      <sharedItems>
        <s v="PRD20182"/>
        <s v="TJG201940"/>
        <s v="PRS20172"/>
        <s v="PRD20172"/>
        <s v="PRD201409"/>
        <s v="PRD201406"/>
        <s v="PJB201101"/>
        <s v="PEH201824"/>
        <s v="PRD20181"/>
        <s v="PRD201410"/>
        <s v="PEH201823"/>
        <s v="PRD201408"/>
        <s v="PTA201001"/>
        <s v="PRD20201"/>
        <s v="PJV201607"/>
        <s v="PRD20191"/>
        <s v="PRD201412"/>
        <s v="PRD201404"/>
        <s v="PRD201407"/>
        <s v="PEH201826"/>
        <s v="PJV201608"/>
        <s v="PMO201304"/>
        <s v="PRD201413"/>
        <s v="COE200901/PEM200901"/>
        <s v="PRD201419"/>
        <s v="PJB201603"/>
        <s v="PAS201603"/>
        <s v="PEH201804"/>
        <s v="PEH201803"/>
        <s v="PRD20192"/>
        <s v="PEH201825"/>
        <s v="PJB201601"/>
        <s v="PMD201801"/>
        <s v="PEH201829"/>
        <s v="PRD201401"/>
        <s v="PJB201602"/>
        <s v="PNA201001"/>
        <s v="PED20211"/>
        <s v="PEH201809"/>
        <s v="PEH201805"/>
        <s v="PRD201414"/>
        <s v="PEH201808"/>
        <s v="PEH201807"/>
        <s v="PAS201618"/>
        <s v="PEH201814"/>
        <s v="PRD201418"/>
        <s v="PEH201603"/>
        <s v="PMD20191"/>
        <s v="POE201301/PMO201306"/>
        <s v="PEH201828"/>
        <s v="PAS201613"/>
        <s v="POE201305"/>
        <s v="PMO201307"/>
        <s v="PAS201619"/>
        <s v="PAS201712"/>
        <s v="PNA201203"/>
        <s v="PEH201810"/>
        <s v="PAS201629"/>
        <s v="PEH201811"/>
        <s v="PEH201812"/>
        <s v="PEH201813"/>
        <s v="PNA201204"/>
        <s v="PEH201817"/>
        <s v="PEH201822"/>
        <s v="PEH201821"/>
        <s v="PJB201301"/>
        <s v="PEH20201"/>
        <s v="PDC201602"/>
        <s v="PAS201617"/>
        <s v="PEH201819"/>
        <s v="PAS201713"/>
        <s v="PJP201013"/>
        <s v="PAS201612"/>
        <s v="PNA201205"/>
        <s v="PEH201702"/>
        <s v="PEH201801"/>
        <s v="PTA200901"/>
        <s v="PEM201001"/>
        <s v="POE201202"/>
        <s v="PJP201006"/>
        <s v="POE201203"/>
        <s v="PEM200902"/>
        <s v="PRD201411"/>
        <s v="COE201342/PMO201303"/>
        <s v="PEH201701"/>
        <s v="PAS201628"/>
        <s v="PAS201609"/>
        <s v="PMO201301"/>
        <s v="PMO201302"/>
        <s v="PMO201305"/>
        <s v="PAS201502"/>
        <s v="PJV201606"/>
        <s v="POE201401/PRD201416"/>
        <s v="PRD201415"/>
        <s v="COE201801.6/CRS201801"/>
        <s v="CSS20181"/>
        <s v="CSS20183"/>
        <s v="CSS20182"/>
        <s v="CNS20231"/>
        <s v="COP20231"/>
        <s v="CNS20216"/>
        <s v="CNS202110"/>
        <s v="CAS201402; CES201402"/>
        <s v="CGS200706"/>
        <s v="CJG20231"/>
        <s v="CNS20201"/>
        <s v="CNS20196"/>
        <s v="CNS20202"/>
        <s v="CNS20229"/>
        <s v="CGS200809"/>
        <s v="CNS202210"/>
        <s v="CES201401; CAS201401"/>
        <s v="CLP201503; CPP201503"/>
        <s v="CLP201504; CPP201504"/>
        <s v="CLP201501; CPP201501"/>
        <s v="CLP201502; CPP201502"/>
        <s v="CRAS200602"/>
        <s v="COE201003.2/CNA201003"/>
        <s v="CRAS200902"/>
        <s v="CRS201802"/>
        <s v="COE200908/CRAS200901"/>
        <s v="CRAS200903"/>
        <s v="CRS201601"/>
        <s v="CRS201701"/>
        <s v="CSS20231"/>
        <s v="CSS20224"/>
        <s v="CRAS201002"/>
        <s v="CRS201803"/>
        <s v="C20201"/>
        <s v="CRS201805"/>
        <s v="COE200702.2/CRAS200703"/>
        <s v="CRS201804"/>
        <s v="CNJ20201"/>
        <s v="COE201003.5/CWS201001"/>
        <s v="COE201003.8/CWS201002"/>
        <s v="CAS201703"/>
        <s v="CRS201605"/>
        <s v="CRS201604"/>
        <s v="CRS201807"/>
        <s v="CAS201101"/>
        <s v="CGS200811"/>
        <s v="CES201702"/>
        <s v="CFS201704"/>
        <s v="CRS201806"/>
        <s v="CSS201901"/>
        <s v="CGS200812"/>
        <s v="CNS20213"/>
        <s v="CNS20215"/>
        <s v="CNS20228"/>
        <s v="CNS20212"/>
        <s v="CNS20214"/>
        <s v="CNS20195"/>
        <s v="CSS201605"/>
        <s v="CNS202211"/>
        <s v="CNS20233"/>
        <s v="CIC201002"/>
        <s v="CNS20193"/>
        <s v="CNS20194"/>
        <s v="COE201542.5"/>
        <s v="COE201502"/>
        <s v="CRAS200601"/>
        <s v="COE201402"/>
        <s v="CAS201615"/>
        <s v="COE201542.4"/>
        <s v="COE201405"/>
        <s v="COE201705/CAS201705"/>
        <s v="COE200702.1/CGS200703"/>
        <s v="CIC201003"/>
        <s v="COE201704/CAS201704"/>
        <s v="CGS200704"/>
        <s v="CAS201610"/>
        <s v="TTX20211"/>
        <s v="CAS201609"/>
        <s v="CAS201608"/>
        <s v="CAS201611"/>
        <s v="CAS201607"/>
        <s v="CAS201612"/>
        <s v="CAS201613"/>
        <s v="CAS201606"/>
        <s v="CAS201605"/>
        <s v="CAS201604"/>
        <s v="CAS201618"/>
        <s v="CAS201617"/>
        <s v="CAS201619"/>
        <s v="CAS201616"/>
        <s v="CAS201620"/>
        <s v="CAS201614"/>
        <s v="CNS20192"/>
        <s v="CNS20191"/>
        <s v="CWH20192"/>
        <s v="CRP201001"/>
        <s v="CWH20196"/>
        <s v="COE200907.1/CJV200901"/>
        <s v="CJV201001"/>
        <s v="CWH20191"/>
        <s v="CEH200702"/>
        <s v="CWH20194"/>
        <s v="COE201003.3/CRP201002"/>
        <s v="CBM20231"/>
        <s v="CTW201602"/>
        <s v="COE200903/CJC200901"/>
        <s v="CJC200602"/>
        <s v="CNA201007"/>
        <s v="COE201003.6/CJV201003"/>
        <s v="CJV201501"/>
        <s v="PAS201023"/>
        <s v="PAS201022"/>
        <s v="PAS201018"/>
        <s v="PAS201017"/>
        <s v="TVS20181"/>
        <s v="TVS20182"/>
        <s v="TJG201938"/>
        <s v="TJG201937"/>
        <s v="TJG201939"/>
        <s v="TJG201941"/>
        <s v="THI20211"/>
        <s v="TJG201943"/>
        <s v="TJG201942"/>
        <s v="TJG201960"/>
        <s v="TJG201944"/>
        <s v="TJG201961"/>
        <s v="TJG201963"/>
        <s v="PJV201602"/>
        <s v="TJG201962"/>
        <s v="TJG201946"/>
        <s v="TJG201945"/>
        <s v="TTO20231"/>
        <s v="TJG201964"/>
        <s v="TJG201951"/>
        <s v="TJG201966"/>
        <s v="TJG201947"/>
        <s v="TJG201956"/>
        <s v="TJG201965"/>
        <s v="TJG201967"/>
        <s v="TJG201948"/>
        <s v="TJG201968"/>
        <s v="TJG201959"/>
        <s v="TJG201977"/>
        <s v="THC20201"/>
        <s v="TXX20211"/>
        <s v="PAS201006"/>
        <s v="TJG201976"/>
        <s v="TOE201704.2/TGV201703"/>
        <s v="PAS201008"/>
        <s v="PAS201009"/>
        <s v="TJG201949"/>
        <s v="TJG201975"/>
        <s v="TOE201701/TJO201707"/>
        <s v="TJG201957"/>
        <s v="PAS201010"/>
        <s v="TOE201503/TGS201603"/>
        <s v="TOE201601/TGS201604"/>
        <s v="TVS201601"/>
        <s v="TJG201969"/>
        <s v="TTO20213"/>
        <s v="TJG201952"/>
        <s v="TOE201703/TGS201703"/>
        <s v="TMO201701"/>
        <s v="TOE201604/TJO201601"/>
        <s v="TJG201974"/>
        <s v="TJG201950"/>
        <s v="TOE201702/TJO201704"/>
        <s v="TTO20223"/>
        <s v="TJG201958"/>
        <s v="TTO20227"/>
        <s v="TJG201973"/>
        <s v="TJG201972"/>
        <s v="TTO20228"/>
        <s v="TJG201955"/>
        <s v="TGV201701"/>
        <s v="TJG201970"/>
        <s v="TJG201971"/>
        <s v="TJG201953"/>
        <s v="TOD200101"/>
        <s v="TTO20222"/>
        <s v="TGS201601"/>
        <s v="PAS201028"/>
        <s v="TOE201801.2/TVS201801"/>
        <s v="TJG201954"/>
        <s v="TTO20212"/>
        <s v="TAS201708"/>
        <s v="PAS201029"/>
        <s v="TGS201607"/>
        <s v="TOD201701"/>
        <s v="TOE201601"/>
        <s v="TGS201602"/>
        <s v="TRD201701"/>
        <s v="CFS201504"/>
        <s v="CFS201503"/>
        <s v="PJV201603"/>
        <s v="PJV201604"/>
        <s v="COE201335.1"/>
        <s v="COE201335.2"/>
        <s v="CPP201401"/>
        <s v="COE201335.5"/>
        <s v="COE201101/CNA201101"/>
        <s v="COE201335.6"/>
        <s v="CFD20183"/>
        <s v="TJG201921"/>
        <s v="TJG201920"/>
        <s v="TJG201922"/>
        <s v="TJG201925"/>
        <s v="TJG201924"/>
        <s v="TJG201923"/>
        <s v="TES201701"/>
        <s v="CFD20182"/>
        <s v="COE201335.4"/>
        <s v="COE201335.3"/>
        <s v="CFD20181"/>
        <s v="CNA201401"/>
        <s v="CSG201401"/>
        <s v="TNA201501"/>
        <s v="CFD201701"/>
        <s v="TJG201915"/>
        <s v="COE201406"/>
        <s v="TJG201935"/>
        <s v="COE201401"/>
        <s v="CFD201804"/>
        <s v="COE201707/CFD201801"/>
        <s v="CFD20184"/>
        <s v="TAS20191"/>
        <s v="TAS20192"/>
        <s v="TJG20198"/>
        <s v="TAS201810"/>
        <s v="TJG201919"/>
        <s v="CFD20191"/>
        <s v="CFD20186"/>
        <s v="CFD20192"/>
        <s v="CFD20185"/>
        <s v="TJG201934"/>
        <s v="TAS20193"/>
        <s v="TAS201715"/>
        <s v="TAS20194"/>
        <s v="TAS201919"/>
        <s v="TAS20189"/>
        <s v="TAS201918"/>
        <s v="TAS20186"/>
        <s v="TJG201917"/>
        <s v="TJG201918"/>
        <s v="TOG20181&#10;TES20181"/>
        <s v="TJG20197"/>
        <s v="TAS20195"/>
        <s v="TNA201502"/>
        <s v="TJG201933"/>
        <s v="TAS20187"/>
        <s v="TAS20196"/>
        <s v="TAS201704"/>
        <s v="TAS201912"/>
        <s v="TES201702"/>
        <s v="TAS201911"/>
        <s v="TAS201714"/>
        <s v="TAS20185"/>
        <s v="TAS201914"/>
        <s v="TJG201910"/>
        <s v="TJG201913"/>
        <s v="TAS20188"/>
        <s v="TJG20191"/>
        <s v="TAS20184"/>
        <s v="TAS201910"/>
        <s v="TJG201916"/>
        <s v="TJG201926"/>
        <s v="TJG20199"/>
        <s v="TJG20192"/>
        <s v="TAS201920"/>
        <s v="TAS20182"/>
        <s v="TJG201930"/>
        <s v="TJG20195"/>
        <s v="TJG201936"/>
        <s v="TJG201927"/>
        <s v="TAS201915"/>
        <s v="TJG201914"/>
        <s v="TAS201913"/>
        <s v="TJG201931"/>
        <s v="TJG201928"/>
        <s v="TJG201911"/>
        <s v="TJG201929"/>
        <s v="TJG201912"/>
        <s v="TAS20198"/>
        <s v="TAS20181"/>
        <s v="TJG20194"/>
        <s v="TAS201916"/>
        <s v="TAS201702"/>
        <s v="TAS201917"/>
        <s v="TJG20196"/>
        <s v="TVS201602"/>
        <s v="TNA201503"/>
        <s v="COE201708/CFD201803"/>
        <s v="TAS20199"/>
        <s v="TJG20193"/>
        <s v="TAS20197&#10;TES20191"/>
        <s v="TAS20183"/>
        <s v="TJG201932"/>
        <s v="COE201710/CFD201802"/>
        <s v="CFD20187"/>
        <s v="CSES200901"/>
        <s v="CJG201402"/>
        <s v="COE201335.22"/>
        <s v="COE201335.21"/>
        <s v="COE201335.20"/>
        <s v="CEV200601"/>
        <s v="COE201335.16"/>
        <s v="CNA201501"/>
        <s v="COE201335.15"/>
        <s v="COE201335.13"/>
        <s v="COE201335.14"/>
        <s v="CFS201501"/>
        <s v="CEA201401; CJJ201401"/>
        <s v="COE201620"/>
        <s v="COE201335.7"/>
        <s v="COE201335.9"/>
        <s v="COE201335.8"/>
        <s v="COE201335.10"/>
        <s v="COE201335.11"/>
        <s v="COE201335.12"/>
        <s v="COE201335.19"/>
        <s v="COE201335.18"/>
        <s v="COE201335.17"/>
        <s v="CTS201401"/>
        <s v="CEV200613"/>
        <s v="CEV200612"/>
        <s v="COE201210/CWS201201"/>
        <s v="COE201403"/>
        <s v="CWA201401"/>
        <s v="CWA201402"/>
        <s v="COE201106/CWS201101"/>
        <s v="CFS201603"/>
        <s v="CFS201611"/>
        <s v="COE201003.1/CWS201006"/>
        <s v="COE201335.23"/>
        <s v="COE201318"/>
        <s v="CFS201711"/>
        <s v="CFS201514"/>
        <s v="CFS201608"/>
        <s v="CFS201607"/>
        <s v="CWS200711"/>
        <s v="CMO200801"/>
        <s v="CFS201801"/>
        <s v="CWS200903"/>
        <s v="COE201207"/>
        <s v="COE201803/CFS201801"/>
        <s v="COE201335.41"/>
        <s v="CFS201517"/>
        <s v="CFS20182"/>
        <s v="COE201335.27"/>
        <s v="CFS201519"/>
        <s v="CFS201510"/>
        <s v="CWS200805"/>
        <s v="COE201335.25"/>
        <s v="CWS201102"/>
        <s v="CWS200801"/>
        <s v="CWS201005"/>
        <s v="CFS201509"/>
        <s v="CWS200904"/>
        <s v="CWS20191"/>
        <s v="CFS201712"/>
        <s v="COE201335.26"/>
        <s v="CWH20193"/>
        <s v="CFS201520"/>
        <s v="COE201002/CWS201003"/>
        <s v="CFS201401"/>
        <s v="CFS201610"/>
        <s v="COE201512/CFS201508"/>
        <s v="CCJ20191"/>
        <s v="CFS201713"/>
        <s v="CFS201710"/>
        <s v="COE201335.40"/>
        <s v="COE201335.38"/>
        <s v="CFS201507"/>
        <s v="MJP2022"/>
        <s v="CFS201512"/>
        <s v="COE199401"/>
        <s v="CWS20181"/>
        <s v="COE201702/CFS201706"/>
        <s v="COE201335.28"/>
        <s v="COE201335.29"/>
        <s v="CFS201518"/>
        <s v="CFS201513"/>
        <s v="COE201335.36"/>
        <s v="CWS200713"/>
        <s v="CFS201709"/>
        <s v="COE201335.37"/>
        <s v="CFS201708"/>
        <s v="CWS20192"/>
        <s v="COE201335.31"/>
        <s v="COE201335.32"/>
        <s v="CNP200713"/>
        <s v="COE201335.30"/>
        <s v="CWS20183"/>
        <s v="COE199402"/>
        <s v="CWS20182"/>
        <s v="CFS201505"/>
        <s v="COE201335.35"/>
        <s v="CFS201715"/>
        <s v="COE201335.34"/>
        <s v="CFS20201"/>
        <s v="CFS201506"/>
        <s v="CWS200901"/>
        <s v="CFS201511"/>
        <s v="COE201335.33"/>
        <s v="COE201335.39"/>
        <s v="CWS200902"/>
        <s v="CFS201604"/>
        <s v="CFS201516"/>
        <s v="COE201404"/>
        <s v="CFS201515"/>
        <s v="MSV20222"/>
        <s v="COE201623/CFS201604"/>
        <s v="CSS201603"/>
        <s v="CSS201602"/>
        <s v="CRS201606"/>
        <s v="CSS201604"/>
        <s v="CGS201001"/>
        <s v="TDP201704"/>
        <s v="CWC201702"/>
        <s v="TRC198701"/>
        <s v="TJC199501"/>
        <s v="PAS201616"/>
        <s v="PAS201614"/>
        <s v="PAS201615"/>
        <s v="PEH201606"/>
        <s v="PEH201607"/>
        <s v="PEH201608"/>
        <s v="PJP201601"/>
        <s v="PJP201602"/>
        <s v="PRD201601"/>
        <s v="PRD201602"/>
        <s v="PDC201601"/>
        <s v="PJV201601"/>
        <s v="PJV201609"/>
        <s v="PNA201601"/>
        <s v="PMD201602"/>
        <s v="PMD201603"/>
        <s v="CSS201601"/>
        <s v="CRS201603"/>
        <s v="CFS201602"/>
        <s v="TGS201701"/>
        <s v="CES201705"/>
        <s v="TAS201711"/>
        <s v="PAS201703"/>
        <s v="TJO201706"/>
        <s v="PEH201703"/>
        <s v="TAS201707"/>
        <s v="TEP201702"/>
        <s v="TJG201701"/>
        <s v="TJO201705"/>
        <s v="PEH20181"/>
        <s v="CES201701"/>
        <s v="CES201703"/>
        <s v="CES201704"/>
        <s v="TRS201701"/>
        <s v="PEH201816"/>
        <s v="TVS201802"/>
        <s v="PAS201707"/>
        <s v="CWC201801"/>
        <s v="TGS201705"/>
        <s v="PAS201709"/>
        <s v="CRS201808"/>
        <s v="TJAC201702"/>
        <s v="TVS201803"/>
        <s v="PAS201708"/>
        <s v="PAS201704"/>
        <s v="PAS201705"/>
        <s v="PAS201706"/>
        <s v="PAA201701"/>
        <s v="PMO201701"/>
        <s v="TAS201706"/>
        <s v="TJAC201701"/>
        <s v="TDP201703"/>
        <s v="TEP201701"/>
        <s v="CAS201706"/>
        <s v="CAS201707"/>
        <s v="TAS201703"/>
        <s v="TAS201705"/>
        <s v="CFS201707"/>
        <s v="CFS201701"/>
        <s v="TEUP201702"/>
        <s v="PAS201710"/>
        <s v="PAS201711"/>
        <s v="CNA201702"/>
        <s v="TJAC201703"/>
        <s v="TGV201702"/>
        <s v="CNA201701"/>
        <s v="PJB201701"/>
        <s v="TAS201713"/>
        <s v="PMD201701"/>
        <s v="PAS201801"/>
        <s v="PEH201802"/>
        <s v="PEH201827"/>
        <s v="PAS201802"/>
        <s v="PAS201803"/>
        <s v="PEH201806"/>
        <s v="PEH201815"/>
        <s v="PEH201818"/>
        <s v="PEH201820"/>
        <s v="CFS201605"/>
        <s v="CFS201606"/>
        <s v="CFS201609"/>
        <s v="CFS201521"/>
        <s v="T2016RC01"/>
        <s v="TRS201601"/>
        <s v="CTW201601"/>
        <s v="CFD201601"/>
        <s v="CFD201602"/>
        <s v="CFD201603"/>
        <s v="TRC200601"/>
        <s v="COE200804.1/CSW200803"/>
        <s v="CRAS200813"/>
        <s v="CEH200803"/>
        <s v="COE200804.5/CCS200801"/>
        <s v="COE200804.4/CSW200808"/>
        <s v="CFD200801"/>
        <s v="CNA200301"/>
        <s v="CEV200602"/>
        <s v="CEV200603"/>
        <s v="CEV200604"/>
        <s v="CEV200605"/>
        <s v="CEV200606"/>
        <s v="CEV200607"/>
        <s v="CEV200608"/>
        <s v="CGD200601"/>
        <s v="CJC200601"/>
        <s v="CNA200606"/>
        <s v="CNA200608"/>
        <s v="CNA200609"/>
        <s v="CNA200612"/>
        <s v="CNA200613"/>
        <s v="CNA200614"/>
        <s v="CNA200615"/>
        <s v="CNA200645"/>
        <s v="CNA200647"/>
        <s v="CNA200604"/>
        <s v="CNA200611"/>
        <s v="CNA200619"/>
        <s v="CNA200620"/>
        <s v="CNA200640"/>
        <s v="CNA200641"/>
        <s v="CNA200642"/>
        <s v="CNA200623"/>
        <s v="CNA200636"/>
        <s v="CNA200622"/>
        <s v="CWS200601"/>
        <s v="CWS200602"/>
        <s v="CEV200609"/>
        <s v="CEV200610"/>
        <s v="CEV200611"/>
        <s v="CNA200633"/>
        <s v="COE200601.3/CEH200601"/>
        <s v="CNA200601"/>
        <s v="CNA200616"/>
        <s v="CNA200624"/>
        <s v="CNA200625"/>
        <s v="CNA200626"/>
        <s v="CNA200627"/>
        <s v="CNA200628"/>
        <s v="CNA200629"/>
        <s v="CNA200630"/>
        <s v="CNA200631"/>
        <s v="CNA200632"/>
        <s v="CNA200634"/>
        <s v="CNA200602"/>
        <s v="CNA200603"/>
        <s v="CNA200605"/>
        <s v="CNA200607"/>
        <s v="CNA200646"/>
        <s v="CNA200644"/>
        <s v="CNA200635"/>
        <s v="CNA200618"/>
        <s v="CNA200621"/>
        <s v="CNA200638"/>
        <s v="CNA200639"/>
        <s v="CNA200617"/>
        <s v="COE200601.5/CNA200637"/>
        <s v="CNP200701"/>
        <s v="CNP200702"/>
        <s v="CNP200703"/>
        <s v="CNP200704"/>
        <s v="CWS200701"/>
        <s v="CWS200702"/>
        <s v="CWS200703"/>
        <s v="CWS200704"/>
        <s v="CWS200705"/>
        <s v="CWS200706"/>
        <s v="CWS200707"/>
        <s v="CWS200708"/>
        <s v="CRAS200701"/>
        <s v="CRAS200702"/>
        <s v="CGS200705"/>
        <s v="CGS200701"/>
        <s v="CWS200709"/>
        <s v="CGS200702"/>
        <s v="CRAS200704"/>
        <s v="CGD200701"/>
        <s v="CGD200702"/>
        <s v="CGD200703"/>
        <s v="CNP200705"/>
        <s v="CNP200706"/>
        <s v="CNP200707"/>
        <s v="CNP200708"/>
        <s v="CNP200709"/>
        <s v="CNP200710"/>
        <s v="CNP200711"/>
        <s v="CNP200712"/>
        <s v="CEH200703"/>
        <s v="CEH200704"/>
        <s v="CRAS200705"/>
        <s v="CJC200803"/>
        <s v="CWS200710"/>
        <s v="CWS200712"/>
        <s v="CRAS200706"/>
        <s v="CRAS200707"/>
        <s v="CWS200714"/>
        <s v="COE200702.3/CEH200701"/>
        <s v="CRAS200805"/>
        <s v="CSW200809"/>
        <s v="CSW200810"/>
        <s v="CWS200808"/>
        <s v="CWS200809"/>
        <s v="CWS200810"/>
        <s v="CWS200814"/>
        <s v="CEH200801"/>
        <s v="CRAS200801"/>
        <s v="CGS200802"/>
        <s v="CEH200802"/>
        <s v="CGS200803"/>
        <s v="CEH200804"/>
        <s v="CGS200805"/>
        <s v="CGS200806"/>
        <s v="CGS200807"/>
        <s v="CGS200808"/>
        <s v="CAUS200801"/>
        <s v="CAUS200802"/>
        <s v="CAUS200803"/>
        <s v="CAUS200804"/>
        <s v="CAUS200805"/>
        <s v="CAUS200806"/>
        <s v="CAUS200807"/>
        <s v="CAUS200808"/>
        <s v="CAUS200809"/>
        <s v="CRAS200802"/>
        <s v="CWS200818"/>
        <s v="CSW200801"/>
        <s v="CWS200802"/>
        <s v="CWS200803"/>
        <s v="CWS200804"/>
        <s v="CWS200806"/>
        <s v="CWS200807"/>
        <s v="CRAS200803"/>
        <s v="CGS200810"/>
        <s v="CRAS200804"/>
        <s v="CSW200802"/>
        <s v="CSW200806"/>
        <s v="CWS200811"/>
        <s v="CWS200812"/>
        <s v="CJC200801"/>
        <s v="CGS200804"/>
        <s v="CJC200802"/>
        <s v="CCS200802"/>
        <s v="CCS200803"/>
        <s v="CWS200815"/>
        <s v="CRAS200806"/>
        <s v="CRAS200807"/>
        <s v="CRAS200808"/>
        <s v="CRAS200809"/>
        <s v="CRAS200810"/>
        <s v="CRAS200811"/>
        <s v="CRAS200812"/>
        <s v="CRAS200814"/>
        <s v="CWS200816"/>
        <s v="CWS200817"/>
        <s v="COE200804.2/CWS200813"/>
        <s v="COE200804.3/CSW200805"/>
        <s v="CNA200905"/>
        <s v="CNA200906"/>
        <s v="CNA200901"/>
        <s v="CNA200902"/>
        <s v="CNA200903"/>
        <s v="CNA200904"/>
        <s v="PJP201014"/>
        <s v="PJP201001"/>
        <s v="PJP201002"/>
        <s v="PJP201003"/>
        <s v="PJP201004"/>
        <s v="PJP201005"/>
        <s v="PJP201007"/>
        <s v="PJP201008"/>
        <s v="PJP201009"/>
        <s v="PJP201010"/>
        <s v="PJP201011"/>
        <s v="PJP201012"/>
        <s v="PAS201007"/>
        <s v="PAS201011"/>
        <s v="PAS201012"/>
        <s v="PAS201013"/>
        <s v="PAS201014"/>
        <s v="PAS201015"/>
        <s v="PAS201016"/>
        <s v="PAS201019"/>
        <s v="PAS201020"/>
        <s v="PAS201021"/>
        <s v="PAS201024"/>
        <s v="PAS201025"/>
        <s v="PAS201026"/>
        <s v="PAS201027"/>
        <s v="PAS201030"/>
        <s v="PAS201031"/>
        <s v="PAS201032"/>
        <s v="PAS201033"/>
        <s v="PAS201034"/>
        <s v="PAS201035"/>
        <s v="PAS201036"/>
        <s v="PAS201037"/>
        <s v="PAS201038"/>
        <s v="PAS201039"/>
        <s v="PAS201040"/>
        <s v="PAS201001"/>
        <s v="PAS201002"/>
        <s v="PAS201003"/>
        <s v="PAS201004"/>
        <s v="PAS201041"/>
        <s v="PAS201042"/>
        <s v="PAS201043"/>
        <s v="PAS201044"/>
        <s v="PAS201005"/>
        <s v="CNA201001"/>
        <s v="CIC201001"/>
        <s v="CJV201002"/>
        <s v="CWS201004"/>
        <s v="CNA201004"/>
        <s v="PNA201003"/>
        <s v="PNA201002"/>
        <s v="PNA201101"/>
        <s v="CJV201101"/>
        <s v="PAS201101"/>
        <s v="CAS200901"/>
        <s v="TRC200201"/>
        <s v="TJC200701"/>
        <s v="CAS201702"/>
        <s v="CWH20195"/>
        <s v="TGS201605"/>
        <s v="PJV201605"/>
        <s v="PAS201620"/>
        <s v="PAS201604"/>
        <s v="CAS201601"/>
        <s v="PAS201601"/>
        <s v="CAS201602"/>
        <s v="PEH201601"/>
        <s v="PEH201602"/>
        <s v="PAS201602"/>
        <s v="CAS201603"/>
        <s v="PAS201605"/>
        <s v="PAS201606"/>
        <s v="PAS201607"/>
        <s v="PAS201608"/>
        <s v="PAS201622"/>
        <s v="PAS201624"/>
        <s v="PAS201625"/>
        <s v="PAS201621"/>
        <s v="PAS201610"/>
        <s v="PEH201604"/>
        <s v="PEH201605"/>
        <s v="PAS201611"/>
        <s v="PAS201626"/>
        <s v="TGS201606"/>
        <s v="PAS201623"/>
        <s v="PMD201604"/>
        <s v="CRS201602"/>
        <s v="PAA201601"/>
        <s v="TJO201702"/>
        <s v="TGS201704"/>
        <s v="TGS201702"/>
        <s v="TJO201703"/>
        <s v="TDC198501"/>
        <s v="TAS199501"/>
        <s v="TAS199502"/>
        <s v="TAS199503"/>
        <s v="TDC199501"/>
        <s v="CEH199501"/>
        <s v="TJX201701"/>
        <s v="TJX201702"/>
        <s v="CFS199601"/>
        <s v="CAS199901"/>
        <s v="TEP200001"/>
        <s v="TEP200002"/>
        <s v="TJX201703"/>
        <s v="PAS201702"/>
        <s v="CJG200601"/>
        <s v="CJG200602"/>
        <s v="PAS201102"/>
        <s v="PAS201103"/>
        <s v="CNA201202"/>
        <s v="PNA201201"/>
        <s v="PNA201202"/>
        <s v="PRD201202"/>
        <s v="CNA201201"/>
        <s v="PRD201201"/>
        <s v="CJV201301"/>
        <s v="CJV201302"/>
        <s v="CJV201303"/>
        <s v="CJV201304"/>
        <s v="CJV201305"/>
        <s v="CJV201306"/>
        <s v="CJV201307"/>
        <s v="CNA201306"/>
        <s v="CNA201303"/>
        <s v="CNA201304"/>
        <s v="CNA201305"/>
        <s v="CNA201307"/>
        <s v="CNA201308"/>
        <s v="CNA201309"/>
        <s v="CNA201310"/>
        <s v="CNA201302"/>
        <s v="CNA201301"/>
        <s v="COE201336"/>
        <s v="POE201402.1"/>
        <s v="POE201402.2"/>
        <s v="PRD201417"/>
        <s v="PRD201420"/>
        <s v="CIS201401"/>
        <s v="PRD201402"/>
        <s v="PRD201403"/>
        <s v="PRD201405"/>
        <s v="TJC201501"/>
        <s v="TEP201501"/>
        <s v="POE201503/PRD201501"/>
        <s v="PRD201502"/>
        <s v="PRD201503"/>
        <s v="CST201501"/>
        <s v="CGS201501"/>
        <s v="PRD201505"/>
        <s v="CES201501"/>
        <s v="PRD201506"/>
        <s v="PRD201509"/>
        <s v="PRD201507"/>
        <s v="PRD201508"/>
        <s v="PAS201503"/>
        <s v="PAS201501"/>
        <s v="PAS201504"/>
        <s v="CFS201502"/>
        <s v="POE201508/PRD201504"/>
        <s v="PAS201627"/>
        <s v="CFS201601"/>
        <s v="PMD201601"/>
        <s v="TJC201701"/>
        <s v="TDP201701"/>
        <s v="CES201706"/>
        <s v="TEP201704"/>
        <s v="TEP201705"/>
        <s v="TEP201703"/>
        <s v="TRD201702"/>
        <s v="CFS201702"/>
        <s v="TJC201702"/>
        <s v="TJC201703"/>
        <s v="CFS201703"/>
        <s v="TAR201701"/>
        <s v="TDC201702"/>
        <s v="TDP201702"/>
        <s v="TEUP201701"/>
        <s v="TAS201709"/>
        <s v="TDC201701"/>
        <s v="TJC201704"/>
        <s v="TJO201701"/>
        <s v="TMO201702"/>
        <s v="CFS201716"/>
        <s v="CFS201705"/>
        <s v="CAS201701"/>
        <s v="CWC201701"/>
        <s v="CFS201714"/>
        <s v="TAS201716"/>
        <s v="TAS201712"/>
        <s v="TAS201717"/>
        <s v="CFD201805"/>
        <s v="TJG20201"/>
        <s v="COE20103.4/CRAS201001"/>
        <s v="COE201003.7/CJT201001"/>
        <s v="CWH20226"/>
        <s v="TDO20201"/>
        <s v="CNS20204"/>
        <s v="PMD20201"/>
        <s v="CNS20211"/>
        <s v="CNS20203"/>
        <s v="TAS20211"/>
        <s v="CWH20211"/>
        <s v="CEM20211"/>
        <s v="CDJ20221"/>
        <s v="CWH20225"/>
        <s v="CRP20221"/>
        <s v="MEC2022"/>
        <s v="MEP20221"/>
        <s v="MSV20221"/>
        <s v="MCM20221"/>
        <s v="CSS20223"/>
        <s v="MSP20221"/>
        <s v="CNC20231"/>
        <s v="CWH20231"/>
      </sharedItems>
    </cacheField>
    <cacheField name="Federación" numFmtId="0">
      <sharedItems>
        <s v="FEDIQUEP"/>
        <s v="OPIKAFPE"/>
        <s v="OEFA, FEDIQUEP"/>
        <s v="OEFA, FECONACO"/>
        <s v="FECONACOR"/>
        <s v="FECONACO"/>
        <s v="OSINERGMIN, FECONACO"/>
        <s v="OEFA, OSINERGMIN, FECONACO"/>
        <s v="OEFA,. FECONACO"/>
        <s v="OEFA, OPIKAFPE"/>
        <s v="ACODECOSPAT"/>
        <s v="FECONACO, OPIKAFPE"/>
      </sharedItems>
    </cacheField>
    <cacheField name="Fuente de información" numFmtId="0">
      <sharedItems>
        <s v="Informe ODK"/>
        <s v="INFORME N° 001-2019-MONITOR AMBIENTAL/ ALTO TIGRE 12 de Octubre"/>
        <s v="Registro GPS y Formulario en papel"/>
        <s v="."/>
        <s v="Mensaje de texto"/>
        <s v="odk"/>
        <s v="Mapeo"/>
        <s v="Lista de emergencias ambientales, odk"/>
        <s v="Actas administrativas, Informe OEFA"/>
        <s v="Cuaderno"/>
        <s v="Entrevista"/>
        <s v="Formulario en papel"/>
        <s v="Lista de emergencias ambientales"/>
        <s v="Informe OEFA"/>
        <s v="Lista de emergencias ambientales, Informe OEFA"/>
        <s v="ODK informe"/>
        <s v="Fotos"/>
        <s v="Video"/>
        <s v="OEFA"/>
        <s v="Actas administrativas, Lista de emergencias ambientales, Informe OEFA"/>
        <s v="Actas administrativas, Lista de emergencias ambientales, Lista de incidentes ambientales, Informe OEFA"/>
        <s v="Informe judicial, Informe OEFA"/>
        <s v="INFORME N° 001-2019-MONITOR AMBIENTAL/ ALTO TIGRE Bartra"/>
        <s v="Actas administrativas, Lista de emergencias ambientales, odk, Informe OEFA"/>
        <s v="odk, Informe OEFA"/>
        <s v="Actas administrativas, Lista de denuncias ambientales, Lista de emergencias ambientales, odk, Informe OEFA"/>
        <s v="Informe judicial, Lista de emergencias ambientales, Informe OEFA"/>
        <s v="Lista de emergencias ambientales, Lista de incidentes ambientales, Informe OEFA"/>
        <s v="Lista de denuncias ambientales, Informe OEFA"/>
        <s v="Lista de emergencias ambientales, odk, Informe OEFA"/>
        <s v="Fotos video"/>
        <s v="Lista de denuncias ambientales"/>
        <s v="Lista de incidentes ambientales"/>
        <s v="Teléfono"/>
      </sharedItems>
    </cacheField>
    <cacheField name="Zona de Monitoreo " numFmtId="0">
      <sharedItems>
        <s v="Capahuari Sur"/>
        <s v="San Jacinto &amp; 1A"/>
        <s v="."/>
        <s v="Capahuari Norte"/>
        <s v="Dorissa"/>
        <s v="Forestal Shiviyacu Carmen Huayurí Huayurí Norte"/>
        <s v="Forestal, Shiviyacu, Carmen, Huayurí, Huayurí Norte"/>
        <s v="Jibarito"/>
        <s v="San Jacinto"/>
        <s v="Batería 7"/>
        <s v="Bartra"/>
        <s v="Baterías 1, 2 y 8x"/>
        <s v="Chambira"/>
        <s v="ONP"/>
        <s v="Baterías 1 y 2 y 8x"/>
        <s v="Tramo I oleoducto Corrientes - Saramuro"/>
        <s v="Baterías 4 y 5 y 9"/>
      </sharedItems>
    </cacheField>
    <cacheField name="Cuando se detectó el impacto?">
      <sharedItems containsDate="1" containsBlank="1" containsMixedTypes="1">
        <d v="2018-08-05T00:00:00Z"/>
        <d v="2019-04-01T00:00:00Z"/>
        <d v="2017-04-08T00:00:00Z"/>
        <d v="2017-09-12T00:00:00Z"/>
        <d v="2014-04-28T00:00:00Z"/>
        <d v="2014-03-31T00:00:00Z"/>
        <d v="2011-06-22T00:00:00Z"/>
        <d v="2018-03-23T00:00:00Z"/>
        <s v="17/01/2018"/>
        <d v="2014-05-13T00:00:00Z"/>
        <d v="2014-04-25T00:00:00Z"/>
        <d v="2010-06-10T00:00:00Z"/>
        <d v="2020-11-05T00:00:00Z"/>
        <s v="19/05/2016"/>
        <d v="2019-09-11T00:00:00Z"/>
        <d v="2014-05-16T00:00:00Z"/>
        <d v="2014-09-13T00:00:00Z"/>
        <d v="2014-04-23T00:00:00Z"/>
        <d v="2018-05-25T00:00:00Z"/>
        <d v="2013-05-14T00:00:00Z"/>
        <d v="2009-03-29T00:00:00Z"/>
        <d v="2014-06-16T00:00:00Z"/>
        <s v="13/03/2016"/>
        <d v="2016-04-18T00:00:00Z"/>
        <d v="2018-03-16T00:00:00Z"/>
        <d v="2018-03-15T00:00:00Z"/>
        <s v="21/03/2019"/>
        <d v="2018-03-18T00:00:00Z"/>
        <d v="2018-02-15T00:00:00Z"/>
        <s v="28/04/2016"/>
        <d v="2010-10-18T00:00:00Z"/>
        <s v="19/05/2021"/>
        <s v="30/04/2016"/>
        <d v="2018-03-20T00:00:00Z"/>
        <d v="2014-06-12T00:00:00Z"/>
        <s v="27/09/2016"/>
        <d v="2019-01-12T00:00:00Z"/>
        <d v="2013-05-18T00:00:00Z"/>
        <d v="2018-03-19T00:00:00Z"/>
        <s v="26/03/2016"/>
        <d v="2013-11-11T00:00:00Z"/>
        <d v="2017-04-19T00:00:00Z"/>
        <d v="2012-05-22T00:00:00Z"/>
        <s v="01/07/2016"/>
        <d v="2012-06-01T00:00:00Z"/>
        <d v="2018-03-21T00:00:00Z"/>
        <d v="2013-05-17T00:00:00Z"/>
        <s v="30/04/2020"/>
        <d v="2010-01-11T00:00:00Z"/>
        <d v="2012-05-31T00:00:00Z"/>
        <d v="2017-03-26T00:00:00Z"/>
        <d v="2018-01-04T00:00:00Z"/>
        <d v="2009-12-15T00:00:00Z"/>
        <d v="2010-01-05T00:00:00Z"/>
        <d v="2012-10-01T00:00:00Z"/>
        <d v="2010-01-12T00:00:00Z"/>
        <d v="2009-12-18T00:00:00Z"/>
        <d v="2014-05-14T00:00:00Z"/>
        <d v="2013-05-08T00:00:00Z"/>
        <d v="2017-04-18T00:00:00Z"/>
        <s v="01/08/2016"/>
        <s v="29/04/2016"/>
        <d v="2013-05-15T00:00:00Z"/>
        <s v="17/09/2015"/>
        <s v="14/05/2016"/>
        <d v="2014-05-17T00:00:00Z"/>
        <d v="2018-02-18T00:00:00Z"/>
        <s v="18/02/2018"/>
        <d v="2018-03-03T00:00:00Z"/>
        <s v="27/01/2023"/>
        <d v="2023-11-02T00:00:00Z"/>
        <s v="18/07/2021"/>
        <s v="14/02/2021"/>
        <d v="2014-05-01T00:00:00Z"/>
        <d v="2007-12-31T00:00:00Z"/>
        <s v="18/02/2023"/>
        <s v="15/01/2020"/>
        <s v="27/12/2019"/>
        <s v="31/07/2020"/>
        <s v="27/10/2022"/>
        <d v="2008-05-03T00:00:00Z"/>
        <s v="30/10/2022"/>
        <d v="2014-03-01T00:00:00Z"/>
        <d v="2015-03-01T00:00:00Z"/>
        <d v="2015-04-01T00:00:00Z"/>
        <d v="2006-12-07T00:00:00Z"/>
        <d v="2010-04-24T00:00:00Z"/>
        <d v="2009-03-19T00:00:00Z"/>
        <d v="2018-04-19T00:00:00Z"/>
        <d v="2009-04-07T00:00:00Z"/>
        <d v="2009-04-10T00:00:00Z"/>
        <s v="08/11/2016"/>
        <d v="2017-01-20T00:00:00Z"/>
        <d v="2023-04-02T00:00:00Z"/>
        <s v="22/11/2022"/>
        <d v="2010-11-19T00:00:00Z"/>
        <s v="17/02/2020"/>
        <d v="2018-04-21T00:00:00Z"/>
        <s v="13/05/2007 14/05/2007"/>
        <s v="27/09/2020"/>
        <d v="2010-07-29T00:00:00Z"/>
        <s v="28/10/2010 30/10/2010"/>
        <d v="2017-05-19T00:00:00Z"/>
        <d v="2016-12-31T00:00:00Z"/>
        <d v="2016-12-30T00:00:00Z"/>
        <d v="2018-04-22T00:00:00Z"/>
        <d v="2011-05-18T00:00:00Z"/>
        <d v="2008-05-24T00:00:00Z"/>
        <d v="2017-05-18T00:00:00Z"/>
        <d v="2016-05-18T00:00:00Z"/>
        <s v="14/05/2019"/>
        <d v="2008-02-27T00:00:00Z"/>
        <d v="2021-05-02T00:00:00Z"/>
        <d v="2022-10-10T00:00:00Z"/>
        <s v="18/12/2019"/>
        <s v="01/09/2016"/>
        <s v="28/11/2022"/>
        <s v="26/02/2023"/>
        <d v="2010-06-09T00:00:00Z"/>
        <s v="17/12/2019"/>
        <s v="21/09/2015"/>
        <d v="2015-11-07T00:00:00Z"/>
        <d v="2006-12-12T00:00:00Z"/>
        <d v="2016-04-13T00:00:00Z"/>
        <s v="19/08/2015"/>
        <s v="04/05/2014 01/05/2014"/>
        <d v="2017-05-26T00:00:00Z"/>
        <s v="21/03/2007 04/04/2007"/>
        <d v="2010-03-12T00:00:00Z"/>
        <s v="20/05/2017 19/05/2017"/>
        <d v="2007-04-24T00:00:00Z"/>
        <d v="2016-02-04T00:00:00Z"/>
        <s v="14/01/2021"/>
        <d v="2016-02-03T00:00:00Z"/>
        <d v="2016-02-12T00:00:00Z"/>
        <d v="2019-11-06T00:00:00Z"/>
        <s v="19/05/2019"/>
        <d v="2010-01-06T00:00:00Z"/>
        <m/>
        <s v="12/09/2009 14/09/2009"/>
        <d v="2010-03-02T00:00:00Z"/>
        <d v="2017-08-07T00:00:00Z"/>
        <d v="2007-10-23T00:00:00Z"/>
        <s v="."/>
        <s v="11/05/2010 13/05/2010"/>
        <s v="25/01/2023"/>
        <s v="01/05/2016"/>
        <d v="2009-01-09T00:00:00Z"/>
        <d v="2006-11-13T00:00:00Z"/>
        <d v="2010-05-29T00:00:00Z"/>
        <d v="2010-08-27T00:00:00Z"/>
        <d v="2015-01-01T00:00:00Z"/>
        <d v="2010-01-31T00:00:00Z"/>
        <d v="2010-01-28T00:00:00Z"/>
        <d v="2019-12-04T00:00:00Z"/>
        <s v="14/11/2021"/>
        <s v="27/03/2016"/>
        <s v="29/01/2023"/>
        <s v="18/04/2020"/>
        <s v="29/01/2021"/>
        <d v="2010-01-24T00:00:00Z"/>
        <s v="27/09/2017 25/09/2017"/>
        <d v="2017-02-10T00:00:00Z"/>
        <s v=" 11/11/2016"/>
        <s v="07/04/2016 01/04/2016"/>
        <s v="01/04/2016"/>
        <d v="2021-09-09T00:00:00Z"/>
        <d v="2017-01-30T00:00:00Z"/>
        <d v="2017-05-15T00:00:00Z"/>
        <s v="01/12/2016 19/12/2016"/>
        <s v="19/02/2017"/>
        <s v="18/03/2022"/>
        <s v="28/08/2022"/>
        <s v="30/08/2022"/>
        <d v="2017-09-27T00:00:00Z"/>
        <n v="2001.0"/>
        <d v="2022-02-03T00:00:00Z"/>
        <s v="20/08/2016"/>
        <d v="2010-02-03T00:00:00Z"/>
        <s v="02/03/2018 13/03/2018"/>
        <d v="2021-04-04T00:00:00Z"/>
        <d v="2017-05-14T00:00:00Z"/>
        <s v="15/11/2016"/>
        <d v="2017-03-01T00:00:00Z"/>
        <d v="2016-02-20T00:00:00Z"/>
        <s v="01/11/2016"/>
        <d v="2017-03-03T00:00:00Z"/>
        <d v="2015-11-05T00:00:00Z"/>
        <d v="2013-11-26T00:00:00Z"/>
        <s v="19/07/2011 26/07/2011"/>
        <s v="17/09/2018"/>
        <d v="2017-05-20T00:00:00Z"/>
        <d v="2014-01-01T00:00:00Z"/>
        <d v="2014-04-01T00:00:00Z"/>
        <d v="1905-07-07T00:00:00Z"/>
        <d v="2017-11-23T00:00:00Z"/>
        <d v="2014-11-01T00:00:00Z"/>
        <d v="2018-03-01T00:00:00Z"/>
        <s v="16/02/2017 17/01/2018"/>
        <s v="29/08/2018"/>
        <s v="15/01/2019"/>
        <s v="20/11/2018"/>
        <s v="14/03/2019"/>
        <s v="13/06/2018"/>
        <d v="2019-06-05T00:00:00Z"/>
        <s v="30/07/2018"/>
        <d v="2017-05-22T00:00:00Z"/>
        <s v="18/01/2019"/>
        <s v="15/04/2018"/>
        <s v="19/11/2018"/>
        <s v="17/01/2019"/>
        <s v="16/01/2019"/>
        <s v="08/08/2016"/>
        <s v="22/02/2017 18/01/2018"/>
        <s v="12/04/2017 18/01/2018"/>
        <s v="29/11/2018"/>
        <d v="2009-05-29T00:00:00Z"/>
        <d v="2014-07-05T00:00:00Z"/>
        <d v="2006-02-21T00:00:00Z"/>
        <d v="2015-11-01T00:00:00Z"/>
        <s v="24/07/2016"/>
        <d v="2014-02-01T00:00:00Z"/>
        <d v="2006-05-19T00:00:00Z"/>
        <d v="2006-03-30T00:00:00Z"/>
        <d v="2012-01-28T00:00:00Z"/>
        <d v="2014-07-01T00:00:00Z"/>
        <d v="2014-12-01T00:00:00Z"/>
        <d v="2011-08-25T00:00:00Z"/>
        <d v="2016-01-30T00:00:00Z"/>
        <d v="2016-10-31T00:00:00Z"/>
        <s v="21/04/2010 23/04/2010"/>
        <d v="2013-04-07T00:00:00Z"/>
        <d v="2017-09-18T00:00:00Z"/>
        <d v="2015-06-01T00:00:00Z"/>
        <d v="2016-07-25T00:00:00Z"/>
        <d v="2016-07-22T00:00:00Z"/>
        <d v="2007-10-30T00:00:00Z"/>
        <d v="2008-09-18T00:00:00Z"/>
        <s v="16/03/2018"/>
        <d v="2009-10-21T00:00:00Z"/>
        <d v="2012-06-25T00:00:00Z"/>
        <s v="15/03/2018 16/03/2018"/>
        <d v="2015-06-15T00:00:00Z"/>
        <d v="2008-05-04T00:00:00Z"/>
        <d v="2011-09-12T00:00:00Z"/>
        <d v="2008-04-30T00:00:00Z"/>
        <d v="2009-01-10T00:00:00Z"/>
        <s v="27/01/2019"/>
        <d v="2017-09-19T00:00:00Z"/>
        <d v="2010-09-24T00:00:00Z"/>
        <d v="2014-03-09T00:00:00Z"/>
        <d v="2016-09-09T00:00:00Z"/>
        <d v="2015-04-20T00:00:00Z"/>
        <s v="26/02/2018"/>
        <d v="2015-04-18T00:00:00Z"/>
        <s v="16/09/2022"/>
        <s v="22/06/2018"/>
        <d v="2017-06-02T00:00:00Z"/>
        <d v="2007-11-15T00:00:00Z"/>
        <d v="2019-05-05T00:00:00Z"/>
        <d v="2007-08-09T00:00:00Z"/>
        <s v="27/06/2018"/>
        <s v="25/06/2018"/>
        <d v="2017-09-17T00:00:00Z"/>
        <s v="28/09/2020"/>
        <d v="2009-04-22T00:00:00Z"/>
        <d v="2016-02-01T00:00:00Z"/>
        <s v="14/10/2022"/>
        <s v="15/08/2016"/>
        <s v="28/11/2016"/>
        <d v="2010-06-17T00:00:00Z"/>
        <d v="2017-08-09T00:00:00Z"/>
        <n v="1987.0"/>
        <s v="06/03/2016"/>
        <s v="17/05/2016"/>
        <s v="20/05/2016"/>
        <s v="16/06/2016"/>
        <s v="20/06/2016"/>
        <s v="22/06/2016"/>
        <s v="05/11/2016"/>
        <s v="06/11/2016"/>
        <d v="2016-02-11T00:00:00Z"/>
        <d v="2017-01-16T00:00:00Z"/>
        <d v="2017-11-20T00:00:00Z"/>
        <d v="2017-03-13T00:00:00Z"/>
        <d v="2017-03-04T00:00:00Z"/>
        <d v="2017-02-21T00:00:00Z"/>
        <d v="2017-05-21T00:00:00Z"/>
        <d v="2017-02-01T00:00:00Z"/>
        <d v="2018-04-05T00:00:00Z"/>
        <d v="2017-03-18T00:00:00Z"/>
        <d v="2018-05-02T00:00:00Z"/>
        <d v="2017-09-25T00:00:00Z"/>
        <d v="2017-08-21T00:00:00Z"/>
        <d v="2018-03-06T00:00:00Z"/>
        <d v="2018-03-30T00:00:00Z"/>
        <d v="2017-04-01T00:00:00Z"/>
        <d v="2017-04-04T00:00:00Z"/>
        <d v="2017-04-12T00:00:00Z"/>
        <d v="2017-05-11T00:00:00Z"/>
        <d v="2017-05-13T00:00:00Z"/>
        <d v="2017-05-16T00:00:00Z"/>
        <d v="2017-06-01T00:00:00Z"/>
        <d v="2017-06-13T00:00:00Z"/>
        <d v="2017-07-14T00:00:00Z"/>
        <d v="2017-08-11T00:00:00Z"/>
        <d v="2017-08-23T00:00:00Z"/>
        <d v="2017-09-14T00:00:00Z"/>
        <d v="2017-10-01T00:00:00Z"/>
        <d v="2017-10-14T00:00:00Z"/>
        <d v="2017-11-15T00:00:00Z"/>
        <d v="2017-12-08T00:00:00Z"/>
        <d v="2017-12-19T00:00:00Z"/>
        <d v="2018-01-23T00:00:00Z"/>
        <d v="2018-01-31T00:00:00Z"/>
        <d v="2018-02-03T00:00:00Z"/>
        <d v="2018-02-16T00:00:00Z"/>
        <d v="2018-03-14T00:00:00Z"/>
        <d v="2016-04-27T00:00:00Z"/>
        <d v="2016-06-17T00:00:00Z"/>
        <d v="2016-09-01T00:00:00Z"/>
        <n v="2016.0"/>
        <d v="2016-01-01T00:00:00Z"/>
        <n v="2006.0"/>
        <s v="15/05/2008 16/05/2008"/>
        <d v="2008-11-14T00:00:00Z"/>
        <d v="2008-09-19T00:00:00Z"/>
        <d v="2008-10-29T00:00:00Z"/>
        <s v="08/06/2008 10/06/2008"/>
        <d v="2008-07-01T00:00:00Z"/>
        <d v="2003-11-08T00:00:00Z"/>
        <d v="2006-01-03T00:00:00Z"/>
        <d v="2006-01-22T00:00:00Z"/>
        <d v="2006-01-30T00:00:00Z"/>
        <d v="2006-01-31T00:00:00Z"/>
        <d v="2006-02-04T00:00:00Z"/>
        <d v="2006-02-07T00:00:00Z"/>
        <d v="2006-02-09T00:00:00Z"/>
        <d v="2006-02-10T00:00:00Z"/>
        <d v="2006-02-15T00:00:00Z"/>
        <d v="2006-02-26T00:00:00Z"/>
        <d v="2006-05-07T00:00:00Z"/>
        <d v="2006-08-30T00:00:00Z"/>
        <d v="2006-09-15T00:00:00Z"/>
        <d v="2006-11-11T00:00:00Z"/>
        <d v="2006-12-01T00:00:00Z"/>
        <d v="2006-12-04T00:00:00Z"/>
        <d v="2006-12-08T00:00:00Z"/>
        <d v="2006-12-11T00:00:00Z"/>
        <d v="2006-12-13T00:00:00Z"/>
        <s v="05/12/2006 08/12/2006"/>
        <n v="2007.0"/>
        <d v="2007-04-21T00:00:00Z"/>
        <d v="2007-05-03T00:00:00Z"/>
        <d v="2007-05-04T00:00:00Z"/>
        <d v="2007-05-09T00:00:00Z"/>
        <d v="2007-07-09T00:00:00Z"/>
        <d v="2007-07-26T00:00:00Z"/>
        <d v="2007-07-30T00:00:00Z"/>
        <d v="2007-08-08T00:00:00Z"/>
        <d v="2007-10-25T00:00:00Z"/>
        <d v="2007-10-29T00:00:00Z"/>
        <d v="2007-11-14T00:00:00Z"/>
        <d v="2007-11-21T00:00:00Z"/>
        <d v="2007-12-15T00:00:00Z"/>
        <d v="2007-12-23T00:00:00Z"/>
        <s v="25/07/2007 26/07/2007"/>
        <n v="2008.0"/>
        <d v="2008-01-06T00:00:00Z"/>
        <d v="2008-01-08T00:00:00Z"/>
        <d v="2008-01-13T00:00:00Z"/>
        <d v="2008-01-14T00:00:00Z"/>
        <d v="2008-01-17T00:00:00Z"/>
        <d v="2008-01-20T00:00:00Z"/>
        <d v="2008-02-08T00:00:00Z"/>
        <d v="2008-02-11T00:00:00Z"/>
        <d v="2008-02-13T00:00:00Z"/>
        <d v="2008-02-14T00:00:00Z"/>
        <d v="2008-02-16T00:00:00Z"/>
        <d v="2008-02-22T00:00:00Z"/>
        <d v="2008-02-23T00:00:00Z"/>
        <d v="2008-02-24T00:00:00Z"/>
        <d v="2008-03-17T00:00:00Z"/>
        <d v="2008-03-19T00:00:00Z"/>
        <d v="2008-03-20T00:00:00Z"/>
        <d v="2008-05-01T00:00:00Z"/>
        <d v="2008-05-02T00:00:00Z"/>
        <d v="2008-05-05T00:00:00Z"/>
        <d v="2008-05-06T00:00:00Z"/>
        <d v="2008-05-13T00:00:00Z"/>
        <d v="2008-05-14T00:00:00Z"/>
        <d v="2008-06-10T00:00:00Z"/>
        <d v="2008-06-11T00:00:00Z"/>
        <d v="2008-06-16T00:00:00Z"/>
        <d v="2008-07-22T00:00:00Z"/>
        <d v="2008-09-26T00:00:00Z"/>
        <d v="2008-10-22T00:00:00Z"/>
        <d v="2008-10-24T00:00:00Z"/>
        <d v="2008-11-09T00:00:00Z"/>
        <d v="2008-11-13T00:00:00Z"/>
        <d v="2008-12-05T00:00:00Z"/>
        <d v="2008-12-06T00:00:00Z"/>
        <s v="18/05/2008 23/05/2008"/>
        <s v="24/05/2008 25/05/2008"/>
        <d v="2009-01-28T00:00:00Z"/>
        <d v="2009-05-17T00:00:00Z"/>
        <d v="2009-05-31T00:00:00Z"/>
        <d v="2009-06-12T00:00:00Z"/>
        <d v="2009-09-26T00:00:00Z"/>
        <d v="2010-01-14T00:00:00Z"/>
        <d v="2010-01-21T00:00:00Z"/>
        <d v="2010-01-25T00:00:00Z"/>
        <d v="2010-01-26T00:00:00Z"/>
        <d v="2010-02-05T00:00:00Z"/>
        <d v="2010-02-09T00:00:00Z"/>
        <d v="2010-02-10T00:00:00Z"/>
        <d v="2010-02-11T00:00:00Z"/>
        <d v="2010-02-17T00:00:00Z"/>
        <d v="2010-02-24T00:00:00Z"/>
        <d v="2010-03-06T00:00:00Z"/>
        <d v="2010-04-20T00:00:00Z"/>
        <d v="2010-05-19T00:00:00Z"/>
        <d v="2010-10-20T00:00:00Z"/>
        <d v="2011-06-25T00:00:00Z"/>
        <s v="5/12/2009, 21/06/2017"/>
        <n v="2002.0"/>
        <d v="2007-12-01T00:00:00Z"/>
        <s v="19/11/2016"/>
        <s v="28/03/2016"/>
        <s v="19/04/2016"/>
        <d v="2016-03-23T00:00:00Z"/>
        <d v="2016-03-27T00:00:00Z"/>
        <s v="29/03/2016"/>
        <s v="10/06/2016"/>
        <s v="17/07/2016"/>
        <s v="29/12/2016"/>
        <s v="12/09/2016"/>
        <s v="10/11/2016"/>
        <s v="16/01/2017"/>
        <s v="18/01/2017"/>
        <n v="1985.0"/>
        <d v="1996-07-01T00:00:00Z"/>
        <d v="1999-02-19T00:00:00Z"/>
        <n v="2000.0"/>
        <n v="2017.0"/>
        <d v="2017-04-28T00:00:00Z"/>
        <d v="2006-07-01T00:00:00Z"/>
        <d v="2012-02-03T00:00:00Z"/>
        <d v="2012-04-13T00:00:00Z"/>
        <d v="2012-05-10T00:00:00Z"/>
        <d v="2012-06-19T00:00:00Z"/>
        <d v="2012-09-04T00:00:00Z"/>
        <d v="2013-01-28T00:00:00Z"/>
        <d v="2013-02-11T00:00:00Z"/>
        <d v="2013-03-19T00:00:00Z"/>
        <d v="2013-04-12T00:00:00Z"/>
        <d v="2013-04-13T00:00:00Z"/>
        <d v="2013-05-05T00:00:00Z"/>
        <d v="2013-05-09T00:00:00Z"/>
        <d v="2013-05-11T00:00:00Z"/>
        <d v="2013-05-12T00:00:00Z"/>
        <d v="2013-06-03T00:00:00Z"/>
        <d v="2013-11-23T00:00:00Z"/>
        <d v="2013-12-19T00:00:00Z"/>
        <d v="2014-01-06T00:00:00Z"/>
        <d v="2014-05-31T00:00:00Z"/>
        <d v="2014-06-13T00:00:00Z"/>
        <d v="2014-08-05T00:00:00Z"/>
        <d v="2014-09-19T00:00:00Z"/>
        <d v="2015-02-18T00:00:00Z"/>
        <d v="2015-02-20T00:00:00Z"/>
        <d v="2015-03-02T00:00:00Z"/>
        <d v="2015-03-18T00:00:00Z"/>
        <d v="2015-05-06T00:00:00Z"/>
        <d v="2015-05-11T00:00:00Z"/>
        <d v="2015-05-26T00:00:00Z"/>
        <s v="22/10/2015"/>
        <d v="2015-11-09T00:00:00Z"/>
        <d v="2015-12-06T00:00:00Z"/>
        <d v="2015-12-30T00:00:00Z"/>
        <s v="22/03/2015 30/03/2015"/>
        <s v="03/01/2016"/>
        <d v="2016-01-27T00:00:00Z"/>
        <s v="16-19/06/2016"/>
        <d v="2017-02-03T00:00:00Z"/>
        <d v="2017-02-11T00:00:00Z"/>
        <d v="2017-04-25T00:00:00Z"/>
        <d v="2017-05-03T00:00:00Z"/>
        <d v="2017-05-10T00:00:00Z"/>
        <d v="2017-07-01T00:00:00Z"/>
        <d v="2017-09-21T00:00:00Z"/>
        <d v="2017-11-26T00:00:00Z"/>
        <d v="2017-12-10T00:00:00Z"/>
        <d v="2020-07-06T00:00:00Z"/>
        <d v="2010-05-27T00:00:00Z"/>
        <s v="11/10/2010 12/10/2010"/>
        <n v="2022.0"/>
        <d v="2020-05-10T00:00:00Z"/>
        <s v="13/12/2020"/>
        <s v="14/12/2020"/>
        <s v="19/01/2020"/>
        <d v="2021-04-01T00:00:00Z"/>
        <d v="2021-06-02T00:00:00Z"/>
        <d v="2021-04-14T00:00:00Z"/>
        <d v="2022-06-06T00:00:00Z"/>
        <d v="2022-06-07T00:00:00Z"/>
        <d v="2022-06-10T00:00:00Z"/>
        <s v="17/09/2022"/>
        <s v="21/10/2022"/>
        <s v="26/07/2022"/>
        <s v="31/03/2022"/>
        <s v="26/05/2023"/>
        <d v="2023-07-02T00:00:00Z"/>
      </sharedItems>
    </cacheField>
    <cacheField name="Cuando ocurrió?">
      <sharedItems containsDate="1" containsMixedTypes="1">
        <d v="2000-07-01T00:00:00Z"/>
        <s v="."/>
        <d v="2014-04-01T00:00:00Z"/>
        <d v="2014-03-01T00:00:00Z"/>
        <d v="2011-06-01T00:00:00Z"/>
        <d v="2018-03-01T00:00:00Z"/>
        <d v="2014-05-01T00:00:00Z"/>
        <d v="2010-06-01T00:00:00Z"/>
        <d v="2020-05-11T00:00:00Z"/>
        <d v="2016-05-01T00:00:00Z"/>
        <d v="2019-09-11T00:00:00Z"/>
        <d v="2014-09-01T00:00:00Z"/>
        <d v="2018-05-01T00:00:00Z"/>
        <d v="2013-05-01T00:00:00Z"/>
        <d v="2009-03-01T00:00:00Z"/>
        <d v="2014-06-01T00:00:00Z"/>
        <d v="2016-03-01T00:00:00Z"/>
        <d v="2016-04-01T00:00:00Z"/>
        <d v="2018-02-01T00:00:00Z"/>
        <d v="2010-10-01T00:00:00Z"/>
        <s v="19/05/2021"/>
        <d v="2016-09-01T00:00:00Z"/>
        <d v="2013-11-01T00:00:00Z"/>
        <d v="2017-04-01T00:00:00Z"/>
        <d v="2012-05-01T00:00:00Z"/>
        <d v="2016-07-01T00:00:00Z"/>
        <d v="2012-06-01T00:00:00Z"/>
        <s v="30/04/2020"/>
        <d v="2010-01-01T00:00:00Z"/>
        <d v="2017-03-01T00:00:00Z"/>
        <d v="2018-01-01T00:00:00Z"/>
        <d v="2009-12-01T00:00:00Z"/>
        <d v="2012-10-01T00:00:00Z"/>
        <d v="2016-08-01T00:00:00Z"/>
        <d v="2015-09-01T00:00:00Z"/>
        <s v="27/01/2023"/>
        <d v="2023-02-11T00:00:00Z"/>
        <s v="18/07/2021"/>
        <s v="14/02/2021"/>
        <d v="2007-04-01T00:00:00Z"/>
        <s v="18/02/2023"/>
        <d v="2020-02-01T00:00:00Z"/>
        <s v="29/06/2020"/>
        <s v="27/10/2022"/>
        <d v="2008-05-01T00:00:00Z"/>
        <s v="30/10/2022"/>
        <d v="2015-03-01T00:00:00Z"/>
        <d v="2015-04-01T00:00:00Z"/>
        <d v="2006-12-01T00:00:00Z"/>
        <d v="2010-04-01T00:00:00Z"/>
        <d v="2018-04-01T00:00:00Z"/>
        <d v="2009-04-01T00:00:00Z"/>
        <d v="2016-11-01T00:00:00Z"/>
        <d v="2017-01-01T00:00:00Z"/>
        <d v="2023-03-04T00:00:00Z"/>
        <s v="22/11/2022"/>
        <d v="2010-11-01T00:00:00Z"/>
        <s v="17/02/2020"/>
        <d v="2007-05-01T00:00:00Z"/>
        <d v="2020-01-09T00:00:00Z"/>
        <d v="2010-07-01T00:00:00Z"/>
        <d v="2017-05-01T00:00:00Z"/>
        <d v="2016-12-01T00:00:00Z"/>
        <d v="2011-05-01T00:00:00Z"/>
        <d v="2008-02-01T00:00:00Z"/>
        <d v="2021-02-05T00:00:00Z"/>
        <s v="15/03/2021"/>
        <s v="26/11/2022"/>
        <s v="25/02/2023"/>
        <d v="2015-11-01T00:00:00Z"/>
        <d v="2015-08-01T00:00:00Z"/>
        <d v="2010-03-01T00:00:00Z"/>
        <d v="2016-02-01T00:00:00Z"/>
        <s v="14/01/2021"/>
        <s v="26/11/2019"/>
        <d v="2009-09-01T00:00:00Z"/>
        <d v="2007-10-01T00:00:00Z"/>
        <d v="2010-05-01T00:00:00Z"/>
        <d v="2023-01-05T00:00:00Z"/>
        <d v="2009-01-01T00:00:00Z"/>
        <d v="2006-11-01T00:00:00Z"/>
        <d v="2010-08-01T00:00:00Z"/>
        <d v="2015-01-01T00:00:00Z"/>
        <s v="14/11/2021"/>
        <s v="29/01/2023"/>
        <s v="17/04/2020"/>
        <s v="29/01/2021"/>
        <d v="2017-09-01T00:00:00Z"/>
        <d v="2017-02-01T00:00:00Z"/>
        <d v="2021-09-09T00:00:00Z"/>
        <s v="18/03/2022"/>
        <s v="27/08/2022"/>
        <s v="30/08/2022"/>
        <d v="2001-07-01T00:00:00Z"/>
        <d v="2022-03-02T00:00:00Z"/>
        <d v="2010-02-01T00:00:00Z"/>
        <d v="2021-04-04T00:00:00Z"/>
        <d v="2011-07-01T00:00:00Z"/>
        <d v="2014-01-01T00:00:00Z"/>
        <d v="2017-11-01T00:00:00Z"/>
        <d v="2014-11-01T00:00:00Z"/>
        <d v="2009-05-01T00:00:00Z"/>
        <d v="2014-07-01T00:00:00Z"/>
        <d v="2006-02-01T00:00:00Z"/>
        <d v="2014-02-01T00:00:00Z"/>
        <d v="2006-05-01T00:00:00Z"/>
        <d v="2006-03-01T00:00:00Z"/>
        <d v="2012-01-01T00:00:00Z"/>
        <d v="2014-12-01T00:00:00Z"/>
        <d v="2011-08-01T00:00:00Z"/>
        <d v="2016-01-01T00:00:00Z"/>
        <d v="2016-10-01T00:00:00Z"/>
        <d v="2013-04-01T00:00:00Z"/>
        <d v="2015-06-01T00:00:00Z"/>
        <d v="2008-09-01T00:00:00Z"/>
        <d v="1996-07-01T00:00:00Z"/>
        <d v="2009-10-01T00:00:00Z"/>
        <d v="2011-09-01T00:00:00Z"/>
        <d v="2008-04-01T00:00:00Z"/>
        <d v="2010-09-01T00:00:00Z"/>
        <s v="16/09/2022"/>
        <n v="1995.0"/>
        <d v="2016-06-01T00:00:00Z"/>
        <d v="2007-11-01T00:00:00Z"/>
        <d v="2007-08-01T00:00:00Z"/>
        <d v="2020-04-03T00:00:00Z"/>
        <s v="15/10/2022"/>
        <d v="2017-08-01T00:00:00Z"/>
        <d v="1987-07-01T00:00:00Z"/>
        <d v="2017-06-01T00:00:00Z"/>
        <d v="2017-07-01T00:00:00Z"/>
        <d v="2017-10-01T00:00:00Z"/>
        <d v="2017-12-01T00:00:00Z"/>
        <d v="2006-07-01T00:00:00Z"/>
        <d v="2008-11-01T00:00:00Z"/>
        <d v="2008-10-01T00:00:00Z"/>
        <d v="2008-06-01T00:00:00Z"/>
        <d v="2008-07-01T00:00:00Z"/>
        <d v="2003-11-01T00:00:00Z"/>
        <d v="2006-01-01T00:00:00Z"/>
        <d v="2006-08-01T00:00:00Z"/>
        <d v="2006-09-01T00:00:00Z"/>
        <d v="2007-07-01T00:00:00Z"/>
        <d v="2007-12-01T00:00:00Z"/>
        <d v="2008-01-01T00:00:00Z"/>
        <d v="2008-03-01T00:00:00Z"/>
        <d v="2008-12-01T00:00:00Z"/>
        <d v="2009-06-01T00:00:00Z"/>
        <d v="2002-09-01T00:00:00Z"/>
        <d v="1985-07-01T00:00:00Z"/>
        <d v="1995-01-01T00:00:00Z"/>
        <d v="1995-07-01T00:00:00Z"/>
        <d v="1995-06-17T00:00:00Z"/>
        <d v="1999-02-01T00:00:00Z"/>
        <d v="2012-02-01T00:00:00Z"/>
        <d v="2012-04-01T00:00:00Z"/>
        <d v="2012-09-01T00:00:00Z"/>
        <d v="2013-01-01T00:00:00Z"/>
        <d v="2013-03-01T00:00:00Z"/>
        <d v="2013-06-01T00:00:00Z"/>
        <d v="2013-12-01T00:00:00Z"/>
        <d v="2014-08-01T00:00:00Z"/>
        <d v="2015-07-01T00:00:00Z"/>
        <d v="2015-02-01T00:00:00Z"/>
        <d v="2015-05-01T00:00:00Z"/>
        <d v="2015-10-01T00:00:00Z"/>
        <d v="2015-12-01T00:00:00Z"/>
        <d v="2020-06-07T00:00:00Z"/>
        <s v="2017-2019"/>
        <d v="2020-01-10T00:00:00Z"/>
        <s v="13/12/2020"/>
        <s v="14/12/2020"/>
        <s v="19/01/2020"/>
        <d v="2021-01-04T00:00:00Z"/>
        <d v="2021-02-06T00:00:00Z"/>
        <d v="2021-04-10T00:00:00Z"/>
        <d v="2022-06-04T00:00:00Z"/>
        <d v="2022-07-06T00:00:00Z"/>
        <d v="2022-10-06T00:00:00Z"/>
        <s v="21/10/2022"/>
        <s v="26/07/2022"/>
        <s v="25/10/2022"/>
        <s v="28/08/2022"/>
        <s v="31/03/2022"/>
        <s v="24/05/2023"/>
        <s v="05/01/2023 o 10/01/2023"/>
      </sharedItems>
    </cacheField>
    <cacheField name="Año de occurrencia">
      <sharedItems containsMixedTypes="1" containsNumber="1" containsInteger="1">
        <s v="2000"/>
        <s v="."/>
        <s v="2014"/>
        <s v="2011"/>
        <s v="2018"/>
        <s v="2010"/>
        <n v="2020.0"/>
        <s v="2016"/>
        <s v="2019"/>
        <s v="2013"/>
        <s v="2009"/>
        <n v="2021.0"/>
        <s v="2017"/>
        <s v="2012"/>
        <s v="2015"/>
        <n v="2023.0"/>
        <s v="2007"/>
        <n v="2022.0"/>
        <s v="2008"/>
        <s v="2006"/>
        <n v="2019.0"/>
        <s v="2001"/>
        <s v="1996"/>
        <n v="1995.0"/>
        <s v="1987"/>
        <s v="2003"/>
        <s v="2002"/>
        <s v="1985"/>
        <s v="1995"/>
        <s v="1999"/>
        <s v="2017-2019"/>
        <s v="05/01/2023 o 10/01/2023"/>
      </sharedItems>
    </cacheField>
    <cacheField name="Tipo de impacto" numFmtId="0">
      <sharedItems containsBlank="1">
        <s v="Derrame de crudo"/>
        <s v="Árboles talados"/>
        <s v="Botadero"/>
        <s v="otro"/>
        <s v="Derrame nuevo de petróleo"/>
        <s v="Derrame antiguo de petróleo"/>
        <m/>
        <s v="derrame de diesel"/>
        <s v="Peces muertos"/>
        <s v="agua producida"/>
        <s v="Derrame de agua de producción"/>
        <s v="fuga"/>
        <s v="Derrame de agua de formación"/>
        <s v="colpa artificial"/>
        <s v="Crudo mezclado con agua"/>
        <s v="Depósito de material"/>
        <s v="Piscina de crudo"/>
        <s v="Descarga de agua"/>
        <s v="vertedero, antiguo derrame de petróleo"/>
        <s v="Fuga de agua de formación"/>
        <s v="Lodos de perforación"/>
        <s v="aguas de producción"/>
      </sharedItems>
    </cacheField>
    <cacheField name="Fuente de impacto" numFmtId="0">
      <sharedItems containsBlank="1">
        <s v="Batería"/>
        <s v="."/>
        <s v="oleoducto"/>
        <s v="Pozo"/>
        <s v="Botadero"/>
        <s v="Tubería"/>
        <s v="ducto"/>
        <m/>
        <s v="Sump Tank"/>
        <s v="plátaforma"/>
        <s v="Tuberia"/>
        <s v="plataforma"/>
        <s v="Desconocido"/>
      </sharedItems>
    </cacheField>
    <cacheField name="Impacto nuevo o antiguo" numFmtId="0">
      <sharedItems>
        <s v="Antiguo"/>
        <s v="Nuevo"/>
        <s v="."/>
        <s v="Operacional"/>
      </sharedItems>
    </cacheField>
    <cacheField name="Lote" numFmtId="0">
      <sharedItems>
        <s v="Lote 1AB/192"/>
        <s v="Lote 101"/>
        <s v="Lote 8"/>
        <s v="ONP"/>
        <s v="."/>
        <s v="Lote 143"/>
      </sharedItems>
    </cacheField>
    <cacheField name="Empresa involucrada" numFmtId="0">
      <sharedItems>
        <s v="Pluspetrol Norte"/>
        <s v="Frontera Energy"/>
        <s v="."/>
        <s v="PlusPetrol Norte S.A"/>
        <s v="Occidental Petroleum"/>
        <s v="Pacific Stratus Energy del Perú, S.A. / Petroperu S.A."/>
        <s v="Perupetro"/>
        <s v="Pacific Stratus Energy del Perú, S.A."/>
        <s v="Occidental Petroleum, Pluspetrol Norte SA"/>
        <s v="Talisman"/>
        <s v="Occidental Petroleum Corporation (OXY)"/>
        <s v="Pacific Stratus Energy del Perú, S.A./ Pluspetrol"/>
        <s v="PetroPerú, S.A"/>
        <s v="Petroperu"/>
        <s v="PetroPerú, S.A, PlusPetrol Norte S.A"/>
      </sharedItems>
    </cacheField>
    <cacheField name="Descripción detallada" numFmtId="0">
      <sharedItems containsBlank="1">
        <s v="Contaminacion de pozo crudo en cocha y aguajal. Afecta caza y pesca. Ramar de Q..Rí"/>
        <s v="Tierra con petroleo"/>
        <s v="Tala de arboles para hacer oleoducto tobiria Ramar norte"/>
        <s v="Tierra removida, tala arboles por petroleo escondido afecta cocha, colpa y aguajal cerca de Rama de capahuari yacu"/>
        <s v="Hay barriles antiguos de metal, residuos plásticos y otros restos botados. El agua se ve contaminada con crudo en la superficie, visiblemente notable. Esta quebrada fluye hacia el río Capahuari."/>
        <s v=" Tubería de metal abandonada en el bosque."/>
        <s v="Pasivo ambiental/ Sitio PAC"/>
        <s v="Evidencia de crudo en el suelo de los tiempos de Oxy. "/>
        <s v="Tierra removida y contaminacion y tala debido a plátaforma. Queman petroleo. Afecta cocha, colpa y aguajal"/>
        <s v="Hay barriles de metal y plástico botados y pedazos de tubería y otros restos."/>
        <s v="Evidencia de crudo en el suelo. "/>
        <s v="Anteriormente este sitio ha sido lugar de dos otros derrames por lo menos que no fueron adecuadamente remediados. La comunidad caza en el área e incluso toma el agua. "/>
        <s v="El incidente afecta al territorio de la Comunidad Nativa Titiyacu. Los registros muestran una válvula que bota crudo directamente al medioambiente. El crudo cubre una área significativa y migra hacia una quebrada que eventualmente termina en la quebrada C"/>
        <s v="Derrame de hidrocarburos en capahuari Norte"/>
        <s v="Derrame antiguo y botadero en el territorio de la comunidad Titiyacu. Actualmente es una colpa activa."/>
        <s v="Al llegar, la empresa ya ha empezado con su plan de contingencia. Se ve un estimado de 150 bolsas de crudo, y todavía trazas de crudo en la quebrada que desemboca en rio Capahuari. Afectación de 1,4 hectareas, 450 metros desde la fuente"/>
        <s v="Tubería de metal botada."/>
        <s v="Se rebalsó el sump tank."/>
        <s v="Área contaminada por un derrame de crudo en la parte de atrás del pozo 5. Según los apuntes escritos, el suelo se ha movido para hacer perforaciones."/>
        <s v="El propietario de la empresa es Petroleos del Perú-Petroperu S,A."/>
        <s v="Antiguo pozo de crudo de los tiempos de Oxy y Pluspetrol. "/>
        <s v=" El safe tank vierte a una zona, que cuando rebalsa alimenta la colpa. La fauna ha convertido una zona contaminada en colpa"/>
        <s v="Una colpa contaminada. Es un lugar importante para la alimentación de varias especies, entre ellas la sachavaca. "/>
        <s v="Este evento fue prooleoducto de una rotura de tubo &quot;turbo&quot; que abastecía a las avionetas y helicopteros. El petroleo corrió por Panpallina Yacu, llegando al final al río Pastaza."/>
        <s v="Crudo antiguo enterrado 20-30cm debajo de la superficie. El área suele ser usada por la comunidad."/>
        <s v="Afectó la cocha Shanshococha y los riachuelos de Shirunchi y Anapaza."/>
        <s v="Se ve tierras removidas y crudo. Afecta al río Pastaza. Los pobladores han construido sus casas en la zona contaminada. "/>
        <s v="Pruebas contundentes de antiguo petróleo de los tiempos de Oxy dentro de un agujero de 1,5m de profundidad hecho mientras se construía un pozo de agua. El lugar está en medio de un asentamiento. Es probable que toda la zona esté afectada."/>
        <s v="."/>
        <s v="S0167, Muestreo OEFA, a ±3m de profundidad olor fuerte a hidrocarburos"/>
        <s v="El monitor cuenta que hubo un derrame hace 10 años en los tiempos de Pluspetrol que afectó a la zona. Hoy se puede encontrar crudo a unos 5 cm de profundidad. "/>
        <s v="Hay cuatro cilindros con crudo derramado y un botadero. La cocha Uspayacu y la quebrada Anapaza han sido afectados por el derrame en el territorio de Alianza Capahuari. Afecta también a la zona de caza y pesca de Loboyaco. El río está abajo de la quebrada"/>
        <s v="La comunidad está cultivando por encima de un botadero de los tiempos de Oxy. Hay residuos de metal enterrados y una instalación petrolera abandonada. Los registros muestran, entre otras cosas, barriles, pedazos de tubería, llantas, etc. Afectó a un aguaj"/>
        <s v="Unas obras en Nuevo Andoas encontraron hidrocarburos 30cm de los tiempos de Oxy. Su fuente es desconocida. Según el monitor, está afectando a una colpa, una cocha y un aguajal. La empresa está quemando el crudo. La contaminación llega al río Pastaza. "/>
        <s v="Unos 50 cilindros de metal botados en el bosque. "/>
        <s v="Afecta a la quebrada Ismacaño cerca de las instalaciones de Petroperu."/>
        <s v="No hay derrame, pero se ha perforado un hueco con taladro de 4 pulgadas, el hueco chorrea, le han puesto un palito."/>
        <s v="Evidencia de crudo enterrado."/>
        <s v="Crudo saliendo del suelo."/>
        <s v="Una colpa contaminada. Hay pedazos de tubería de metal que aún contienen crudo y están contaminando el área desde que fue abandonada."/>
        <s v="Una gran cantidad de crudo se derramó en los tiempos de Oxy. Aún es visible y llega hasta 2.5m de profundidad. A unos 20-30 m de distancia, hay dos oleoductos. "/>
        <s v=" Hay evidencia contundente de crudo de los tiempos de Oxy en el suelo, distribuido por una zona amplia. Abarca una profundidad que llega hasta 50 cm. Además, hay un botadero."/>
        <s v="En este sitio se ha botado residuos tóxicos, tanto orgánico como inorgánico. Esto ha cambiado cómo crecen la flora y los árboles. Aún hay contaminación y afecta a un aguajal y las zonas de caza y pesca de varias comunidades. "/>
        <s v="Residuos de metal y plástico como pedazos de tubería, jeringas, etc. de los tiempos de bosque en el bosque. Hay una instalación abandonada. (-2.775354524775755, -76.44823757737052)."/>
        <s v="El derrame de petróleo afectó a un riachuelo y una quebrada. Proviene de un oleoducto antiguo. El evento se dio dentro de las instalaciones de Frontera Energy (ex-Pacific Stratus Energy del Perú)."/>
        <s v="Trazas de crudo, contaminación de suelo, contaminación de cuerpo de agua"/>
        <s v="Durante la supervisión de OEFA, se encontraron barriles antiguos, pedazos de tubería, hierro y otros residuos enterrados cerca del pozo 32. La empresa empezó a limpiar la zona con maquinaria pesada, después de una denuncia administrativa de FEDIQUEP. Segú"/>
        <s v="Evidencia de crudo antiguo en el suelo. "/>
        <s v="Desde 1972 este sitio ha sido un botadero por la empresa Oxy. Hay metales, motores, vehiculos, tubería y otros restos abandonados en el suelo y enterrados también. El depósito ha modificado cómo crecen la cesped los árboles y otra flora. Se ve tierras rem"/>
        <s v="Según el informe de OEFA, miembros de FEDIQUEP informaron que la empresa está utilizado tierra para encubrir un sitio contaminado en Shipiro Cocha para evitar remediarlo."/>
        <s v="Un derrame de los 18, 19 y 20 afectó a Chancho Cocha, Piripiri Cocha y un aguajal. La contaminación fluye hacia la quebrada Anapaza."/>
        <s v="Aún hay hidrocarburos en el entorno. Hay canteras, crudo ocultado por árboles talados. Afecta a un aguajal y zonas de pesca y caza de varias comunidades. En los tiempos de Oxy, los pobladores advirtieron de la presencia de contaminación. Afectó a la cocha"/>
        <s v="Depósito de hidrocarburos en la cocha Shanshococha. La cocha Shanshococha fue remediado hace 9-10 años en el tiempo de Pluspetrol. Aún se encuentra contaminada y afecta a la cocha aunque no es visible. Esta cocha es tributaria de Shanshococha. Afectó a mu"/>
        <s v="Un derrame antiguo de una hectárea. No se ha hecho ningún trabajo de remediación. "/>
        <s v="Evidencia de crudo en el fondo de una colcha."/>
        <s v="Esta cocha contiene crudo, metales pesados e hidrocarburos, etc. desde hace años. Está visiblemente afectada la Shirunchicocha cocha. El OEFA está haciendo un análisis integral. Se encuentra afectando la tierra, los territorios de caza y pesca de Shirunch"/>
        <s v="Evidencia de crudo en el fondo de la colcha. Podría haber sido afectada por 1 o 2 eventos o podría ser 2 cochas afectadas por derrames distintos del mismo oleoducto. (1:-2.7884420142872100, -76.43310684395480; y 2: -2.7908308966245507, -76.43212933289603;"/>
        <s v="Evidencia de crudo en el suelo. El evento se dio según las siguientes coordenadas:  -2.791788849431106, -76.43273312681575 / 340744, 9691324 and -2.791553787043049, -76.43266088576635."/>
        <s v="Instalaciones afectadas por corosión donde muchos derrames se han dado. Toda esta contaminación ha afectado a la cocha Paschin (ubicada al frente del campamento militar Otorongo) "/>
        <s v="pequeã fuga hidrocarburos capahuari Sur, territorio de Los Jardines"/>
        <s v="Afecta a la quebrada Anapaza, las zonas de pesca y de caza de la comunidad. Hay evidencia de árboles talados y suelo contaminado. Es un sitio distinto a PAS201606 y PAS201607."/>
        <s v="Almacenamiento de crudo de tiempos de Occidental y PlusPetrol. Se ha almacenado ahí por decadas sin remediación y no ha habido ningún cambio desde el 2011 cuando los monitores visitaron el sitio. Además, hay presencia de un botadero y de crudo ocultado. A"/>
        <s v="No afecta a ninguna comunidad en particular. No ha cambiado, es un punto la cocha piri piri cocha."/>
        <s v="El sitio normalmente es afectado por derrames originando en una instalación cercana. El crudo fluye hacia la cocha. "/>
        <s v="La zona ha sido afectada por al menos 3 botaderos antiguos distintos.Hay miles de residuos enterrados. El monitor contó que la empresa también ha botado prooleoductos químicos en el área. Se nota tierras removidas y una cantera. Afectó al río Shippyn, la "/>
        <s v="barriles de metal abandonados que contienen prooleoductos peligrosos como crudo y otros quimicos."/>
        <s v=" Según el ODK, hay tierras removidas. Hay contaminación visible y un botadero. Han quemado y ocultado el crudo. Afecta a un aguajal."/>
        <s v=" Un evento antiguo que afectó a la colcha Ismacaño. Se nota crudo en la superficie del agua. También, hay evidencia de tierras removidas y un botadero. Afectó a una colpa. La empresa ha ocultado la contaminación."/>
        <s v="Los registros muestran un tubo que bota una mezcla de agua de producción y crudo directamente a la quebrada Ushupayacu. Esta mezcla termina en la quebrada Capahuari. El video también muestra crudo saliendo del suelo. Cuando llueve, el crudo migra hacia ri"/>
        <s v="La empresa no instaló barreras para evitar que el crudo fluya aguas abajo. "/>
        <s v="El crudo derramado afectó a la quebrada ubicada en la parte del fondo de Minicentral Eléctrica of Capahuari Sur. No se encuentra información detallada en el informe de OEFA. Miembros de FEDIQUEP participaron en la expedición de supervisión."/>
        <s v="Un derrame de diésel afectó a un afluente del río Capahuari a través de la quebrada Ushupayacu. El incidente ocurrió en diciembre y una segunda visita en marzo evidenció la presencia de contaminación aún."/>
        <s v="El sitio contaminado proviene de un Reporte Público 1470-2012 que identificó una gran cantidad de sitios impactados en el área del río Pastaza. En este caso hay evidencia que aún hay crudo en el suelo."/>
        <s v="Hay evidencia de un derrame antiguo. Hay barriles de metal y residuos botados. El video muestra un tubo que está botando agua producido en la parte alta de la quebrada Ushpayacu. Los monitores eran Exon, Juan José y Telmo."/>
        <s v="Hay distintos tipos de tubería botados en el bosque. "/>
        <s v="Es un sitio antiguo PAC que no ha sido remediado. En 1997/1998 había una cocha llena de hidrocarburos. Luego la empresa remedió la cocha. Por no haberlo hecho adecuadamente, la cocha se desapareció eventualmente. Aún hay crudo enterrado. El procedimiento "/>
        <s v="En una nota escrita:''En dique primero entre parte este y oeste de la cocha.'' En la temporada de lluvías, el crudo sale y afecta a la cocha. Fluye hacia el río Pastaza. Las zonas de caza y pesca de Yanayaco de muchas comunidades están siendo afectadas."/>
        <s v="Monitores de la etnía Quechua han visitado el área en los tiempos de Pluspetrol con varias instituciones estatales. Nada ha cambiado pero se ha hecho desaparecer la cocha y lo ha llenado con tierras nativas, etc. Hay tierra removida, contaminación y árbol"/>
        <s v="La colcha Shippilay ha sido contaminada por crudo antiguo. Se sale el crudo cuando el monitor agita el fondo de la laguna con un palo. Actualmente, la cocha Shippilay se ha llenado con hidrocarburos, hay tierras removidas y contaminación visible. Afecta a"/>
        <s v="Hay crudo en el fondo de la laguna que viene de la cuenca alta de la quebrada Ushupayacu, donde las empresas han estado botando hidrocarburos y aguas de producción por muchos años. La zona ha sido designada para remediación según el PAC."/>
        <s v="Este sitio supuestamente ya ha sido remediado según el PAC (código CSUR27). Sin embargo, aún hay contaminación visible yendo aguas abajo. Por más de 30 años, el crudo se ha botado directamente al medioambiente."/>
        <s v="Una área grande inundada con crudo. "/>
        <s v="Un oleoducto cerca de la base Andoas se ha roto. El tanque conteniendo crudo se rebalsó. El oleoducto era frágil. La empresa hizo una limpieza en el sitio."/>
        <s v="Sitio contaminado antiguo que afecta al riachuelo Choyacu. Además, se afectó a una colpa"/>
        <s v="El derrame de crudo se dio debido a la oxidación externa de tubería. Según la empresa, el área afectada abarca 150 m2. 15m3 de suelo contaminado fue retirado. El informe de OEFA indica que hay facilidades abandonadas, sin mantenimiento adecuado en el pozo"/>
        <s v="El pozo fue abandonado en 1992 pero las instalaciones aún no han sido retiradas."/>
        <s v="Un derrame grande cerca a la carretera principal que conecta Andoas y Wayuri principal, km 34. El evento se dio en la comunidad de Nazareth, afectándola. Unos 1000 barriles fueron derramados al medio ambiente. El crudo ha corrido por el río Macusari por m"/>
        <s v="Derrame occurido en km 34, afecta quebra 20x20000"/>
        <s v="Peces muertos en la cocha, evidencia de crudo"/>
        <s v="Cocha contaminada con crudo, 20x250"/>
        <s v="Afectación directa a cuerpo de agua (quebrada) y suelo. Peligro de contaminación por cercanía a CC.NN José Olaya, el agua de la quebrada llega a la CC.NN José Olaya y es utilizada por los pobladores. Crudo que sale del ducto"/>
        <m/>
        <s v="Derrame en tubería de el Carmen"/>
        <s v="Derrame en el Carmen, area afectafa 57m2, afectación al suelo"/>
        <s v="Los registros indican un derrame grande con más de 200 m2 de suelo contaminado, afectando bastante a la quebrada Timu Entsa y el río Corrientes. Por ende, una gran área de flora y suelo se ha encubierto con crudo. Las imágenes muestran que los trabajos de"/>
        <s v="Derrame en Huayuri norte"/>
        <s v="320 metros cuadrados de afectación"/>
        <s v="Contaminación de suelo,Trazas de crudo, 160m2 area afectada,"/>
        <s v="Tanque de alamacenimiento que no estuvo bien cubierto y se ha estado llenando con agua de lluvia. Crudo se ha derramado y falta poco para que llegue a la quebrada."/>
        <s v="Derrame que brota de un tanque de la bateria Huayuri"/>
        <s v="Fuga de tubería. El evento afecta a la quebrada Machupichu."/>
        <s v="Derrame en Huayuri, puede afectar a la CC.NN. Jose Olaya"/>
        <s v="Afectó a la comunidad José Olaya."/>
        <s v="Lodos de perforación dejados por la empresa Talisman."/>
        <s v="Contenedores antiguos enterrados y dejados por la empresa Talisman. "/>
        <s v="hay residuos industriales antiguos dejados por la empresa. "/>
        <s v="Aguas de producción saliendo del suelo por restos dejados por la empresa Talisman. "/>
        <s v="El derrame afecta a la quebrada Manchari."/>
        <s v="El evento se dio en el depósito de diésel ubicado en Dorissa 12, que se desbordó. El contenido se derramó dentro del área de dique de contención."/>
        <s v="Un oleoducto antiguo con una fuga que impactó a la quebrada pucacunga yacu."/>
        <s v="Es una expedición de OEFA."/>
        <s v="La contaminación de una cocha debido a un derrame de crudo en el pozo Dorissa 15 resultó en un procedimiento administrativo. Este procedimiento acusó a la empresa de 4 infracciones: 1) abandonando el sump tank del pozo Dorissa 15; 2) no entregar el inform"/>
        <s v="El derrame afectó a la Isla Jibaro y el río Corrientes."/>
        <s v="Hay crudo almacenado desde el tiempo de PlusPetrol en 2013 (hace 3-4 años), lo cual llega a 2 metros de profundidad. Está afectando a la fauna, flora y la comunidad Jerusalén. Las áreas afectadas incluyen el río Chuu entsa, las zonas de caza y pesca de Je"/>
        <s v="Derrame del sump tank del Pozo 9 Dorissa afectando 25 m Largo Ancho 5 m Comunidad Nueva Jerusalén"/>
        <s v="Derrame en el tanque sumidero - pozo 9, 24x 5 metros de área impactada"/>
        <s v="La empresa está remediando la zona. "/>
        <s v="Derrame de petróleo debido al desborde de los pozos 9 y 7 en la Batería Dorissa. Afectó a la comunidad Nueva Jersualén. Es una expedición de OEFA."/>
        <s v="Derrame de hidrocarburos en yacimiento Dorissa, pozo 13"/>
        <s v="Afectó a la comunidad Nueva Jersualén. Es una expedición de OEFA."/>
        <s v="Se ocurrió dentro de las instalaciones de la batería Dorissa 17 debido a la alta presión. Afectó a los suelos naturales y la quebrada Chu entsa."/>
        <s v="Hueco en tubería, derrame de agua de producción cerca de pozo 12-01 de Dorissa"/>
        <s v="El derrame de crudo se dio debido a la oxidación de tubería. Afectó a la quebrada Pucacuro."/>
        <s v="El derrame de crudo occurió debido a una tubería rota. El crudo derramado salió por una superficie desnivelada y se quedó atrapado en una zona de suelo arcilloso."/>
        <s v="Afectó a la quebrada Manchari  y también las áreas de caza y pesca de Jose Olaya. Se encontraron algunos animales y peces muertos. Superficie afectada= 12m x 750 m."/>
        <s v="El derrame afectó a la orilla de Pucacuyacu en el territorio de la comunidad Nueva Jerusalén. "/>
        <s v="El derrame afectó a la orilla de Pucacuyacu en el territorio de la comunidad Nueva Jerusalén."/>
        <s v="Es una expedición de supervisión de OEFA."/>
        <s v="Afectó a la zona de pesca y caza de las comunidad José Olaya y  Huayurí Norte; también afectó a la quebrada Timo entsa."/>
        <s v="Crudo derramado de un camión. "/>
        <s v="Los monitores ambientales informaron que el evento había afectado al medioambiente, encontrando peces muertas. El sitio aún no había sido remediado."/>
        <s v="Un oleoducto abandonado. Es una expedición de OEFA."/>
        <s v="Derrame Nuevo carretera Km 11 Dorissa a. Huayuri, afecta quebrada Libre"/>
        <s v="Fuga de tubería."/>
        <s v="Derrames dejados por Frontera en Forestal; quebrada contaminada"/>
        <s v="Derrames dejados por Frontera en Forestal; suelo contaminado al lado de carretera"/>
        <s v="La primera vez que identificaron el derrame, cuando estaba Frontera Energy, la empresa no lo había reportado, y las comunidades no saben en que fecha ocurrió. Frontera Energy realiza una limpieza, no muy buena, pero el 15 de marzo del 2021 otra vez vuelve"/>
        <s v="Derrames dejados por Frontera en Forestal; suelo contaminado"/>
        <s v="Derrames dejados por Frontera en Forestal; Pozo con piscina de crudo al lado"/>
        <s v="Tanque sumidero, area afectada 50m2, contaminación de suelo y agua,"/>
        <s v="Aún hay crudo antiguo en el suelo y llega a tres metros de profundidad. Este evento se dio en los tiempos de Oxy"/>
        <s v="Nueva ruptura en el Tanque 591 de la Batería Forestal provoca nuevo derrame. El crudo no deja de salir y continúa esparciéndose"/>
        <s v="Derrame en Bateria Forestal, tubería de 6 pulgadas"/>
        <s v="Residuos solidos - latas, fierros, bidones"/>
        <s v="Area afectada 82m2, Latas,Fierros,Baterías,Tubos,Plasticos"/>
        <s v="Un derrame de un pozo."/>
        <s v="Este evento se dio en 2003."/>
        <s v="El derrame se dio debido a la alta presión. Se demoraron 20 días en hacer la limpieza con 12 trabajadores. "/>
        <s v="El evento tuvo un impacto significativo en la quebrada Peñayacu. "/>
        <s v="El evento afectó a la comunidad José Olaya."/>
        <s v="El evento ocurrió debido a la oxidación externa del oleoducto. Afectó a un riachuelo. El área afectada abarca 150m2 de superficie con flora y 200m de un canal natural."/>
        <s v="Colcha contaminada."/>
        <s v="Afectó a la quebrada Huasay y las zonas de caza y pesca de Huasay y Olaya. Se encontraron peces muertos. "/>
        <s v="Derrame de sump tank de batería 1A cerca de 12 de Octubre"/>
        <s v="Charco de agua, no está claro de donde proviene"/>
        <s v="Trazas de crudo en suelo y agua"/>
        <s v="Quiebra en la tubería, el derrame ocurrió sobre una pendiente que se precipita varios metros hasta llegar a una quebrada. La tierra arcillosa cavada presenta evidencias de haberse mezclado con petróleo"/>
        <s v="Afectó a un aguajal."/>
        <s v="Derrame grande que contamina al río Corrientes, afectando varias comunidades rio abajo como Pampa Hermosa, Pucacuro, hasta Lote 8. Información de OEFA menciona que fue en tubo hacia batería Jibarito, y estiman o 23,353 o 75,544 barriles derramados de crud"/>
        <s v="El derrame se produjo por una antigua mordaza de hierro. Afecta a la isla Jibarito."/>
        <s v=" Afecta a la isla Jibaro y el río Corrientes. "/>
        <s v="Derrame de Sump Tank en plátaforma HPS de Jibaro Isla. Según OEFA, se derramaron 920.823 barriles de agua de reinyección conteniendo trazas de crudo.  Afecta la quebrada Pumayacu (7km), y Hugococha. Crudo en sedimentos submergido en el agua, aflora cuando"/>
        <s v="Bidones"/>
        <s v="Se detectó cuando el operador encargado encontró crudo saliendo del antorcha."/>
        <s v="72.87m², contaminación de suelo"/>
        <s v="Afecta al riachuelo de Pungacungayacu que fluye hacia el río Corrientes."/>
        <s v="Un derrame de bastante crudo afectó a la quebrada Pucakungayacu, quebrada Tseku entsa y el río Corrientes. Se dio debido a la oxidación externa de un tubo enterrado proveniente de la Batería Jibarito. Según el informe, la inversión en medidas preventivas "/>
        <s v="El evento afectó a la quebrada Paniyacu Grande."/>
        <s v="El derrame está afectando a la quebrada Tseku entsa, Pucacunga yacu y río Corrientes."/>
        <s v="El evento afectó a la quebrada Paña Yacu. Una gran cantidad de crudo fue derramada, impactando a la colcha aledaña y la zona aledaña. "/>
        <s v="Tubería antigua abandonada en el bosque. "/>
        <s v="barriles y otros materiales abandonados."/>
        <s v="Una gran cantidad de tubos abandonados."/>
        <s v="Se hizo un hueco para almacenar el derrame que hacen los pozos como el viento pozo 6"/>
        <s v="En este sitio se encuentra chatarra, como cajas de maquinas pesadas, aluminio, etc. Area afectada 40x35 metros"/>
        <s v="Suelo con petroleo"/>
        <s v="Lago contaminado"/>
        <s v="Pozo 24 de San Jacinto. Derrame que sale del Cabezal de Pozo cada vez que hace mucho sol, derrame en el Sumptank de Pozo 24 y se llena. Ya se han reportado derrames anteriores, y ya se estaba realizando un trabajo de limpieza y contingencia en el mismo lu"/>
        <s v="Lodo con petroleo crudo"/>
        <s v="Hojarasca y tierra con petroleo"/>
        <s v="Chatarra de tubos de fierro"/>
        <s v="Arboles y lodo con petroleo"/>
        <s v="Botadero"/>
        <s v="Botadero de fierros y otros"/>
        <s v="El bosque ha crecido por encima de un botadero."/>
        <s v="Botadero de fierro y concreto"/>
        <s v="Petroleo flotando en charco"/>
        <s v="Petroleo cubierto con hojarasca"/>
        <s v="Botadero de botellas"/>
        <s v="Quebrada contaminada"/>
        <s v="Chatarra enterrada"/>
        <s v="Quebrada contaminada con petroleo"/>
        <s v="Aguajal contaminado"/>
        <s v="Tanque de concreto"/>
        <s v="Botellas enterradas"/>
        <s v="Plantas contaminadas"/>
        <s v="Tubos expuestos"/>
        <s v="Laguna o cocha contaminada"/>
        <s v="Chatarra de tubos"/>
        <s v="A la fecha hay tres puntos de fuga en base san Jacinto: 1. Tanque de almacenamiento 1405 que la empresa dejo sin cerrar por lo que la lluvia lo ha hecho rebalsar 2. Tubo de 2” que ha hecho pequeño derrame de 20x10 3. Sump tank 1419 que hace no mucho tambi"/>
        <s v="Derrame en Sumptank 1440 al sumptank 1405"/>
        <s v="Tubería antigua botada en el bosque. "/>
        <s v="Tubo debajo del agua"/>
        <s v="La empresa informó que la ocupación de las instalaciones de la empresa por la comunidad 12 de Octubre estaba agravando la expansión del derrame porque los comuneros no permitieron los trabajos iniciales de contención en el momento.  Sin embargo, el origen"/>
        <s v="Tubería antigua abandonada."/>
        <s v="Suelo contaminado"/>
        <s v="Seis meses después del evento, aún hay rastros de crudo en el suelo. Una gran cantidad de crudo salió del oleoducto. En el está escrito &quot;TL08 J1A-SAJ.&quot; Afectó a un aguajal. Los monitores informan que el OEFA aún no ha hecho ninguna visita al sitio (no fue"/>
        <s v="Este sitio tiene una historia de contaminación. El crudo que aún queda se ha acumulado por muchos años, llegando a 3-4 metros de profundidad. Según el monitor ambiental, cada vez que llovía, estos pozos se desbordaban y después el contenido se vertía al m"/>
        <s v="Según la resolución directoral, la empresa no implementó medidas preventivas para evitar el derrame y el plan de contención se implementó tarde. "/>
        <s v="Se dio debido al desborde de un tanque. Las autoridades fueron informadas. "/>
        <s v="Tubos enterrados"/>
        <s v="Derrame grande en San Jacinto que afecta a quebrada Lupuna"/>
        <s v="Charco contaminado"/>
        <s v="Se dio debido la oxidación interna. Una gran cantidad de crudo se derramó. Del punto de la fuga el crudo se dispersó unos 10 metros por una zanja que llega a la quebrada de Piedra Negra y que podría llegar al río Tigre. El apu explica que antes del evento"/>
        <s v="El evento original se dio 19/12/2016 dentro de una zona PAC, en Ramal de Piedra Negra, cerca del pozo 13 en Batería San Jacinto. Al momento de tomar las fotos el OEFA aún no había visitado el sitio. Según el monitor ambiental, cuando la empresa empezó a r"/>
        <s v="Según la empresa, el evento se dio por oxidación interna de la tubería. La quebrada de Piedra Negra fue afectada. La empresa encargada de contener el derrame construyó barreras físicas utilizando materiales naturales como diques y flora. Según el informe "/>
        <s v="El derrame se dio debido a la oxidación interna de la tubería. Sucede el 19/02/2017 en el cruce 1A del oleoducto 8. El 21/02/2017 hubo otro derrame a unos 4 metros más allá del derrame anterior en el mismo oleoducto. Ambos derrames afectaron gravamente a "/>
        <s v="Derrame grande de agua de producción mezclada con crudo, contaminando a la quebrada Seticuyacu. Area afectada: 1159 metros cuadrados de suelo y 800 metros cuadrados de agua."/>
        <s v="400 metros de largo,ancho 3 metros,metraje total 1200 metros; Contaminación de cuerpo agua, Contaminación de suelo, Contaminación de animales"/>
        <s v="Residuos de concreto"/>
        <s v="Botadero de vidrios"/>
        <s v="Área afectada de 50 de largo por 9 ancho,metros cuadrados 450 metros. Cuerpo de agua afectada."/>
        <s v="Afectó a varias comunidades como 12 de octubre, San Juan Bartra y Arenal. Hubo un derrame grande de las instalaciones de la empresa que afectó profundamente al medio ambiente. El crudo derramado corrió por el río Kachiyacu, la quebrada Piedra Negra hasta "/>
        <s v="Chatarra de concreto"/>
        <s v="Botadero de residuos solidos"/>
        <s v="Hojarasca y suelo contaminado"/>
        <s v="Afectó al territorio de la CN Andrés Avelino Cáceres. Es un derrame de tamaño 200m2. El evento se dio dado a una fuga de tubería por oxidación interna. El OEFA no ha visitado el sitio y no se hizo remediación."/>
        <s v="Derrame de crudo en pozo 01, afecta área grande, contaminación de suelo y agua"/>
        <s v="Expedición de OEFA. Hay evidencia de petróleo mientras el equipo de OEFA recolectaba muestras. "/>
        <s v="Un tubo y un barril abandonado."/>
        <s v="Un gran número de bolsas de petróleo recuperado se amontonaron como consecuencia de un vertido de petróleo. El evento tuvo lugar en la comunidad 12 de Octubre."/>
        <s v="Sump Tank del Pozo 1A rebalsa de hidrocarburo impactando un área de 700 m²."/>
        <s v="Es un sitio contaminado antiguamente de las actividades de Pluspetrol y Oxy por muchos años. No se hizo ninguna remediación todavía. El evento afectó a un aguajal, una cocha e impactó a la quebrada Yanayacu. (la carpeta incluye unos ODK que se tomaron del"/>
        <s v="Tubos abandonados."/>
        <s v="El evento fue producto de obras para desenterrar un oleoducto antiguo que aún contenía crudo que fue abandonado (de los tiempos de Oxy).  Gran parte de este crudo se dispersó por la zona, llegando al río principal. "/>
        <s v="El evento se dio cuando un oleoducto antiguo fue desmantelado por el hierro. Afectó al territorio de Andres Avelino Cáceres."/>
        <s v="El hecho tuvo lugar frente a la comunidad de Mariscal Cáceres a raíz de un derrame originado tras el retiro de una antigua tubería. El petróleo se extendió y discurrió por un pequeño afluente del río Tigre."/>
        <s v="Derrame de petróleo de un tanque en las instalaciones Marsical Caceres. Se dio debido a una obra de un comerciante que cortó y se llevó un oleoducto antiguo. El crudo salió por los riachuelos hasta llegar al río Tigre. Los registros muestran bolsas de cru"/>
        <s v="La empresa encargada fue Pluspetrol. Afectó al territorio de comunidad Marsella y la quebrada Llanchama. "/>
        <s v="Este sitio es un sitio PAC y no ha sido remediado. El monitor ambiental informa que el sitio huele a petróleo. "/>
        <s v="Un derrame encontrado por Raúl Sandy mientras cazaba. Cuando el monitor visitó el sitio, los trabajos de remediación estaban en proceso. El evento afectó a la comunidad San Cristobal y el río Corrientes. El monitor ambiental reportó peces muertos en el ár"/>
        <s v="Hay barriles que contienen productos químicos botados en el bosque. Afecta a la comunidad 12 de Octubre. "/>
        <s v="barriles botados en el bosque."/>
        <s v="En 2013, OEFA con organizaciones de comunidades nativas de los ríos Pastaza, Tigre y Marañón hicieron una expedición de supervisión en el Lote 8 para identificar posibles sitios contaminados. Se informó sobre 41 sitios contaminados en Nueva Esperanza, Pav"/>
        <s v="Una cantina de pozo no adecuadamente abandonada. En 2013, OEFA con organizaciones de comunidades nativas de los ríos Pastaza, Tigre y Marañón hicieron una expedición de supervisión en el Lote 8 para identificar posibles sitios contaminados. Se informó sob"/>
        <s v="Una plátaforma abandonada que presenta evidencia de daño ambiental ahí cerca. "/>
        <s v="Según el informe de supervisión, se dio por una pérdida progresiva de presión interna."/>
        <s v="Pozo 25, sitio remediado por Pluspetrol donde los animales están haciendo colpa"/>
        <s v="Botadero de fierros y llantas"/>
        <s v="Restos de plátaforma de concreto"/>
        <s v="Botadero de bidones, restos de container"/>
        <s v="Botadero de llantas"/>
        <s v="plátaforma de concreto y botadero"/>
        <s v="Restos de fierros de tractores"/>
        <s v="Fuga de crudo de tubería y pozo abandonado, numero 92. Afecta la quebrada Nayanmaca"/>
        <s v="Derrame de crudo antiguo en Pozo 74, lo cual resultó en que animales están haciendo colpa."/>
        <s v="Una base abandonada que antes se usaba para actividades de transporte. "/>
        <s v="Hay metales y otros residuos acumulados."/>
        <s v="Pozo antiguo abandonado que, con los años, se ha convertido en una colpa contaminado por petróleo"/>
        <s v="Botadero de tubos y filtros"/>
        <s v="Crudo antiguo se puede encontrar en el río pequeño y un aguajal. "/>
        <s v="Contenedores aún con liquidos tóxicos peligrosos adentro."/>
        <s v="Afectó a Arturo Caño, afluente del río Corrientes 3 km aguas abajo. Ocurrió hace 15 años (aprox. 2013) y el sitio no ha sido remediado. La empresa encargada de la limpieza enterró el crudo. El lugar se ha convertido en un salegar/colpa contaminado por pet"/>
        <s v="5 días después del evento, el OEFA informó sobre la presencia de crudo sobre toda la quebrada Caño Carmen, del punto de la fuga hasta donde el riachuelo desemboca en el río Corrientes. Se reportó una extensión de 252,8 m2 de suelo y flora impactado. Los m"/>
        <s v="Derrame antiguo (6 meses atras) que sigue contaminando a la quebrada barrilana, la cual fluye hacia el rio Corrientes."/>
        <s v="Es un botadero antiguo donde la empresa oxi botaban todo los materiales plásticos y metales y se encuentran hasta ahora impactando"/>
        <s v="Esto Baradero se encuentran en canto de la carretera impactando el medio ambiente y nuestra salud"/>
        <s v="Este es un lugar que escabaron tipo un cajón grande donde echaban toda la basura son dos cajón en el mismo punto y se encuentran hasta hoy en el mismo lugar."/>
        <s v="Botadero de fierros y tubos"/>
        <s v="Botadero de chatarra (plastico, tubos, bidones) de 5x30 metros. Abajo de la chatarra hay crudo embolsado en plastico. La empresa lo ha tapado y dijeron a la comunidad que no hay contaminación."/>
        <s v="Derrame antiguo (2011), Pluspetrol remedió pero no suficiente. Afecta quebrada Camaronyacu."/>
        <s v="Chatarra de fierros"/>
        <s v="Es un botadero antiguo que a simple vista no se nota nada porque se encuentran enterrado que dejó la empresa Pluspetrol hace años y está enterrado"/>
        <s v="Dentro del territorio de la comunidad San Juan Bartra y la área de caza de El Ojeal. Hay varios barriles metales botados en el bosque. Hay una colpa."/>
        <s v="Contaminación al medio ambiente y ala salud de los vivientes. Afecta a la quebrada Montano. Numerado 1.2.4 en reporte de monitoreo San Juan de Bartra"/>
        <s v="En el km 10.500 metros  batería Bartra botadero antiguo  de materiales industriales; 30x100. Chatarra se encuentran tanto en la superficie y como también enterrado en gran cantidad. Afecta Cocha Verde."/>
        <s v="Este lugar ha sido un lugar donde la empresa Oxy botaba todo tipo de materiales y se encuentran en el mismo lugar(bidones condentro y si dentro con quimicas). Afecta quebrada montano y cochas ,saliendo por el río tigre. Hasta la fecha se ve que se están e"/>
        <s v="Este lugar es todo lo que arrojaban el pozo 4-5 el perímetro de suelo contaminado es aproximadamente de 2000 metros de ancho y de largo 2000 metros de ancho aprox."/>
        <s v="Sitio antiguo, botadero de crudo al lado de pozos 4 &amp; 5, donde ahora se encuentra una colpa artificial. Varios animales vienen a comer. El crudo también afecta a la quebrada Bufeo, la cual fluye hacia el rio Tígre. Dificil de estimar el area afectado porq"/>
        <s v="Botadero de tubos"/>
        <s v="Botadero de cilindros, calaminas y botellas"/>
        <s v="Sitio antiguo, afecta suelo y una quebrada"/>
        <s v="Sitios impactados por hidrocarburos"/>
        <s v="Exactamente no se sabe cuánto de extención se encuentra este botadero será un aproximado de 200 x100. Afecta quebrada Montano"/>
        <s v="Se acumularon restos antiguos de la época de Oxy. "/>
        <s v="Chatarra de tubos enterrados"/>
        <s v="Sitio antiguo; colpa artificial. En este sitio comen las Sacha vaca, venado,majas,Sajino, carachupa, maquisapa, etc."/>
        <s v="Es un lugar antiguo de bidones abandonados antiguos se encuentran aproximadamente de 100 x 500 metros. Antes eran algunos con dentro de quimicas se reventaron por el tiempo que tenia"/>
        <s v="Dentro del territorio de la comunidad San Juan Bartra y el área de caza y pesca de Puesto Vaca.  Es un sitio antiguo.  Hay un gran número de viejos bidones y barriles de metal abandonados en el bosque. Se encuentra también una colpa."/>
        <s v="En la misma batería Bartra se encuentra en esta condición hasta hoy en dia. Esta chatarras se encuentran en este lugar algunos enterrados y como también fuera casi no se nota nada porque están dentro del bosque. Este lugar es aproximadamente de 500 largo "/>
        <s v="El botadero contiene varios residuos como viejos bidones metálicos, barriles, tuberías, etc. La vegetación ha crecido y ha ocultado parcialmente la extensión y los daños causados por el botadero. "/>
        <s v="Este lugar este 100 a x 2000 metros de largo es derrame antiguo de hidrocarburos enterrando en este huagal. Contaminación a nuestros animales y la humanidad"/>
        <s v="Se encuentra cerca a la Batería Bartra, en el territorio de la comunidad San Juan Bartra. Hay pruebas sólidas de que el agua contaminada es utilizada habitualmente por animales y seres humanos. Nunca ha sido remediado. El monitor recuerda haber visto petr"/>
        <s v="Sitio antiguo; En este sitio botaban todo el crudo de pozos y oleoductos. Hoy en día se encuentran enterrados , pero cuando le mueves con algún objeto se ve que flotan.  Fuente es un oleoducto de pozo 1 al pozo 5. Area afectada de 150x800 metros. Afecta u"/>
        <s v="Aguajal Montano con contaminación"/>
        <s v="Botadero de fierros"/>
        <s v="Restos de base de Bartra"/>
        <s v="Sitio antiguo; el pozo 1 llenaban en el sump tank y le notaban hacia la bajada que hoy en día se encuentra acumulado en las cochas y donde hay bujurqui, boquichico ,fasaco ,shuyo entre otros especies. Estos derrames comtaminaron a la quebrada Sara yacu, q"/>
        <s v="Sitio antiguo; a 80 metros de pozos 10 &amp; 11 se encuentra una acumulación de crudo que afecta la quebrada Montano"/>
        <s v="Agua contaminada, Afecta aguajal y quebrada Montano"/>
        <s v="Chatarra de cilindros"/>
        <s v="Es una kolpa provocado por las empresa debido al derrame de quimicas y los animales comen y se contamina facilmente. Afecta caza, afecta quebrada Montano y otras,. Este lugar es de 50 de ancho por  400 metros de largo"/>
        <s v="En esta Cocha se acumulaba el derrame de pozo 9, nunca lo han remediado y hasta el día de hoy se encuentran enterrados. Area afectad:  60x150 metros."/>
        <s v="Este derrame causado por la misma batería y pozos. Afecta aguajal Montano"/>
        <s v="Botadero de cilindros"/>
        <s v="Agua contaminada, Afecta aguajal y quebrada Montano, 100x500"/>
        <s v="En este lugar de todo el pozo (6)(7)(8)(3) que  drenaban  se encuentran acumulado en este lugar y cuanto habra por dentro que sigue afectando a muchas quebrada"/>
        <s v="Está en el pozo 13-14 maquina de antiguos que sacaban petróleos. Antiguamente. Este lugar es aproximadamente de ancho 100 largo 250"/>
        <s v="Afecta a la quebrada Sara Yacu, aguajales, cochas y colpas. Hay evidencia de instalaciones abandonadas y crudo antiguo vertido que afecta a la zona desde hace mucho tiempo. Esta contaminación del medio ambiente afecta a la salud de las comunidades cercana"/>
        <s v="Derrame de crudo, suelo contaminado, 50x500. Afecta quebrada Montano. Este derrame está causando desde años  y no hay cuando lo remedien la afectación es continua"/>
        <s v="Sitios impactados por hidrocarburos; presencia de crudo y aceite en suelo"/>
        <s v="El monitor afirma que cuando llueva, los pozos se desborden y el crudo residual se desemboca en el medio ambiente. Cabe destacar que la batería Bartra no se ha operado desde hace muchos años. La contaminación afecta al territorio de San Juan Bartra."/>
        <s v="Residuos antiguos de los tiempos de Oxy, acumulados."/>
        <s v="El 22 de febrero 2017 (código COE201708), después de una denuncia administrativa hecha por Nemesio Díaz Piñola, el OEFA llevó a cabo una expedición de supervisión. El evento ocurrió en el ducto que conecta Batería 4 a Batería 7 Nueva Esperanza. Un área de"/>
        <s v="Suelo contaminado, afecta quebrada montano y aguajal"/>
        <s v="Presencia de crudo"/>
        <s v="Un oleoducto que conecta pozos 15 &amp; 16 con pozo 638, en el medio del oleoducto existe un antiguo derrame, el crudo se ha concentrado y está afectando a cochas y quebradas de pueblo. Está cerca al puesto coconal. Con el tiempol, el crudo se ha enterrado, p"/>
        <s v="El 22 de mayo 2017 (código COE201710) comuneros de la comunidad nativa San José de Nueva Esperanza hicieron una denuncia fornal sobre un derrame occurido 13 km de su comunidad. El derrame fue causado por un corte intencional en la tubería que conecta la B"/>
        <s v="Derrame de crudo en oleoducto de Batería 7 a Batería 4 Capirona, tierra afectada 5x30m"/>
        <s v="Tubo antiguo que aún contiene crudo."/>
        <s v="Se dio debido a la oxidación interna de la tubería. El apu de la comunidad nativa Pucacuro y un miembro de FECONACO con el OEFA visitaron el lugar. Encontraron por lo menos 476 m2 de aguajal y un área de 2,5m por los dos lados del oleoducto completamente "/>
        <s v="Los registros indican un pozo grande de crudo y una &quot;colcha&quot; impactada. La empresa está utilizando maquinaria pesada para encubrir este impacto, enterrando el crudo. "/>
        <s v="El área afectada por un derrame que se dio en 2011. La remediación hecha fue deficiente. "/>
        <s v="El derrame afectó a una laguna y su entorno. "/>
        <s v="La empresa hizo una limpieza del sitio. "/>
        <s v="El evento ocurrió debido a una ruptura en la línea de producción del pozo PAV-1103. Aunque este oleoducto no está en operación, aparentemente el oleoducto se ha roto cuando hubo un intento para bombear crudo nuevamente. El área afectada abarca 157m2, incl"/>
        <s v="Árboles talados encontrados por el oleoducto."/>
        <s v="Un derrame está afectando a la cocha Piuri."/>
        <s v="Se dio debido a la oxidación externa de la tubería. La quebrada Collpayo fue afectada."/>
        <s v="Derrame dentro de la comunidad Nuevo Porvenir. Afecta a la colcha Zungaro Yacu."/>
        <s v="Afecta a la laguna Zungaro Yacu"/>
        <s v="El derrame afecta a un cuerpo de agua."/>
        <s v="El evento ocurrió porque unos individuos externos cortaron con sierra el oleoducto Corrientes-Saramuro. Causó un derrame de crudo de 140 barriles cerca a la comunidad nativa Nueva Reforma. Un plan de contención se activó y se iniciaron trabajos de remedia"/>
        <s v=" Afectó al río y una colpa de aves. El lugar se inunde regularmente durante al época de lluvías. "/>
        <s v="Algunos individuos externos cortaron la tubería para extraer el diésel. "/>
        <s v="Supuestamente, después del evento, la empresa recuperó mucho del crudo y limpió todas las áreas afectados. Sin embargo, según el informe anual de monitoreo FECONACO de 2015, este sitio sigue contaminado."/>
        <s v="Afectó a la comunidad San Cristobal. Remediación incompleta. "/>
        <s v="Se ha encontrado residuos industriales del pasado enterrados. Fue limpiado por la empresa. "/>
        <s v="El derrame afectó a una laguna pequeña. Se ha encontrado peces muertos. Este lugar ha sido remediado anteriormente pero aún sufre impactos con regularidad, siendo necesaria una limpieza profunda. Es una zona PAC. "/>
        <s v="Derrame de crudo. Area de 15X16m tierra y 20 x 500m agua, sitio de remediacion PAC"/>
        <s v="El crudo se está cayendo directamente en el río."/>
        <s v="Se dio debido a la oxidación externa. En 2013, OEFA con organizaciones de comunidades nativas de los ríos Pastaza, Tigre y Marañón se llevaron a cabo una expedición de supervisión en el Lote 8 para identificar posibles sitios contaminados. De los 41 sitio"/>
        <s v="El derrame ocurrió por la rotura de dos oleoductos que corren del Topiplan a Batería 8 cerca a la carretera. Se inició en la válvula Check CK 2GL-3 dentro de la planta topping. El crudo se extendió por los canales de drenaje pluvial, llegando al tanque de"/>
        <s v="El derrame afectó al riachuelo de Pangui Entsa. "/>
        <s v="Encontrado agua cubiertos con crudo y 2 tubos rotos en quebrada Trompeterillo"/>
        <s v=" El sitio se encuentra dentro de una zona PAC que fue anteriormente remediado. Varias comunidades consideran que aún hay contaminación por remediar porque la remediación que se ha hecho no fue adecuada. "/>
        <s v="La empresa remedió una zona que anteriormente había sido deforestada. Aún hay presencia de crudo en el suelo. Es probable que este evento sea lo mismo que el de código CNA201101."/>
        <s v="La empresa está remediando la zona."/>
        <s v="La empresa está remediando la zona. La laguna MSA se ha visto afectada."/>
        <s v="Afectó a la quebrada Bohua negra."/>
        <s v="Tubería entre central electrica y baterías, afectación de 3x8 metros"/>
        <s v=" Afectó a la comunidad San Cristobal"/>
        <s v="Tuberías sueltas"/>
        <s v="Hubo un derrame de crudo en la línea de descarga de la motobomba MB-55. El crudo llegó al río Corrientes. Según la Resolución Directoral, el evento se dio debido a inversión insuficiente en medidas preventivas para proteger contra posibles derrames."/>
        <s v="Según el Reporte Técnico Acusatorio, se dio dado a una falta de mantenimiento básico de las facilidades, lo cual es necesario para evitar posibles derrames. El derrame de diésel afectó a una pequeña colcha en la comunidad San Cristobal."/>
        <s v="Hubo un derrame de diésel del tanque nº10."/>
        <s v="Según la empresa, la embarcación se hundó dado un aumento de flujo en el río por lluvías fuertes. Por ende, hubo una derrame de 800 galones de crudo al agua de la embarcación hundida."/>
        <s v="Derrame en tubería, area afectada de 2400 metros cuadrados, sitio está submergido en agua contenida por barreras de plástico, pero el agua sale poco a poco hacia la cocha y la quebrada Patoyacu"/>
        <s v="El vertido de petróleo se ha producido en el oleoducto que va de la Plataforma 12x a la Batería 2, en el territorio de la comunidad de San Cristóbal"/>
        <s v=" Derrame en la comunidad San Cristobal en el oleoducto que corre de plátaforma 33 a plátaforma 57, en Batería 2. Afectó a un aguajal."/>
        <s v="Afecta San Pedro y Saramuro. El monitor envía fotos y videos de lo que es una contaminación masiva a todo el río Marañón que baja desde la qda. Cuninico"/>
        <s v="Se ha encontrado en una zona de cultivo unos barriles antiguos abandonados que aún contienen crudo."/>
        <s v="Se abrió este procedimiento administrativo después de una denuncia hecha por FECONACO (Carta nº 0184-2015-PRESIDENCIA/FECONACO) advirtiendo sobre dos botaderos antiguos de la época de PetroPerú ubicados en dos chacras perteneciendo a Loida Chuje y Madre A"/>
        <s v="Nuevo derrame en plátaforma 57X por ruptura del oleoducto, la empresa no cumplió con avisar a las autoridades de la comunidad. Area afectada de 6x15 metros"/>
        <s v="Se dio debido a la oxidación interna de la tubería. A pesar de que sí se hizo una expedición de supervisión OEFA, no se abrió un procedimiento administrativo. Afectó a la zona de pesca (aguajales y cochas) de la comunidad San Cristobal, como la cocha Lopu"/>
        <s v="Afectó a un aguajal. En 2013, OEFA con organizaciones de comunidades nativas de los ríos Pastaza, Tigre y Marañón hicieron una expedición de supervisión en el Lote 8 para identificar posibles sitios contaminados. Se informó sobre 41 sitios contaminados en"/>
        <s v="El derrame afecta a un aguajal"/>
        <s v="Hubo un derrame de agua de produción, agua salada en plataforma 12x. Afecta aguajal y tierra. 10x25 metros."/>
        <s v="Un sitio contaminado antiguo no remediado. En 2013, OEFA con organizaciones de comunidades nativas de los ríos Pastaza, Tigre y Marañón hicieron una expedición de supervisión en el Lote 8 para identificar posibles sitios contaminados. Se informó sobre 41 "/>
        <s v="La parte baja de la quebrada Pumayaco fue afectada. Es una zona contaminada sin remediación."/>
        <s v="Una pequeña fuga de liquido de producción en una tubería de 6 pulgadas que viene de plataforma 47 hacia plataforma 33X, fue controlado."/>
        <s v="Agua afecta tierra 3x3 metros"/>
        <s v="hay residuos industriales antiguos abandonados."/>
        <s v="Debido a un derrame antiguo, se contaminaron cuerpos de agua."/>
        <s v="Derrame que ocurrió en el mes de Abril, durante la cuarentena. No se reportó a la comunidad. Extensión de area afectada es de 50x70 metros, en un aguajal, a 200 metros de la plataforma 137. Se ven dos parches en la tubería, por lo que parece que fueron do"/>
        <s v="Hay crudo en el suelo ahí cerca. "/>
        <s v="El derramo empezó en un depósito de borra."/>
        <s v="Afectó a la quebrada Trompeterillo Chico."/>
        <s v="Se ha encontrado bolsas llenas enterradas en la chacra de Loida Chuje Sandi. La empresa hizo una limpieza de los residuos."/>
        <s v="Hay depósitos antiguos de residuos industriales y materiales."/>
        <s v="Derrame en Nueva Alianza, del Chambira. 1200 m2 de impacto, fue la salida de un perno en la válvula."/>
        <s v=" Derrame de diésel, peces muertos encontrados en la zona PAC. "/>
        <s v="Los tapirs suelen visitar el lugar para consumir sal (es una &quot;colpa&quot;). No obstante, la collpa está contaminada de petróleo"/>
        <s v="Un derrame antiguo sin remediar. "/>
        <s v="Un campamento antiguo abandonado en el territorio de la comunidad Nueva Jerusalén."/>
        <s v="El hecho ocurrió hace más de 45 años en los tiempos de Oxy por una rotura de un camión cisterna y el descuido de los trabajadores. Afectó a la quebrada Vender yacu, y a la zona de caza y pesca de Saca runa. Algunos odk se refieren a ese evento ya que fuer"/>
        <s v="Es un vertido enorme. Los daños siguen siendo visibles a pesar de que los trabajadores llevan tres meses retirando el crudo. Han retirado más de 100 bidones, además de bolsas (más de 5000). Un monitor de Antioquia ha tomado fotos, su nombre es Salomon Hua"/>
        <s v="El sitio encuentra cruzando la quebrada Yanayaku. Este derrame abarca un área amplio. Según Venancio, no fue remediado. Este derrame sucedió en 1987 e impactó dos aguajales."/>
        <s v="Hay aún restos de crudo en el suelo desde los tiempos de Oxy."/>
        <s v="Afectó a la quebrada Capahuari. La empresa está ocultando el crudo. "/>
        <s v="Afectó al territorio de la comunidad Los Jardines. La empresa está ocultando el crudo."/>
        <s v=" Afectó a la cocha y hay evidencia de árboles talados. "/>
        <s v="Hay otros impactos como árboles talados y residuos botados. Afectó a la quebrada Shanshococha. El sitio huele a petróleo. "/>
        <s v=" Afectó la cocha Shirunchi y la quebrada Ullpayacu. Aún hay crudo en el suelo, ocultado ahí por la empresa. El sitio no ha sido remediado y aún se puede ver el crudo en la orilla. "/>
        <s v=" Aún hay crudo en el suelo, ocultado ahí por la empresa. El sitio no ha sido remediado y aún está afectando a la cocha Pashincocha y la quebrada Anapaza."/>
        <s v="El evento afectó a la cocha Ushpayaco y la cocha Lagarto. No hay fotos. Este área es utilizada por la comunidad Alianza Capahuari."/>
        <s v="Se dio por un oleoducto roto. Se ve un depósito, una cantera, tierras removidas y contaminación visible. Se encuentra en el territorio de caza de Cotoñabi y el territorio de pesca de Bujurqui Cocha. La cocha Atuntiyo, la quebrada Limón y una colpa son vis"/>
        <s v="Hay crudo saliendo dentro del poblado y también algunos residuos presentes. "/>
        <s v="Derrame antiguo ocultado. "/>
        <s v=" Afecta a la quebrada Ismacaño y las zonas de caza y pesca ahí cerca. Es un sitio distinto a los de PAS201606 y PAS201607."/>
        <s v="Un derrame antiguo que fue quemado. Aún afecta a la quebrada Anapaza y su entorno."/>
        <s v="Dos colpas fueron afectadas por derrames antiguos de los tiempos de Oxy y Pluspetrol."/>
        <s v="Las fotos tomadas por drone muestran crudo en la colcha. "/>
        <s v="Aún hay contaminación y no hay evidencia de trabajos de remediación. El OEFA ha visitado pero no se ha dado ningún resultado. Cabe destacar que la cocha fluye hacia la quebrada Ushapayacu. "/>
        <s v=" La cocha está contaminada con crudo lo cual afecta de manera directa a los medios de vida de la comunidad. Esta cocha fluye directamente a la quebrada Ushpayacu."/>
        <s v="La cocha Esteban está contaminada el el territorio de la comunidad Jerusalén."/>
        <s v=" El derrame impactó a la quebrada Marun entsa en la zona de la comunidad Pampa Hermosa."/>
        <s v="No hay mucha información disponible sobre la ubicación exacta. El derrame se dio en las instalaciones de Pluspetrol y afectó a una quebrada."/>
        <s v="Afectó a la quebrada Huayurí Norte en el área Machu Picchu."/>
        <s v="Gran derrame de petróleo de las instalaciones de la compañía Pacific."/>
        <s v="Hay una gran cantidad de bolsas plásticas llenas de crudo. "/>
        <s v="Mientras algunos trabajadores llevaban a cabo tareas de remediación, un árbol cayó encima de un oleoducto, causando otro derrame. En el mismo lugar, hubo dos derrames el mes anterior, de 19-21/02/2017. "/>
        <s v="En la temporada de lluvías, sube el nivel de agua y el crudo albergado afecta a la cocha Ullpayacu. Afecta también a un aguajal y eventualmente todas las cochas y quebradas que están aguas abajo, hasta el río Pastaza. Afecta al territorio y las zonas de c"/>
        <s v="Afectó a un aguajal y una cocha. El evento hizo daño a árboles, matando peces y lagartos. Aún afecta a la flora y fauna aledaña. En los registros se muestra dos ODK describiendo el mismo evento que ha sido dividido en TAS200707.1 y TAS200707.2. La informa"/>
        <s v="El evento se originó por el desmantelamiento de un oleoducto antiguo enterrado. Durante la visita, los monitores observaron peces muertos y árboles manchados por crudo. Afectó a la quebrada Bancal y los territorios de caza y pesca de Mariscal Caceres."/>
        <s v="La empresa responsable es Pacific. El derrame se dio por la oxidación de la tubería. Afectó a la quebrada Chanchama. Los trabajadores utilizaron un producto absorbente y una barrera para controlar la expansión del derrame. The Apu que estuvo presente fue "/>
        <s v="La fuga se ubica a unos cuatro metros más allá de otro punto de fuga que produjo un derrame en 19/02/2017 (Código de evento anterior: TOE201702/TJO201704)"/>
        <s v="Antiguo pozo con crudo enterrada. En este lugar el hidrocarburos esta aflorando por que en este lugar acampan las caminatas, o ronzocos."/>
        <s v="Es antiguo. Afectó a la Batería Huayari y los suelos y la flora aledaña. Se dio en el territorio de la comunidad José Olaya. "/>
        <s v="Afecta a la comunidad José Olaya."/>
        <s v="El evento afectó a la quebrada Huasahi en la comunidad José Olaya."/>
        <s v="Se dio debido a la oxidación interna del oleoducto. La contaminación afectó a la quebrada Shuyal y un aguajal."/>
        <s v="Los registros muestran una barrera colocada a través de un río para impedir que el petróleo fluyera río abajo. El evento afectó a la Quebrada de Piedra Negra."/>
        <s v="Instalaciones antiguas abandonadas."/>
        <s v="Derrame del oleoducto conectado al pozo 11, en el territorio de la comunidad Pampa Hermosa. "/>
        <s v="Los registros muestran instalaciones abandonadas en Batería 12 de Octubre."/>
        <s v="Aguajal con muchos residuos, mayormente plástico. "/>
        <s v="La empresa está remediando el impacto causado por un derrame en Nazareth ( 20/02/2018). Las fotos muestran el enorme impacto causado por el evento"/>
        <s v="Afectó a la sección que abarca Marsella-Andres Avelino Caceres y también una quebrada y el río Tigre. Según el monitor, la contaminación afectó a 450m2 de suelo y agua. "/>
        <s v=" Derrame de desagüe."/>
        <s v="Oleoducto sostenido por infraestructura no apta."/>
        <s v="Un oleoducto de una instalación de extracción vertiendo agua mezclada con crudo. "/>
        <s v="Se ve crudo en un cuerpo de agua. "/>
        <s v="Fotos de dron muestran zonas amplias deforestadas. "/>
        <s v="El evento se dio el 03/03/2007 en el territorio de la comunidad San Juan Bartra, en Batería Bartra. Afectó a la quebrada Montano y la zona aledaña de la aldea. No se hizo la remediación adecuada."/>
        <s v="Derrame antiguo y botadero en el jardin de Obelio Acho de los tiempos de Oxy"/>
        <s v="Hay un tanque antiguo abandonado lleno de crudo. Afecta a la quebrada Sara Yacu, cochas, colpas y quebradas aledañas."/>
        <s v="Gran cantidad de petróleo derramado. Los trabajadores de la empresa están quemando el crudo derramado. "/>
        <s v="El evento afectó a una quebrada (no hay más información)."/>
        <s v="Unos residuos abadonados en el bosque de actividades de exploración petrolera."/>
        <s v="Instalaciones antiguas."/>
        <s v="Pozo en malas condiciones."/>
        <s v="Afectó a un cuerpo de agua dulce."/>
        <s v="Instalaciones abandonadas.  Los registros muestran un pozo descuidado cubierto por una fina capa de aceite, presumiblemente como resultado de una fuga o un mal sellado."/>
        <s v="Se dio por una rotura de tubería. La empresa encargada es la Pacific. Las autoridades estuvieron presentes."/>
        <s v="El derrame impactó a las comunidades Arenal, 12 de Octubre, Cáceres y San Juan de Bartra. Afectó a un afluente que desemboca en el río Cachiyacu y también a la quebrada de Piedra Negra y el río Tigre. Según los monitores, esta zona ya había sido impactada"/>
        <s v="Residuos de metal enterrados en el bosque de los tiempos de Oxy. "/>
        <s v="Residuos de metal en el bosque de los tiempos de Oxy. "/>
        <s v="Residuos enterrados."/>
        <s v="Mantenimiento deficiente de la tubería, causando oxidación. "/>
        <s v="Es un sitio contaminado conocido por la población. Hay aún contaminación en la laguna donde las comunidades suelen pescar. La comunidad está exigiendo que la empresa haga remediación. Las autoridades comunales visitaron el sitio con los monitores ambienta"/>
        <s v="Peces muertos encontrados en el sitio de remediación. "/>
        <s v="Anteriormente hubo un derrame y fue limpiado. Recuperaron 81 barriles. Se han encontrado varias bolsas de petróleo abandonadas, aparentemente se las han dejado después de la limpieza. "/>
        <s v="Se dio por una tubería rota."/>
        <s v="Se dio por una rotura de un oleoducto antiguo, resultando en un derrame grande afectando a una Quebrada. Hoy en día, animales como el majaz y el venado toman agua contaminada. Los pobladores de la zona informaron a las autoridades, quienes fueron a hablar"/>
        <s v="La válvula se ha roto debido a la alta presión. Se pudo contener el derrame y la empresa mitigó el derrame aislandolo con barreras físicas. La empresa sacó 10-15 barriles de petróleo mezclado con diésel. Sin embargo, el monitor no sabe qué es lo que Corpe"/>
        <s v=" Afectó a un área de 18x40 metros y el río Pungacungayacu, ubicado 400 metros del derrame."/>
        <s v="Crudo derramado de un oleoducto abandonado. Una gran cantidad de crudo fue derramado y llegó a la quebrada Camaron yacu. El derrame afectó al aguajal, de ahí llegó al riachuelo hasta llegar al río Corrientes. Se derramaron unos 4-5 barriles, afectando al "/>
        <s v=" Crudo derramado de un oleoducto abandonado. Tuvo un gran impacto, contaminando cerca a 500 metros de quebrada, llegando a aguas abajo. Afectó a una colca y se ha encontrado peces muertos. &#10;"/>
        <s v="Crudo derramado de un oleoducto roto, afectando a más de 200 metros de la quebrada Cangrejo Yacu. Luego, afectó a la quebrada Sabalillo y el río Corrientes. El OEFA visitó el sitio (ID206 y ID205). El apu mantiene todos los registros documentarios. El sit"/>
        <s v="El incidente se dio debido a la oxidación interna de la tubería, afectando a la quebrada Piedra Negra y algunas cochas. Se denunció por el monitor ambiental que lo encontró. No se ha hecho la remediación."/>
        <s v="Un aumento inesperado de crudo en el área de tratamiento arrastró el crudo hacia los quemadores. Al final, se cayó al foso y llegó al sump tank, lo cual se rebalsó."/>
        <s v="Fuga de un tanque cuyo dueño es Pluspetrol. "/>
        <s v="Hubo un derrame grande dentro de las instalaciones petroleras. El crudo llegó a las zanjas de drenaje de agua y expandió a la zona aledaña. Probablemente haya llegado a cuerpos de agua. "/>
        <s v="El evento ocurrió debido a una falla durante una operación para bombear crudo de la batería 1 a un tanque ubicado en la plátaforma 114. El tanque se desbordó y 0.5 barriles de crudo impactó al suelo natural."/>
        <s v="El derrame se dio al pie del tanque."/>
        <s v="Un riachuelo fue contaminado por la parte arriba con crudo en más de 35 km. El derrame afectó a la quebrada Nayanmacu."/>
        <s v="Esto es un sitio PAC."/>
        <s v="Los trabajos de remediación aún no se inician."/>
        <s v="Hay residuos de las actividades de los trabajadores botados al medioambiente"/>
        <s v="Un riachuelo fue afectado."/>
        <s v="El sitio ha sido remediado."/>
        <s v="Una remediación adecuada no se ha hecho aún. "/>
        <s v="Un tubo enterrado está vertiendo petróleo."/>
        <s v="Barriles barriles que aún contienen petróleo."/>
        <s v="La empresa está quemando el derrame de crudo in situ. "/>
        <s v=" Un tubo vertiendo agua mezclada con crudo. "/>
        <s v="La remediación no se ha hecho adecuadamente."/>
        <s v="Suelo contaminado por crudo. La empresa está remediando el sitio."/>
        <s v="Un tubo roto es el origen del derrame. Este evento ocurrió en un riachuelo pequeño que pertenece a la quebrada Pucacungayacu. Según el informe, unas barreras de contención se armaron sobre el riachuelo. Se quemó el crudo por los trabajadores encargados de"/>
        <s v="Los aves comen del suelo contaminado cerca al pozo. "/>
        <s v="La empresa está remediando un derrame que afecta a una superficie grande. "/>
        <s v="Remediación incompleta. Suelo aún contaminado."/>
        <s v="Crudo antiguo vertido en la comunidad José Olaya."/>
        <s v="Este evento ocurrió porque un árbol se cayó por encima de un tubo. Eso le afectó a un área que abarca una ladera con flora y una pequeña quebrada. Impactó un río, cubriendolo con una capa de crudo. "/>
        <s v="Remediación incompleta."/>
        <s v="Una laguna fue contaminada por multiples derrames."/>
        <s v="La empresa cambió un tubo antiguo y roto pero no ha remediado la zona. "/>
        <s v="El agua de producción es botada directamente al río, afectando a la comunidad de San Cristobal."/>
        <s v="El sitio no ha sido remediado."/>
        <s v="El sitio no ha sido remediado. La laguna ha sido contaminada."/>
        <s v="El sitio no ha sido remediado. La laguna sigue contaminada."/>
        <s v="Una sustancia quimica de color amarillo ha sido botada."/>
        <s v="La foto muestra un pozo natural completamente lleno de crudo."/>
        <s v="El derrame afecta al río."/>
        <s v="Crudo derramado de barriles. "/>
        <s v="Agua contaminada debido a un derrame de crudo."/>
        <s v="Agua contaminada debido a un derrame de crudo. Superficie afectada: 7m2x55m2."/>
        <s v="Crudo y otros productos quimicos derramados al medioambiente. "/>
        <s v="Hay un murciélago muerto en el tanque. "/>
        <s v="Hay un oleoducto que aún contiene crudo. Por el alto nivel de contaminación, algunos árboles han muerto. "/>
        <s v="Múltiples barriles antiguos que aún contienen crudo. "/>
        <s v="Hubo un derrame grande cerca de las instalaciones petroleras (no se puede identificar desde las fotos la ubicación exacta). Las fotos muestran un pozo grande de crudo que aún está saliendo. Muestra que el crudo sale por las zanjas y probablemente haya lle"/>
        <s v="El evento ocurrió debido a un exceso de presión sobre los equipos de tratamiento de crudo. El crudo derramado salió hacia las descargas de agua de la batería Jibarito, afectado a la quebrada Tseku entsa y quebrada Pucacunga yacu."/>
        <s v="La empresa está remediando la zona. Un video muestra un ave completamente bañado por crudo."/>
        <s v="La laguna está contaminada."/>
        <s v="El suelo y el agua afectados por contaminación."/>
        <s v="Suelo contaminado por crudo."/>
        <s v="La empresa ha remediado la zona."/>
        <s v="Quebrada impactada."/>
        <s v="Un pozo de crudo se desbordó, afectando a la zona aledaña. "/>
        <s v="La reparación no se ha hecho adecuadamente. Han habido varias fugas."/>
        <s v="Los registros muestran una fuga de crudo de un tubo hacia el medioambiente. Hay mucha evidencia de un impacto negativo en el pequeño riachuelo de agua dulce."/>
        <s v="Tubería rota."/>
        <s v="El derrame afectó al río Corrientes. "/>
        <s v="El derrame de diésel fue prooleoducto de una falla mecánica en las instalaciones. El derrame afectó al río. "/>
        <s v="El derrame de crudo fue causado por un exceso de presión en la línea de bomba Huayurí-Jibarito. El crudo salió hacia el derecho de via. No hay información sobre el impacto ambiental de este evento."/>
        <s v="Los registros muestran una cantidad significativa de restos como barriles de metal y plástico y otros residuos, algunos aún conteniendo petróleo. El monitor dice que las empresas han ocultado los derrames cubriendolos con tierra."/>
        <s v="Tubo antiguo que aún contiene crudo. El suelo justamente debajo está impactado. "/>
        <s v="Los registros muestran instalaciones abandonadas (tubería) y residuos solidos botados ahí cerca.  "/>
        <s v="Un pozo antiguo y unos materiales de producción petrolera abandonados en pleno bosque. "/>
        <s v="Hay pedazos de tubería antigua abandonados por ambos lados de la tubería recién instalada."/>
        <s v="Instalación externa para la electricidad adecuadamente asegurada. "/>
        <s v="barriles antiguos abandonados"/>
        <s v="barriles antiguos de metal y plástico aún con petróleo."/>
        <s v="Pedazo de tubería abandonado con evidencia de petróleo adentro y un barril de metal."/>
        <s v="Hay pozos antiguos y abandonados con evidencia de derrames antiguos."/>
        <s v="Es el mismo derrame que el de código PJP2010_06 de fecha 12/12/2010. Hay evidencia de contaminación en el suelo y de petróleo contaminando a la quebrada Ushupayacu. Los registros muestran fosas profundas donde la empresa oculta el crudo."/>
        <s v="Tubería antigua botada. "/>
        <s v="Alambre metálico abandonado."/>
        <s v="Unos barriles parcialmente enterrados y completamente abandonados."/>
        <s v="barriles y tubería antigua abandonados."/>
        <s v="barriles abandonados."/>
        <s v="Tubería e instalaciones antiguas abandonadas. "/>
        <s v="Tubería, barriles e instalaciones antiguas abandonadas. "/>
        <s v="Hay evidencia de crudo en el suelo."/>
        <s v="Hay evidencia de hidrocarburos en una laguna y los registros muestran un pez muerto."/>
        <s v="barriles y tubería abandonados."/>
        <s v="Pedazos de tubería abandonados."/>
        <s v="Hay barriles de metal y plástico botados en el medioambiente de la industria petrolera."/>
        <s v="El video muestra una gran cantidad de barriles antiguos botados en el bosque."/>
        <s v="Los registros muestran una gran cantidad de tubos antiguos, barriles y otras instalaciones abandonados en el bosque."/>
        <s v="Hay barriles antiguos llenos de cemento que han sido abandonados en el bosque."/>
        <s v="El sitio tiene hartos residuos de metal y plástico."/>
        <s v="Hay barriles, tubería, etc. botados en el bosque. La empresa no ha limpiado la zona y ya está creciendo flora por encima."/>
        <s v="Crudo antiguo enterrado."/>
        <s v="El derrame afecta a un río. "/>
        <s v="Por el lado izquiero hay una válvula botando aguas de producción. Este agua contaminada fluye hacia el río Capahuari."/>
        <s v="barriles que aún contienen crudo. "/>
        <s v="Un poblador contó que hubo un derrame significativo en los tiempos de Oxy, afectando a la zona, particularmente a la quebrada Chinguito."/>
        <s v="Se dio en la comunidad José Olaya, afectando a la quebrada Machu Pichu."/>
        <s v="Un tubo antiguo se ha roto en plena aguajal y de ahí el crudo se ha expandido por una pequeña quebrada. De ahí ha llegado a la quebrada Lupuniya. Hoy el crudo forma una capa densa que cubre la superficie y afecta a la flora y fauna. El OEFA visitó al siti"/>
        <s v="El derrame probablemente haya sido prooleoducto de una rotura de soldadura. Afectó al territorio de la comunidad Bretaña, la quebrada Aguablanca aguas abajas de Machari y el río Tigre y un aguajal. La zona de impacto constituye unos 300 m2. Se informó que"/>
        <s v="El mismo evento se dio en 19/02/1999 y afectó a la comunidad José Olaya."/>
        <s v="Derrame de agua de formación, al parecer, posiblemente mezclado con crudo. Sale de un punto en la tubería que ya tiene grapa, con fecha de soldeo 23-09-2019."/>
        <s v="Sucedió debido a una rotura en una o dos tuberías. El derrame afectó de manera significativa a la zona aledaña. "/>
        <s v=" Área deforestada con bastante residuos botados o enterrados. Este botadero afecta a la quebrada Cetico, en Batería Shiviyacu."/>
        <s v="El monitor dijo que este lugar era un botadero donde la empresa enterraba materiales provenientes de sus actividades, enterrado 5 metros bajo la superficie del suelo. Se detecta presencia de algunas sustancias químicas peligrosas, siendo afectada la quebr"/>
        <s v="Bolsas llenas de crudo recogidas por trabajadores de la empresa. "/>
        <s v="Varios barriles abandonados."/>
        <s v="Instalaciones antiguas abandonadas (tubería, cables, etc). Hay evidencia de contaminación química. "/>
        <s v="Suelo y agua contaminados."/>
        <s v="barril antiguo abandonado."/>
        <s v="El video muestra el esqueleto de una sachavaca que murió debido a la contaminación, según el monitor. "/>
        <s v="Sitio con agua contaminada y se ve crudo en la superficie del agua. Cuando se sacude en el fondo del cuerpo de agua, el crudo sale. "/>
        <s v="El video muestra un campamento temporal de personas de Andoas que han migrado por la contaminación de las empresas petroleras a sus territorios y zonas de caza y pesca. Toman directamente del agua contaminada de la cocha. "/>
        <s v="Los comuneros indican que hay instalaciones (pozos, tubos, etc) abandonadas en el bosque. Las empresas han estado botando residuos tóxicos directamente a los aguajales durante años, hasta 2009. La comunidad está reclamando la limpieza de la zona. Se evide"/>
        <s v="Varios comuneros han recoletado agua y peces muertos de una colcha contaminada. "/>
        <s v="Una colcha afectada por crudo antiguo. "/>
        <s v="Crudo antiguo saliendo después de ser sacudido con un palo. "/>
        <s v="Un vehículo botado. "/>
        <s v="Cerca a la quebrada que fluye a la quebrada Piedra negra. Esta información proviene de un análisis de campo de OEFA hecho después del derrame. Afecta a una fuente de agua. Hay una gran cantidad de bolsas plásticas llenas de crudo acumulándose. Hay mucha e"/>
        <s v="Afectó a un aguajal, a la Quebrada capahuari y la Quebrada shippilay que fluye hacia el río Pastaza. Afecta a las zonas de caza y pesca de la Quebrada capahuari y Quebrada shippilay. Fue contaminada por Pluspetrol. La empresa sostiene que el sitio fue rem"/>
        <s v="El monitor cuenta que sus territorios de caza y pesca han sido contaminados por la extracción de petróleo, lo cual les obliga a mudarse para poder conseguir insumos y comida."/>
        <s v="Afectó a la comunidad de Jerusalén."/>
        <s v="Hay barriles y pedazos de tubería entre otros residuos enterrados de los tiempos de Oxy. El sitio actualmente es una colpa."/>
        <s v="Los registros muestran unas instalaciones abandonadas y una falta de implementación de medidas preventivas básicas. "/>
        <s v="Se dio por una rotura en la tubería. Este evento afectó a una zona amplia y el petróleo llegó al río. La empresa puso un abrazadera (un perno) en la fisura."/>
        <s v="Los registros muestra una gran cantidad de bolsas plásticas llenas de crudo acumuladas. Cuando se tomaron las fotos, aún había petróleo en el suelo. Hay evidencia de un impacto directo en la fauna. "/>
        <s v="La quebrada Yanayacu fue afectada por un derrame hace 30 años. La empresa excavó un tajo y lo llenó con el crudo. Este tajo aún existe pero está cubierto por plantas. La empresa nunca lo remedió y se ha convertido en una fuente de contaminación que está a"/>
        <s v="Los pozos 12 y 14 no están adecuadamente tapados y hay fugas de gas. Está en riesgo de colapsar. El monitor les informó a los apus y el OEFA fue informado. Un equipo visitó a Bartra el 7 de junio 2016 pero no hay más información sobre la visita."/>
        <s v="El crudo se ha acumulado debajo del suelo y contamina a los riachuelos."/>
        <s v="Hay un botadero que contiene barriles antiguos y otros restos de las actividades de extracción de Oxy (Occidental Petroleum). Afecta a la quebrada Montano."/>
        <s v="En un área privada los residentes dicen que existe un depósito con chatarra, fierros y plásticos y barriles con químicos. Esta información proviene de ex-trabajadores de Oxy."/>
        <s v="Con los años, hay otros derrames que ya han impactado a la zona. Sin embargo, nunca ha sido remediado. Hay un ducto abandonado por el otro lado del pueblo. Hubo un gran derrame y el crudo afectó a las quebradas y cuerpos de agua aledaños. OEFA todavía no "/>
        <s v="En los tiempos de Oxy, lodos de perforación de los pozos 22 y 27 fueron vertidos en la quebrada Cucuyacu que fluye hacia la quebrada de Piedra Negra. Estos charcos aún existen y los animales los usan como una fuente de sal. Esta información proviene de Jh"/>
        <s v="La empresa responsible es Oxy y en los tiempos de Oxy, la empresa solía botar crudo directamente al medioambiente. Los restos del crudo llegan hasta 1.2 metros de profundidad, 40 metros de ancho y 1 km de distancia. Fue visitado por Sr. Baskut de las Naci"/>
        <s v="Rotura de tubería como consecuencia de corrosión interna y falta de mantenimiento."/>
        <s v="Afectó a la quebrada Ogo."/>
        <s v="El derrame afectó a la Quebrada de Piedra Negra y el río Tigre."/>
        <s v=" Se ha impactado a la quebrada Poroto desde hace muchos años. Este derrame antiguo se dio en 2000 y no se remedió. OEFA nunca visitó el sitio. Tiene un impacto directo en la comunidad Arenales porque el crudo está contaminando fuentes de agua dulce, el su"/>
        <s v="Un rango de residuos han sido enterrados, incluidos vehículos y residuos hospitalarios. Incluye un área de 200m por 500m. En 2015, el sitio fue remediado de manera superficial por Pluspetrol pero aún alberga cantidades de materiales dañinos. "/>
        <s v="Una &quot;colpa&quot; contaminada prooleoducto de derrames de los tiempos de Oxy y Pluspetrol."/>
        <s v="Un botadero antiguo en una &quot;colpa.&quot; El área total incluye más de 800 x 800m de superficie."/>
        <s v="La colcha ha sido contaminada."/>
        <s v="Tubería antigua enterrada. "/>
        <s v="Vehículos antiguos abandonados en el bosque. "/>
        <s v="Varios barriles botados."/>
        <s v=" El derrame antiguo afecta a una colca (salegar) utilizado por animales."/>
        <s v="Superficie de agua con crudo."/>
        <s v="Orilla contaminada."/>
        <s v="Derrame de un tanque de almacenamiento antiguo."/>
        <s v="Este procedimiento administrativo es prooleoducto de una reunión entre el OEFA y miembros de FECONACO para identificar posibles sitios contaminados dentro de la cuenca del río Corrientes, particularmente los que se encuentran cerca al 'Derecho de Vía del "/>
        <s v="La FEDIQUEP hizo una denuncia formal advirtiendo al OEFA sobre el derrame de crudo."/>
        <s v="Un tanque de Pluspetrol se ha llenado con crudo. "/>
        <s v="Hay evidencia de una zona contaminada por un derrame antiguo. El crudo permanece en el fondo del cuerpo de agua, lo cual sale cuando se sacude el lodo. "/>
        <s v="Instalaciones abandonadas."/>
        <s v="Los registros muestran unos trabajadores remediando un sitio impactado y también una cantidad de bolsas plásticas llenas de crudo. "/>
        <s v="Se sabe que Pluspetrol contrató a una empresa comunal para remediar al derrame. Sin embargo, no queda claro si el OEFA haya visitado o haya tomado muestras en el sitio impactado."/>
        <s v="Se mezcló accidentalmente crudo con agua durante un trabajo de limpieza del sump tank y bulk drums. "/>
        <s v="Remediando el sitio."/>
        <s v="Un sitio muy impactado. Hay un depósito grande cerca a las instalaciones que permiten ver los efectos de la contaminación del suelo. "/>
        <s v="Afectó a una cocha y las áreas de caza y pesca de la comunidad José Olaya."/>
        <s v="El crudo permanece en la cocha. Cuando el monitor sacude el fondo de la cocha, sale crudo. "/>
        <s v="Un depósito mostrando crudo antiguo almacenado en el suelo. "/>
        <s v="Una gran cantidad de plástico y otros materiales visibles en la zona. Un botadero activo. "/>
        <s v="Tubería enterrada se ha roto por accidente durante trabajos de maquinaria pesada. Suelos completamente contaminados. Hay bolsas plásticas con crudo."/>
        <s v="Los registros indican un derrame de agua que afectó a la flora aledaña."/>
        <s v="Este sitio fue remediado por Pluspetrol, lo ocultaba con tierras traidas de otros sitios. La contaminación está afectando a una zona de caza y pesca importante para la comunidad. El monitor indica que cuando se agite en el fondo de la laguna, sale crudo. "/>
        <s v="Se dio debido a la oxidación interna de la tubería. Afectó a la quebrada Bancal y el territorio de caza y pesca de Marsella."/>
        <s v="El derrame se dio debido a oxidación. Afectó al aguajal 1A y el territorio de caza y pesca de la comunidad 12 de Octubre."/>
        <s v="Afectó al río y las zonas de caza y pesca de José Olaya."/>
        <s v="Afectó a la quebrada Llanchama y un aguajal. Los monitores reportaron animales muertos. En el ODK dice Pozo A1 km 7, pero no hay ninguna referencia sobre la ubicación exacta. "/>
        <s v="Afectó a la quebrada Llanllama y la zona de caza y pesca de Marsella."/>
        <s v="Afectó a la quebrada Yanayacu. Los monitores reportaron peces muertos. "/>
        <s v="Se dio en el territorio de la comunidad Marsella y afectó a la quebrada Yanayacu."/>
        <s v="El derrame afecta a un aguajal y un afluyente del río Tigre. El monitor detecta flora manchada con crudo y animales muertos (caimanes, añujes y fasacos)."/>
        <s v="Derrame antiguo enterrado hasta 1m de profundidad. Se encuentra a 97m de la plátaforma. Afectó a cuerpos de agua y suelos. "/>
        <s v="La empresa encargada fue Pluspetrol y no se llevó a cabo la remediación. Este derrame antiguo aún afecta a la cocha Pashincosha y el entorno. Se dio en el territorio de caza y pesca de Mariscal Caceres. "/>
        <s v="El evento afectó a Chancchama, en el territorio de caza y pesca de Marsella."/>
        <s v="Los registros muestran una acumulación de bolsas plásticas llenas de crudo recuperado. Martí Orta sacó una muestra. Aquel día no se había hecho ninguna remediación aún. El derrame afectó el territorio de la comunidad 12 de Octubre. "/>
        <s v="Una gran cantidad de bolsas plásticas de crudo acumulándose dentro de las instalaciones de extracción petrolera. "/>
        <s v="El evento se dio durante la época de Pluspetrol debido a una rotura en la tubería. "/>
        <s v="La quebrada de Agua blanca fue afectada. Los registros muestran crudo y residuos enterrados en el jardin de una casa en la comunidad 12 de Octubre de los tiempos de Oxy."/>
        <s v="Es una reinyección de aguas producidas. Afecta a riachuelos y la flora y fauna asociada. "/>
        <s v="Los monitores ambientales señalaron la existencia de una fuente de aguas producidas. El investigador Martí Orta recolectó muestras."/>
        <s v="El pueblo se contruyó por encima de un botadero. Una capa delgada de suelo (2cm) lo separa de residuos enterrados y otros impactos como derrames antiguos."/>
        <s v="Todavía no se ha hecho una limpieza"/>
        <s v=" En el sitio había una cocha que se llenó con crudo durante años y al final fue enterrado. Aún hay evidencia del crudo enterrado."/>
        <s v="Afectó a las comunidades de Arenal, 12 de Octubre, Cáceres y San Juan Bartra. El evento impactó a la cocha Rosa, cocha Tipishca y cocha Auca y también a la quebrada Piedra Negra. La remediación fue deficiente y aún queda bastante crudo en el suelo. "/>
        <s v="Derrame en ducto que conecta la Batería 7 con Batería 4 en Capirona, dentro de la comunidad San José de Nueva Esperanza. Afectó a la cocha Raúl. El sitio no ha sido remediado."/>
        <s v="Fuga de hidrocarburos en base abandonada San Jacinto"/>
        <s v="El evento se dio debido al drenaje del sump tank. No hay información acerca del impacto ambiental."/>
        <s v="El evento se dio porque el sump tank se rebalsó (fuga de tubería). El crudo salió por una zanja natural y afectó a la quebrada Najanamaca."/>
        <s v="#FronteraEnergy, ex operadora del #Lote192 continúa sin recoger decenas de bolsas con petróleo que datan de derrames del 2017 y 2019. Con el paso de los años y las condiciones del clima, el crudo se ha esparcido afectando su territorio y la cuenca del #Co"/>
        <s v="Derrame de crudo"/>
        <s v="Derrame de tanque de almacenamiento"/>
        <s v="La empresa usa la bahía de porveniar para dejar chatarra y bolsas de crudo. No han compensado a la comunidad por uso de tierras. Area afectada: 400m2"/>
        <s v="Derrame que sale de tubería cerca del Carmen"/>
        <s v="Derrame de crudo sale de tubería de Shiviyacu. áreas afectadas por derrame de hidrocarburos en una poza y raspatubos"/>
        <s v="Fuga de petroleo en el pozo 13 de Bartra."/>
        <s v="Jibarito"/>
        <s v="El derrame se produjo en la Batería 9 de Pavayacu alrededor del separador dentro del dominio de Pluspetrol. El origen del petróleo vendría a ser la tubería de la línea 3, que se encuentra a una profundidad de un metro de la tierra, por tanto, la causa"/>
        <s v="Monitor ambiental envia fotos y viideos de derrame en tuberia de petróleo en el ducto corrientes-saramuro, a unos 100 metros de la quebrada Patuyacu. Calculan que el área afectada es de 300 metros de largo por 200 metros de ancho. La empresa comunal de Sa"/>
        <s v="Moniotres ambientales envian video sobre nuevo derrame en Pozo 13, km 50, profundidad contamina es de aproximadamente 2 metros"/>
        <s v="Apu y comuneros reportan a la empresa del derrame en el oleoducto corrientes - Saramuro en el anexo Bella Vista perteneciente a la cc.nn. La Petrolera"/>
        <s v="Derrame que brota del canal de flotación"/>
        <s v="Hay una quebrada a 100 metros hacia el norte y hacia el Este a 40 metros el río chambira que esta siendo contaminada por el derrame de la tuberia"/>
        <s v="Derrame en la progresiva 61 + 700 Tramo Corrientes Saramuro T1 en territorio de la comunidad de Santa Teresa. Pobladores comunidad encontraron el derrame el cual estiman es de hace algunos días por el avanzado estado del derrame."/>
        <s v="Contaminación de suelos y de cuerpos de agua por ruptura de tubería. El crudo no deja de salir y comienza a esparcirse por la carretrera llegando a cursos de agua."/>
        <s v="Derrame en km 20+200 en comunidad de San Pedro (Urarinas), contamina a agua en canal de flotación y vegetación. Afectación de 19 x 700 metros. Petroperu entró por su cuenta, pusieron una barrera de contención y grapa. Evidencia de personas entrando al cru"/>
        <s v="Derrame por hidrocarburos proveniente de una tubería de 16” contigua a la tubería de inscripción 126 A y al costado del stank dump con afectación a la vegetación y al componente suelo en un área de 40m2. Este derrame está ubicado en una zona de pendiente "/>
      </sharedItems>
    </cacheField>
    <cacheField name="Descripción detallada de ubicación" numFmtId="0">
      <sharedItems containsBlank="1">
        <s v="Batería Capahuari Norte, comunidad Titiyacu"/>
        <s v="12 de octubre"/>
        <s v="oleoducto tobiria Ramar norte en comunidad Paniyacu"/>
        <s v="Pozo 2, Batería Capahuari Norte."/>
        <s v="parte trasera de Batería Capahuari Norte, a 500 m de los pozos 10 y 12."/>
        <s v="Batería Capahuari Norte."/>
        <s v="Titiyacu."/>
        <s v="Frente al pozo 6 y 8, Batería Capahuari norte."/>
        <s v="A 50m de la entrada de los pozos 6 y 8, en Batería Capahuari Norte."/>
        <s v="Batería capahuari norte"/>
        <s v="En el territorio de la comunidad de Titiyacu "/>
        <s v="Plátaforma Capahuari norte"/>
        <s v="pozo 9, Batería Capahuari Norte."/>
        <s v="Batería Capahuari Norte, a 500 m del pozo 9."/>
        <s v="pozo 5, camino de Comunidad Titiyacu a Batería Capahuari Norte."/>
        <s v="Km No. 12 del oleoducto Norperuano-Ramal Norte (ORN), a 3 km de la comunidad Titiyacu en el distrito de Andoas."/>
        <s v="En el territorio de la comunidad Titiyacu, Batería Capahuari Norte."/>
        <s v="derrames del Pozo 1 de Capahuari Norte, al km 14 de la carretera a Capahuari Norte."/>
        <s v="Pozo 3, Batería Capahuari Norte."/>
        <s v="Andoas, Batería Capahuari sur, Lote 9 (dentro del aeródromo de Andoas)"/>
        <m/>
        <s v="Territorio de la comunidad Los Jardines (Batería capahuari sur)"/>
        <s v="En el pueblo de Nuevo Andoas, a 50m del río Pastaza y frente a la estación ccnn. Nuevo Andoas."/>
        <s v="En el territorio de Nuevo Andoas."/>
        <s v="Capahuarí KM4+300"/>
        <s v="En el territorio de Nuevo Andoas. Ese punto está a 5 m de 2 tanques, utilizados para abastecer de combustible a las aeronaves."/>
        <s v="Cocha Ushpayacu y quebrada Anapaza de la comunidad Alianza Capahuari."/>
        <s v="En la ''chacra&quot; frente a PetroPerú, en territorio de la comunidad Nuevo Andoas."/>
        <s v="Base principal de Frontera Energy, Nuevo Andoas."/>
        <s v="A 600 m de la carretera, km 4. Batería Capahuari Norte."/>
        <s v="A 200 m del asentamiento Nuevo Andoas."/>
        <s v="Batería Capahuari sur"/>
        <s v="Km 2+300 Capahuari Norte, colindancia Porvenir-Titiyacu"/>
        <s v="Tambo x1x, vía Capahuari Norte, km 2."/>
        <s v="Quebrada Isma Caño, en el territorio de Nuevo Andoas. El punto se encuentra a 5m del oleoducto que va desde Frontera hasta el punto de recolección. Las coordenadas dadas fueron tomadas en el punto donde se realizó el video."/>
        <s v="Carretera km no. 02, hacia Capahuari Norte (Batería Capahuari Sur)."/>
        <s v="Carretera Bahía los Jardines, a 200 m de Los Jardines. El sitio está en Esma Caño."/>
        <s v="Batería Capahuari Sur."/>
        <s v="Tramo tubería Capahuari norte, Cerca a pozo 32; cerca a un aguajal con quebrada que fluye hacia la quebrada Anapaza"/>
        <s v="Cerca del pozo 32, Batería Capahuari sur."/>
        <s v="Pozo 32. El lugar se llama ''el Cementerio de Chatarra'' (Nuevo Andoás, Batería Capahuari Sur)."/>
        <s v="Shipiro Cocha"/>
        <s v="Pozos 18, 19 y 20"/>
        <s v="Comunidad Nuevo Andoas (Batería Capahuari Sur)."/>
        <s v="En el territorio de Nuevo Andoas, Batería Capahuari sur."/>
        <s v="Batería Capahuari sur, por el km 7 a Andoas, a 150 metros de la carretera."/>
        <s v="Ramal de shirunchicocha."/>
        <s v="En el territorio de la comunidad Nuevo Andoas."/>
        <s v="Batería Capahuari sur., pozo 35."/>
        <s v="En el territorio de la comunidad Nuevo Andoas (Batería Capahuari Sur)."/>
        <s v="Territorio de la Comunidad Los Jardines "/>
        <s v="Alrededores de Planta Central de Producción, km 16 vía principal, Batería Capahuari sur. Desde Andoas hasta el punto Piripiri cocha."/>
        <s v="Capahuari sur."/>
        <s v="Territorio de la comunidad de Chipilay, km no. 7 al lado derecho de la carretera. Nuevo Andoás. Batería Capahuari Sur."/>
        <s v="Batería Capahuari sur, en territorio Nuevo Andoas."/>
        <s v="Base principal de Andoas, en el territorio de la comunidad Nuevo Andoas. Batería Capahuari Sur."/>
        <s v="La quebrada Ushupayacu."/>
        <s v="Batería Capahuari sur, quebrada Ushupayacu. La población más cercana es Alianza Capahuari."/>
        <s v="En la Minicentral Eléctrica de Capahuari Sur."/>
        <s v="Cerca de laboratorio Batería Capahuari sur, carretera principal km 4. La población más cercana es Alianza Capahuari."/>
        <s v="Código CSUR09, en la Batería Capahuari Sur. Se ubica entre la zanja de drenaje de seguridad básica y el oleoducto."/>
        <s v="Batería Capahuari sur, Andoas, Lote 1."/>
        <s v="carretera principal, km 17+200m. El sitio está a 30 m de la carretera."/>
        <s v="Código: SL-CPS2-J. Se ubica en el oleoducto principal que va a Wayuri, Shiviyacu donde se juntan dos oleoductos, el de lado derecho va a Tambo (Batería Capahuari Sur) y el otro sigue recto."/>
        <s v="Colcha Ushupayacu (Shipilay), en territorio de la comunidad Alianza Capahuari."/>
        <s v="Quebrada capahuariyacu, en el territorio de la comunidad Nuevo Andoas, Batería Capahuari Sur."/>
        <s v="En el territorio de la comunidad Los Jardines (Batería Capahuari Sur)"/>
        <s v="quebrada Ushupayacu, Batería Capahuari sur, que fluye por la quebrada Shipilay y fluye hacia el río Pastaza. PAC código CAPS27."/>
        <s v="El crudo proviene de las quebradas Ushupayacu y Shipilay."/>
        <s v="Batería Capahuari sur, en el territorio de Alianza Capahuari. Se ubica cerca a la boca de la quebrada Capahuari, aguas abajo del punto de salida de aguas de producción en Capahuari Norte y Capahuari Sur."/>
        <s v="Base Andoas, en el territorio de la comunidad Nuevo Andoas."/>
        <s v="En el territorio de la comunidad Alianza Capahuari, cerca de &quot;Batería&quot; Tambo x."/>
        <s v="el oleoducto proveniente de Tambo Sur, pozo 1X."/>
        <s v="Pozo 4 Tambo x.1x."/>
        <s v="Oleoducto Shiviyacu-Huayurí-Estación de Acopio-Capahuari Sur, km 34."/>
        <s v="km 34 oleoducto Huayari hacia Andoas"/>
        <s v="tubería  Dorissa-Andoas"/>
        <s v="tubería Huayuri Andoas"/>
        <s v="Huayuri Carretera Principal km 48"/>
        <s v="km 48, Parte de CC.NN. Nueva Jereusalen y parte de CC.NN. Jose Olaya."/>
        <s v="Tubería el Carmen"/>
        <s v="Pozos 1605 y 1607 en el área de la comunidad José Olaya."/>
        <s v="Batería Huayurí Norte."/>
        <s v="CC.NN. Jose Olaya"/>
        <s v="Carretera Huayuri Norte KM 2+500, comunidad cercana es José Olaya"/>
        <s v="KM 53 de la carretera, comunidad cercana José Olaya"/>
        <s v="Huayurí"/>
        <s v="a 7km de la CC.NN. José Olaya"/>
        <s v="Batería Huayurí."/>
        <s v="Bateria Huayuri, a 7km de la CC.NN. José Olaya"/>
        <s v="Base Huayurí CN."/>
        <s v="Lote 101."/>
        <s v="el sitio del botadero se encontró dentro del territorio de la Comunidad San Cristóbal."/>
        <s v="Batería Carmen."/>
        <s v="Tanque de diesel en Batería Dorissa 12. /Batería Dosrissa, tanque 10."/>
        <s v="Batería Dorissa."/>
        <s v="En el territorio de la comunidad Nueva Jerusalén."/>
        <s v="Batería Dorissa, Pozo 15."/>
        <s v="en los pozos petroleros 1x, 02, 03, km 19, carretera Dorissa."/>
        <s v="pozos 02, 03 y 04- km 19, Batería Dorissa."/>
        <s v="Sump Tank del Pozo 9 Dorissa"/>
        <s v="A 1 hora en moto de la comunidad Nueva Jerusalen"/>
        <s v="Pozos 9 y 7 de la Batería Dorissa."/>
        <s v="Pozo cerrado #13 de yacimiento Dorissa"/>
        <s v="Cerca de la Plátaforma del pozo 18, en Batería Dorissa."/>
        <s v="Batería Dorissa 14."/>
        <s v="Cerca del pozo 20 (inoperativo), en la Batería Dorissa."/>
        <s v="Pozo 12-01 Dorissa"/>
        <s v="Pozo D-17/Batería Dorissa."/>
        <s v="Línea de flujo del pozo Dorissa 18./ Batería Dorissa."/>
        <s v="En el Km 70, Batería Shiviyacu, cerca de Quebrada Manchari."/>
        <s v="Batería Dorissa, km 16."/>
        <s v="En territorio de la comunidad Nueva Jerusalén."/>
        <s v="En el pozo 1x km 3 Huayuri Norte."/>
        <s v="Pozo 18, km 5. Batería Shiviyacu."/>
        <s v="Nueva Jerusalén"/>
        <s v="Batería Shiviyacu."/>
        <s v="Forestal, José Olaya"/>
        <s v="Shiíyacu 12km + 25 km de la comunidad. Hay carretera de José Olaya a Shiviyacu, y también hay carretera hasta el Yacimiento pozo 10 que está contaminado."/>
        <s v="Pozo 5 de Forestal, comunidad José Olaya"/>
        <s v="Pozo 15, cerca del km 19 de carretera. Cerca de &quot;Esteban Cocha&quot;."/>
        <s v="Tanque 591, Bateria Forestal, territorio de la CC.NN. Jose Olaya"/>
        <s v="Forestal, comunidad José Olaya"/>
        <s v="BOE FORE 03 comunidad cercana José olaya"/>
        <s v="Batería Forestal."/>
        <s v="Ocurrió cerca de la vía Jerusalén a Jibarito, alrededor del km 19."/>
        <s v="Pozo 6. Ocurrió a unos 200 metros de la vía Shiviyacu-Forestal, en el km 3,5."/>
        <s v="En la carretera principal Huayuri-Jibarito, Km 19+100, en Yacimiento Jibarito. Carretera Jerusalén a Jibarito, km 19."/>
        <s v="Floyente de machari, Tanque de sumidero del pozo 19, en bateria Shiviyacu. Carretera de Bateria Shiviyacu a Bateria Forestal, en el km 1. Afectó el territorio de la comunidad José Olaya. "/>
        <s v="Batería Shiviyacu. En el km 6+800 de la carretera Shiviyacu-Forestal (a la entrada al pozo Shiv-27)."/>
        <s v="Pozo 6 de Batería Shiviyacu y Forestal, por el km 5, en territorio de la comunidad José Olaya."/>
        <s v="Información de un cuaderno. No. 280"/>
        <s v="1A, Doce de Octubre"/>
        <s v="Información de un cuaderno. No. 279"/>
        <s v="Información de un cuaderno.No. 278."/>
        <s v="Información de un cuaderno. No. 281."/>
        <s v="Información de un cuaderno. No. 277."/>
        <s v="Información de un cuaderno. No. 282"/>
        <s v="Información de un cuaderno. No. 283"/>
        <s v="Información de un cuaderno. No. 276."/>
        <s v="Información de un cuaderno. No. 275."/>
        <s v="Información de un cuaderno. No. 274."/>
        <s v="Información de un cuaderno. No. 289"/>
        <s v="Información de un cuaderno. No. 288"/>
        <s v="Información de un cuaderno. No. 290"/>
        <s v="Información de un cuaderno. No. 287"/>
        <s v="Información de un cuaderno. No. 291"/>
        <s v="Información de un cuaderno. No. 286"/>
        <s v="Isla Jíbaro, Antioquía"/>
        <s v="Batería Jibarito."/>
        <s v="Batería jibarito"/>
        <s v="Batería Jibarito (Sección 9 de la línea principal 8'' en los pozos de Isla Jíbarito)."/>
        <s v="Cerca de Jibarito, Antioquia"/>
        <s v="CC.NN. Antioquia"/>
        <s v="Batería Jibarito, pozo 9."/>
        <s v="Línea de producción de pozos 1101,1102, 10 y 13 (secciones no. 49)"/>
        <s v="Isla Jibarito"/>
        <s v="Pozo 6, 12 de Octubre"/>
        <s v="Batería San Jacinto"/>
        <s v="Pozo 24 San Jacinto"/>
        <s v="Dorcas km 150 + 900 margen izquierdo San Jacinto - 12 de octubre. Se trata de un antiguo botadero llamado Dorcas, en Batería San Jacinto."/>
        <s v="CC.NN. Doce de octubre"/>
        <s v="San Jacinto"/>
        <s v="Tanque 1450. Zona industrial de la Batería San Jacinto. 30m x 15m."/>
        <s v="Línea 8-pozo 1A (junta 236) Batería San Jacinto. Batería Shiviyacu "/>
        <s v="Antiguo derrame de petróleo en el pozo 2-4, San Jacinto."/>
        <s v="Tanque colector 1421 del Yacimiento San Jacinto."/>
        <s v="Tuvo lugar en la parte trasera del pozo 1."/>
        <s v="del campamento san Jacinto a 100 metros es en la misma carretera de la línea de tuberías que van al pozo 01"/>
        <s v="Línea de Shiviyacu a Batería San Jacinto, en Batería San Jacinto."/>
        <s v="Ramal de Piedra Negra, cerca del pozo 13 en Batería San Jacinto"/>
        <s v="Tramo oleoducto no. 495 Shiviyacu- Yacimiento San Jacinto. El evento tuvo lugar a 500m de Batería San Jacinto. Ramal de Piedra Negra, de la quebrada Piedra Negra. Batería Shiviyacu. Las coordenadas dadas se tomaron 50 m río abajo desde la ubicación exacta"/>
        <s v="Línea 8-pozo 1A (junta 70) Batería San Jacinto. Quebrada Chanchama. Sucede el 19/02/2017 en el cruce 1A del oleoducto 8. El 21/02/2017 hubo otro derrame a unos 4 metros más allá del derrame anterior en el mismo oleoducto."/>
        <s v="Pozo 01 san jacinto"/>
        <s v="JT - 1A T Marsella Tubería de 08 pulgadas, ccnn 12 de octubre quebrada llanchamilla"/>
        <s v="Km 13 de 1A, número de tubería JT 710 CC.NN. 12 de Octubre"/>
        <s v="En las instalaciones de la planta de producción de petróleo de San Jacinto."/>
        <s v="Pozo 2-4 en Batería San Jacinto. La ubicación exacta es el km 46 de la carretera San Jacinto."/>
        <s v="Yacimiento San Jacinto- Línea de Flujo B de los pozos SANJ-10 y SANJ-1 unión 108."/>
        <s v="Sumptank pozo 1A"/>
        <s v="Del pozo 11-12 al 10, km 7, tubería 1A Batería San Jacinto. En el territorio de comunidad Marsella y 12 de Octubre."/>
        <s v="Las coordenadas dadas fueron tomadas de una de las fotografías disponibles."/>
        <s v="La ubicación exacta es en el cruce, en el km 155 de la carretera general Andoas-San Jacinto dirección Marsella, km 4."/>
        <s v="Comunidad de Mariscal Cáceres"/>
        <s v="Instalaciones de Mariscal Cáceres"/>
        <s v="Pozo 27, km 145. De San Jacinto a Shiviyacu."/>
        <s v="Batería1. Cerca de Quebrada Pumayacu, oleoducto Corrientes -Saramuro, km 5+890."/>
        <s v="Batería 1. Km 305 + 2,3. Cocha Negra."/>
        <s v="Cerca de la cocha Wayranga, Batería San Jacinto."/>
        <s v="Código del sitio: S1. Un almacén abandonado ''Almacén Químico-Maurocaño&quot; en Yacimiento Valencia-Nueva Esperanza."/>
        <s v="código de sitio: S2. Unos 30 metros de S1, en Yacimiento Valencia-Nueva Esperanza."/>
        <s v="comunidad Belén de Plantanoyacu."/>
        <s v="Código de sitio: S5. Se ubica 100 metros al norte del pozo 25X, en Yacimiento Valencia-Nueva Esperanza."/>
        <s v="El pozo 41D de Plátaforma 25, en Batería 6."/>
        <s v="código de sitio: S6. Se ubica 70 metros al este del pozo 25X, donde la quebrada Mazatoyacu fluye hacia el río Plantanoyacu, en Yacimiento Valencia-Nueva Esperanza."/>
        <s v="Pozo 25, comunidad más cercana a Belén"/>
        <s v="Bahía de Bartra"/>
        <s v="Batería Bartra, en el territorio de la comunidad de San Juan Bartra."/>
        <s v="Pozo 92; comunidad más cercana es Nueva Esperanza"/>
        <s v="código de sitio: S4. Se ubica 60 metros al norte del pozo 92D, en Yacimiento Valencia-Nueva Esperanza."/>
        <s v="código de sitio: S3. Se ubica a unos 200 metros al noreste de la Batería 7, donde la quebrada Colcayacu fluye hacia la cocha Nayanmaca, en Yacimiento Valencia-Nueva Esperanza."/>
        <s v="Pozo 74; comunidad más cercana es Nueva Esperanza"/>
        <s v="Pozo 25X, batería 7, CN Nueva Esperanza."/>
        <s v="Bate 7, en Comunidad Nueva Valencia."/>
        <s v="Ubicado a 300 metros de la carretera principal, en el km 10."/>
        <s v="En la Comunidad San José de Nueva Esperanza"/>
        <s v="San Juan de Bartra"/>
        <s v="Comunidad Nueva Esperanza."/>
        <s v="Base de Bartra"/>
        <s v="Bate 7 P18- Bahía, cerca de Comunidad Nueva Esperanza."/>
        <s v="En el ducto que va desde Batería 7 hasta Capirona, en territorio de la comunidad San José de Nueva Esperanza."/>
        <s v="Oleoducto de Batería 7 Nueva Esperanza a Batería 4, en la zona de Tunchiplaya. En el km 12+200."/>
        <s v="oleoducto entre batería 7 y 4 Capirona; comunidad mas cercana es Nueva Esperanza"/>
        <s v="Batería Bartra km 18"/>
        <s v="En 18.200 km, pertenece una batería bartra."/>
        <s v="Km 18+150"/>
        <s v="Para llegar al punto es de 10 km desde la comunidad caminando"/>
        <s v="Comunidad más cercana es Nueva Esperanza."/>
        <s v="oleoducto entre batería 7 y Capirona 4; comunidad mas cercana es Nueva Esperanza"/>
        <s v="13 km aproximadamente batería Bartra"/>
        <s v="Batería Bartra, km 10 en la comunidad San Juan Bartra y la área de caza de El Ojeal"/>
        <s v="Km 20 aproximadamente batería bartra en trayecto de Bartra al cruce de San Jacinto"/>
        <s v="n/a"/>
        <s v="Este Botadero se encuentran a un costado de la batería en el km 11 donde puedes en contrar todo tipo de materiales. Se encuentra a un canto de la misma batería Bartra"/>
        <s v="Pozo 4-5 de batería Bartra"/>
        <s v="Estos pozos se encuentra de la comunidad de San Juan, llegando a batería 237;a Bartra en el km 11 aprox.entrando hacia la derecha a km 1 y 600 metros al fondo están los pozos."/>
        <s v="pozo 4 y 5 San Juan de Bartra, kilómetro 6"/>
        <s v="Pozo 4 y 5 San Juan de Bartra"/>
        <s v="Km 20 barteria Bartra se encuentra en el trayecto de Bartra al cruce de San Jacinto"/>
        <s v="Pozos cercanos 4-5 en Batería Bartra."/>
        <s v="Este incidente se encuentra en la mitad del oleoducto que viene del pozo 4 &amp; 5 al batería 237, a 1500 metros de batería 237"/>
        <s v="."/>
        <s v="Batería Bartra en la comunidad San Juan Bartra"/>
        <s v="Batería San Juan de Bartra"/>
        <s v="Batería Bartra (comunidad San Juan Bartra) a unos 12 km de San Juan de Bartra a Batería Bartra."/>
        <s v="Pozo 1-2-12 Bartra"/>
        <s v="Se encuentra aproximadamente a 500 metros del pozo 1."/>
        <s v="Cerca al pozo 11-10 aproximadamente de 300 metros se encuentran este lugar batería Bartra"/>
        <s v="Pozo numero 1 de San Juan de Bartra, se encuentra a 200 metros, antes de llegar a Batería Bartra hacia la derecha, llegando al pozo hacia la derecha se encuentra el SUMP TANK."/>
        <s v="Pozo 9 San Juan de Bartra"/>
        <s v="Este derrame se encuentran a 80 metros del pozo 10 y 11 con batería; a Bartra a 50 metros"/>
        <s v="Pozo 10-11 San Juan de Bartra"/>
        <s v="Pozo n.9 por el norte de Bartra"/>
        <s v="Encontrandose hacia el norte de batería;a Bartra el pozo 9"/>
        <s v="Se encuentran en la misma batería de Bartra a unos metros"/>
        <s v="Pozo 6, 7, 8, bartra"/>
        <s v="San Juan de Bartra; De Batería a Bartra yendo por carretera al doce de octubre, de Bartra a 300 metros entrando hacia la derecha caminando a 400 metros se encuentran estos pozos"/>
        <s v="Pzo 6,7,8 San Juan de Bartra"/>
        <s v="Pozo 13, Batería Bartra. El lugar se encuentra ubicado a 12 km de San Juan hacia Batería Bartra. Para llegar al pozo se necesitan alrededor de 1,5 km."/>
        <s v="Pozo 13-14 batería bartra"/>
        <s v="Pozo 13 y 14 San Juan de Bartra"/>
        <s v="Tanques 13-14 en Batería Bartra"/>
        <s v="Pozos cercanos 12 y 13, en Batería Bartra."/>
        <s v="Ducto Batería 7- Batería 4, km 54+800."/>
        <s v="Pozo 3, Bartra"/>
        <s v="Pozo 15 y 16 San Juan de Bartra"/>
        <s v="Del pozo 15-16 en a batería Bartra en una quebrada afluente de montano"/>
        <s v="Como base siendo la batería; a Bartra haciendo un encuentro de los pozos 3, el pozo 16 y el pozo 9"/>
        <s v="Tubería de Batería 4 a Batería 7, por el km 37+150 (Capirona)."/>
        <s v="san jose de nueva esperanza"/>
        <s v="Batería 4."/>
        <s v="El oleoducto que va desde Nueva Esperanza hacia Estación de Bombas, km 6+600. / en territorio Comunidad Santa Rosa. Planta Central de Producción 7, desde el Campo Base hasta los pozos 74 y 86."/>
        <s v="Código de sitio: S22. Este lugar se encuentra ubicado a 50 metros al noreste de la Plátaforma 2X. Yacimiento Pavayacu-Capirona."/>
        <s v="código de sitio: S21. Este lugar está ubicado 50 metros al norte de la Plátaforma 2X. Yacimiento Pavayacu-Capirona."/>
        <s v="Código de sitio: S20. Este lugar está ubicado a 1km de Batería 4. Yacimiento Pavayacu-Capirona."/>
        <s v="bateria 4"/>
        <s v="código de sitio: S16. Este lugar está ubicado a 15 metros de Poza API, en Estación de Bombeo. Yacimiento Pavayacu-Capirona."/>
        <s v="Km 43 Pavayacu."/>
        <s v="Código de sitio: S15. Este lugar está ubicado a 200 metros de la Estación de Bombeo y a 50 metros de Cocha Atiliano. Yacimiento Pavayacu-Capirona."/>
        <s v="Código de sitio: S13. Este lugar se encuentra ubicado 100 metros al oeste del Andén 1108. Yacimiento Pavayacu-Capirona."/>
        <s v="Código de sitio: S14. Este lugar se ubica 300 metros al oeste del Andén 1108. Yacimiento Pavayacu-Capirona."/>
        <s v="Cocha Negra, Comunidad de Peruanito."/>
        <s v="Andén 70, batería 5 en CN Pucaruro."/>
        <s v="El punto exacto donde ocurrió el hecho se encuentra a 50 metros del km 16+800 de la vía principal Pucacuro-Pavayacu. en el tubo 4, cerca del pozo 130, ubicado a 500 metros de la Batería 5."/>
        <s v="Código de sitio: S7. Se ubica 300 metros al sur de la Plátaforma 84 (Cocha Petroboa), en Yacimiento Pavayacu-Capirona."/>
        <s v="código de sitio: S9. Se ubica a 50 metros del sitio S8. En la cabecera de la quebrada Huanganayacu, cerca del km 20 Campamento 101, carretera hacia Central Eléctrica 130, en Yacimiento Pavayacu-Capirona."/>
        <s v="código de sitio: S8. Este lugar está ubicado en la cabecera de la Quebrada Huanganayacu, a la altura del km 20 Campamento 101, vía hacia Central Eléctrica 130, en el Yacimiento Pavayacu-Capirona."/>
        <s v="Código de sitio: S10. Se ubica a 100 metros al este de la Batería 9, en un aguajal. Yacimiento Pavayacu-Capirona."/>
        <s v="código de sitio: S11. Se ubica 150 metros al oeste de Batería 9. Yacimiento Pavayacu-Capirona."/>
        <s v="Código de sitio: S12. Este lugar está ubicado 350 metros al noroeste de Batería 9. Yacimiento Pavayacu-Capirona."/>
        <s v="Código de sitio: S19. Este lugar está ubicado a 150 metros del Campamento 101. Yacimiento Pavayacu-Capirona."/>
        <s v="Código de sitio: S18. Este lugar está ubicado 200 metros al norte de Batería 9. Yacimiento Pavayacu-Capirona."/>
        <s v="Código de sitio: S17. Este lugar está ubicado 400 metros al norte de Batería 9, Ramal de Huanganayacu. Yacimiento Pavayacu-Capirona."/>
        <s v="oleoducto Trompeteros-Pavayacu, CN Peruanito."/>
        <s v="bateria 5"/>
        <s v="En el oleoducto E.E.B.E de Capirona a Batería 1, Corrientes. Km 16+417."/>
        <s v="comunidad nuevo porvenir"/>
        <s v="comunidad Nuevo Porvenir."/>
        <s v="Campamento Paraíso (Km24+700) en territorio de la Comunidad Nuevo Porvenir."/>
        <s v="El oleoducto Corrientes- Saramuro, km 30+875. Batería 1."/>
        <s v="se llevó a cabo en el pequeño río Trompeterillo grande, frente al pueblo de Trompeteros. El hecho se ubicó a 4 metros del río Corrientes."/>
        <s v="oleoducto Corrientes-Saramuro km0+300, cerca de Batería 2."/>
        <s v="El oleoducto que conecta Batería 1 (Trompeteros) con Batería 8 (Chambira). oleoducto Trompeteros-Chambira."/>
        <s v="Código de sitio: S23. Este lugar está ubicado en el km 5+570.31 del oleoducto Corrientes-Saramuro. Yacimiento Corrientes."/>
        <s v="En la línea B del oleoducto Corrientes Saramuro, 5+589 km"/>
        <s v="Comunidad San Cristóbal"/>
        <s v="trompeterillo grande"/>
        <s v="Batería 8x."/>
        <s v="Batería 2."/>
        <s v="bateria 2"/>
        <s v="Quebrada en San Cristóbal"/>
        <s v="Batería 1."/>
        <s v="Código S24. En el km 3+816.85 del conoleoducto Corrientes-Saramuro. Yacimiento Corrientes."/>
        <s v="Yacimiento Corrientes, topping plant (Topiplan a Batería 8 al lado de la carretera)"/>
        <s v="Código de sitio: S41. Este lugar está ubicado a 30 metros al oeste de Batería 2. Yacimiento Corrientes."/>
        <s v="Pangui Entsa"/>
        <s v="Comunidad San Cristóbal. Cerca al topiplan, en rama quebrada a cerca de carretera. De topiplan a 8x oleoducto"/>
        <s v="Código de sitio: S27. Este lugar está ubicado a 1 km al este del Fuji Central y 200 metros al este de Batería 2. Yacimiento Corrientes."/>
        <s v="km 3+814, - Batería 1."/>
        <s v="oleoducto Corrientes-Saramuro, km 2+700"/>
        <s v="Batería 1. Cerca de Plátaforma no. 1013."/>
        <s v="Código de sitio: S25. Este lugar está ubicado en el km 2+657,27 del oleoducto Corrientes-Saramuro. Yacimiento Corrientes."/>
        <s v="Batería 1, Laguna MSA."/>
        <s v="San Cristóbal"/>
        <s v="Código de sitio: S26. Este lugar está ubicado en el km 1+985.41 del oleoducto Corrientes-Saramuro. Yacimiento Corrientes."/>
        <s v="Plataforma 33X"/>
        <s v="El sistema de bomba Trompeteros-Saramuro Batería 1./Área de motobombas, en la Batería 1, Trompeteros."/>
        <s v="En el empalme del oleoducto de diésel de Central no. 1 a Central no. 2, en Batería 1. / Bat 1."/>
        <s v="tanque 10, Batería 1."/>
        <s v="En el muelle Percy Rozas-Trompeteros. Puerto TRANSTUR- Muelle de Corrientes, en territorio de Comunidad San Cristóbal."/>
        <s v="Tubería Trompeteros y Saramuro, tramo 53."/>
        <s v="Oleoducto que va de la Plataforma 12x a la Batería 2, en el territorio de la comunidad de San Cristóbal."/>
        <s v="Comunidad San Cristobal en el oleoducto que conecta platform 33 a platform 57, en Batería 2"/>
        <s v="Código de sitio: S40. Este lugar está ubicado a 500 metros sur de Central Eléctrica-Batería 1 y 400 metros norte de la Plátaforma 108X.Yacimiento Corrientes."/>
        <s v="Código de sitio: S38. Este lugar está ubicado a 200 metros al oeste de la Plátaforma 57 (alrededor del sitio de un antiguo derrame de petróleo). Yacimiento Corrientes."/>
        <s v="Zona CN San Cristóbal."/>
        <s v="Km 42 Tramo I ONP"/>
        <s v="Chacra Sra. Loida Chuje''"/>
        <s v="Pozo de Plátaforma 57"/>
        <s v="Línea de reinyección de agua producida del pozo CO-42AD. / pozo 42 de la Plátaforma 10x."/>
        <s v="Código de sitio: S28. Este lugar se ubica 70 metros al este del Andén 10. Yacimiento Corrientes."/>
        <s v="Código de sitio: S29. Este lugar se encuentra ubicado 90 metros al norte del Andén 10. Yacimiento Corrientes."/>
        <s v="Batería 1, Laguna 10X."/>
        <s v="Plátaforma 33, 110 m de profundidad - Muro 1"/>
        <s v="Código de sitio: S36. Este lugar se ubica a 300 metros al oeste de la Plátaforma 2 (alrededor de un antiguo derrame de petróleo no remediado). ''Derecho de vía'' de la Plátaforma 138X, km 5+763.14. Yacimiento Corrientes."/>
        <s v="Zona PAC del pozo 12. En el territorio de Comunidad San Cristóbal."/>
        <s v="Código de sitio: S37. Este lugar está ubicado a 300 metros al sur de la Plátaforma 12 (alrededor de un antiguo derrame de petróleo no remediado). La ubicación es cerca del sitio PAC Plátaforma 12X -Sitio 3- 07/03/2009. Yacimiento Corrientes."/>
        <s v="Plataforma 12X, San Cristóbal"/>
        <s v="Código de sitio: S31. Este lugar está ubicado 50 metros al sur de la Plátaforma 33X. Yacimiento Corrientes."/>
        <s v="Código de sitio: S32. Este lugar está ubicado en el punto central de la Plátaforma 44X. Yacimiento Corrientes."/>
        <s v="Código de sitio: S30. Este lugar se encuentra ubicado 40 metros oeste del Andén 33. Yacimiento Corrientes."/>
        <s v="Plátaforma 33X, comunidad cercana San Cristóbal"/>
        <s v="'Chacra Sra Madre Ana Hualinga''"/>
        <s v="Plátaforma 33x"/>
        <s v="Código de sitio: S35. Este lugar está ubicado en el derecho de vía del Andén 138X, km 5+388,29. Yacimiento Corrientes."/>
        <s v="En el territorio de la comunidad San Cristóbal."/>
        <s v="Código de sitio: S34. Este lugar está ubicado en el punto donde se bifurcan la Plátaforma 138X y la Plátaforma 44X. Yacimiento Corrientes."/>
        <s v="San Cristóbal, 200 metros de plataforma 137"/>
        <s v="Pozo de Borra 31 X, cerca de Comunitad San Cristóbal."/>
        <s v="Andén 144 - Batería 1"/>
        <s v="Código de sitio: S33. Este lugar se ubica 100 metros al noreste del Andén 138X, km 4+904.90. Yacimiento Corrientes."/>
        <s v="Código de sitio: S39. Este lugar está ubicado a 100 metros al oeste de la Plátaforma 31X (''poza de ripios y recortes de perforación'')Yacimiento Corrientes."/>
        <s v="comunidad de San Cristóbal."/>
        <s v="comunidad San Cristóbal."/>
        <s v="Trompeterillo chico"/>
        <s v="Km 69 +500 ducto Corrientes -Saramuro"/>
        <s v="oleoducto Corrientes-Saramuro, km 92+00. Cerca de Batería 2."/>
        <s v="pozos 10,11,12, km 17 Dorissa, en el territorio de la comunidad Nueva Jerusalén."/>
        <s v="Pozos 01, 02,03 y 04, km 19 carretera Dorissa."/>
        <s v="Carretera Km 18 -19 (a falta de mayor información), en territorio de la comunidad Nueva Jerusalén."/>
        <s v="Dorissa km-16."/>
        <s v="Km 127+500, margen derecho de carretera principal, en patio de casa. En el territorio de la comunidad 12 de Octubre, Batería San Jacinto. "/>
        <s v="Pozo Jibarito Isla. El lugar se ubica desde el asentamiento Jíbaro, dos vueltas del río aguas arriba. Desde Pampa Hermosa se debe tomar una embarcación hacia Bahía Jíbaro y luego conducir hasta el km 5 del Pozo. Desde ese punto se camina por un sendero ha"/>
        <s v="En el territorio de la comunidad Arenal, cerca al pozo 1A."/>
        <s v="En la refinería topiplan ubicada en Marsella. El área se ubica en el territorio de la comunidad Andres Avelino Cáceres."/>
        <s v="Km 18, Quebrada Ramal de Capahuari (Nuevo Andoas. Batería Capahuari Sur), en territorio de la comunidad Titiyaco."/>
        <s v="Quebrada capahuari y la Colcha Shippyn."/>
        <s v="ramal de Capahuari."/>
        <s v="Territorio de la comunidad Nuevo Andoas."/>
        <s v="Territorio de la comunidad Nuevo Andoas (Batería capahuari sur)."/>
        <s v="Territorio de la comunidad Los Jardines, zona de caza y pesca de Loboyaco (Batería capahuari sur)"/>
        <s v="Comunidad Titiyacu (Batería capahuari norte)"/>
        <s v="En el territorio de Nuevo Andoas (Capahuari Sur)."/>
        <s v="En la quebrada choroyacu, territorio de la comunidad Titiyacu, Batería Capahuari Norte."/>
        <s v=" Shirunchi cocha en el territorio de Comunidad Nuevo Andoas, en Batería Capahuari sur."/>
        <s v="Shirunchi cocha, en el territorio de Nuevo Andoas, Batería Capahuari Sur."/>
        <s v="Dorisa km 16."/>
        <s v="Comunidad Pampa Hermosa"/>
        <s v="Cerca del pozo 2."/>
        <s v="Pozo 8 y 11 en la comunidad José Olaya"/>
        <s v="Dentro del territorio de la comunidad Marsella."/>
        <s v="Pozo ATA SJ-11, en Batería San Jacinto."/>
        <s v="Quebrada Chanchama."/>
        <s v="Zona Ullpayacu, en territorio de la comunidad Alianza Capahuari."/>
        <s v="Pozo 11, km 7 tubería 1A."/>
        <s v="Km 12 desde base Marsella hasta oleoducto Shiviyacu, en territorio de la comunidad Mariscal Cáceres."/>
        <s v="Desde la bomba de agua ubicada en la vía Shiviyacu-San Jacinto, Km 6, lado izquierdo, 200 metros caminando hacia el bosque."/>
        <s v="Base principal de Frontera Energy en Nuevo Andoas"/>
        <s v="De la playa a Huayuri - Batería Huayuri. En el territorio de la comunidad José Olaya"/>
        <s v="Quebrada Huayuri. Km.10.huyuri-voa.  En la comunidad José Olaya"/>
        <s v="Shiviyacu, pozo 6. Carretera de Shiviyacu a Forestal, Km 5. En la comunidad José Olaya"/>
        <s v="El hecho tuvo lugar cerca de la comunidad de Arenal. La ubicación exacta se puede encontrar luego de navegar entre 15 y 20 minutos por el río Tigre y girar a la izquierda. Luego hay que seguir la tubería durante aproximadamente un kilómetro."/>
        <s v="El oleoducto que conecta el pozo 11. En el territorio de la comunidad Pampa Hermosa. Se demora 30 minutos en carro para llegar al sitio. "/>
        <s v="Bateria 12 de Octubre"/>
        <s v="Nazareth"/>
        <s v="En el territorio de la comunidad Mariscal Cáceres, San Jacinto."/>
        <s v="En el territorio de la comunidad 12 de Octubre."/>
        <s v="Comunidad San Juan Bartra, en Batería Bartra"/>
        <s v="Carretera San Jacinto-Shiviyacu, en territorio de la comunidad 12 de Octubre."/>
        <s v="Huayuri norte km 4"/>
        <s v="En los alrededores del pozo 13, Batería Bartra."/>
        <s v="En el territorio de San Cristóbal"/>
        <s v="Comunidad José Olaya."/>
        <s v="En el territorio de Alianza Copal, Batería Capahuari norte."/>
        <s v="Batería San Jacinto, en el territorio de la comunidad Marsella."/>
        <s v="En el territorio de la comunidad Nuevo Andoas, Batería Capahuari Sur."/>
        <s v="Cocha Negra"/>
        <s v="Batería 1, tanque 7."/>
        <s v="Quemador 31."/>
        <s v="Km3+814, comunidad de San Cristóbal."/>
        <s v="En Plantas de Producción Central San Jacinto."/>
        <s v="Cerca de Arenales, en la mismo márgen del río, a 1k, aguas abajo, en los pozos 10,11 y 12."/>
        <s v="Km 42 oleoducto Jibarito Isla-Jibarito."/>
        <s v="Planta de Producción Central 7 a Capirona. El sitio se ubica aproximadamente a una hora de San José de Nueva Esperanza, y luego se camina 15 minutos más (1 km)."/>
        <s v="Comunidad San José de Nueva Esperanza. El lugar donde tuvo lugar el hecho se encuentra aproximadamente a media hora en barco río abajo, en la zona de Carme Caño."/>
        <s v="comunidad San José de Nueva Esperanza, en Sabalillo."/>
        <s v="Pozo 1, caminando 40 metros hasta la quebrada Piedra Negra."/>
        <s v="Batería Jibarito, sump tank."/>
        <s v="Tanque de diésel Plátaforma 114/Plátaforma 144, sitio 1"/>
        <s v="La facilidad central de producción 7, Plátaforma x47 (en la comunidad de San José de Nueva Esperanza)"/>
        <s v="Batería Forestal"/>
        <s v="Sardina cocha"/>
        <s v="Capirona. Lote 8."/>
        <s v="Hacia el pozo 10, Batería Jibarito [Hivarito, sic]."/>
        <s v="Batería Dorissa"/>
        <s v="Batería Huayurí"/>
        <s v="Shiviyacu"/>
        <s v="Batería Shiviyacu"/>
        <s v="Colpayo, en el km 17 de la estación de bomba a Trompeteros."/>
        <s v="Jibarito Batería."/>
        <s v="El oleoducto principal entre Isla Jibaro y Batería Jibarito (en la carretera km 42 hacia Jibarito)"/>
        <s v="Batería 5."/>
        <s v="Batería Shiviyacu. En no. 660 del oleoducto Forestal-Shiviyacu. El punto exacto es el km 17 de la carretera Shiviyacu-Forestal."/>
        <s v="En el área de pesca de la comunidad Peruanito"/>
        <s v="Cerca a la Plátaforma 8."/>
        <s v="Comunidad de San Cristóbal"/>
        <s v="El oleoducto que va hacia Batería 2."/>
        <s v="Cerca de trompeteros"/>
        <s v="Riachuelo Chuuntsa, Batería Dorissa."/>
        <s v="Plátaforma 12X."/>
        <s v="Plátaforma 44x."/>
        <s v="Plátaforma 44."/>
        <s v="Plátaforma 33."/>
        <s v="Lote 8."/>
        <s v="Cerca de Batería Dorissa"/>
        <s v="Centro de remediación 31X, cerca de la quebrada Trompeterillo, en el territorio de la comunidad San Cristóbal."/>
        <s v="Plátaforma 10X."/>
        <s v="Batería Forestal. Lote 1-AB."/>
        <s v="Batería Huayuri."/>
        <s v="bateria 1"/>
        <s v="Pozo 14."/>
        <s v="Plátaforma 70-MSA 1"/>
        <s v="Batería 1, Corrientes. En el tanque de diesel que alimenta a las motobombas de Batería 1./ Cerca de la comunidad de San Cristobal."/>
        <s v="Batería Jibarito. Trampa receptora de chanchos - Km. 38 de la carretera huayurí a Jibarito"/>
        <s v="bateria 7"/>
        <s v="Pozo no. 6, Andoas."/>
        <s v="Sede central de GM, Batería Capahuari sur."/>
        <s v="oleoducto que conecta el pozo 26 al pozo 29."/>
        <s v="Pozo 31, 21 y 23, Capahuari Sur."/>
        <s v="Km 28, cerca de la carretera, Batería Forestal."/>
        <s v="Km 27, a 30 m de la carretera, Batería Forestal."/>
        <s v="Frente a la Batería Forestal, a 20 m de la carretera."/>
        <s v="Cerca de la Batería Forestal, cerca de la carretera."/>
        <s v="Batería Forestal, cerca de la carretera."/>
        <s v="0F204, a 50 metros de la Batería Forestal."/>
        <s v="Batería Dorissa, tanque 10."/>
        <s v="Pozos 10 y 12, en Batería Capahuari norte."/>
        <s v="A 100 metros del pozo 6."/>
        <s v="Batería Huayurí, km 3, pozo Machu Pichu."/>
        <s v="Carretera a San Jacinto, km 51, pozo 525, aguajal cerca a la quebrada afluente Lupuniya."/>
        <s v="Cerca del pozo 1 de Batería Forestal, por el km 27 de la carretera principal."/>
        <s v="Batería Forestal, km 21 pozo 5-6. En la comunidad José Olaya"/>
        <s v="Antioquia, Isla Jíbaro"/>
        <s v="No hay detalles sobre la ubicación exacta. "/>
        <s v="Quebrada Cetico, en Batería Shiviyacu."/>
        <s v="Carretera norte capahuari, km o. 02. En territorio de las comunidades Los Jardines y Porvenir, en Batería Capahuari Sur."/>
        <s v="Descarga No. 10, aguas de área estanca, TK-TV 11 y 12."/>
        <s v="En el territorio de Los Jardines (Batería Capahuari Sur)"/>
        <s v="dentro del Ecuador (al otro lado de la frontera)."/>
        <s v="carretera de Dorissa a Huayuri, km 7."/>
        <s v="km 206, río Morona (No hay más información disponible)"/>
        <s v="La ubicación exacta se encuentra 1 km después de las instalaciones de Batería San Jacinto."/>
        <s v="No hay información disponible sobre la ubicación exacta."/>
        <s v="Al parecer, el punto se encuentra cerca de la carretera 1A- San Jacinto. No hay más información sobre la ubicación exacta."/>
        <s v="No hay información sobre la ubicación exacta. Ocurrió dentro de las instalaciones de extracción de petróleo."/>
        <s v="La quebrada Yanayacu"/>
        <s v="En la Instalación Central de Producción Bartra, en territorio de San Juan de Bartra."/>
        <s v="Instalación Central de Producción Bartra, Plátaformas 12-13, en territorio de San Juan Bartra."/>
        <s v="Cerca al km 22 en camino a la Instalación Central de Producción Bartra en la comunidad San Juan."/>
        <s v="Carretera San Jacinto, km 152."/>
        <s v="De la Instalación Central de Producción 5 a San José de Nueva Esperanza."/>
        <s v="Lodos de perforación 22 y 27"/>
        <s v="En la carretera que va a los pozos 2-4 después de cruzar San Jacinto. A los 30 metros del pozo hay un sitio contaminado."/>
        <s v="Pozo 5, Batería 1"/>
        <s v="Km 21 de pozo 5 a 6 en el territorio de la comunidad José Olaya, Batería Forestal"/>
        <s v="En territorio de la comunidad Arenal. Cerca al pozo 1, unos 100 metros de la Base Militar Cahuide."/>
        <s v="El sitio se ubica a 100 metros arriba por el río desde Arenal."/>
        <s v="Cerca de los pozos 2-4."/>
        <s v="No hay información."/>
        <s v="Batería 5, Instalación Central de Producción 5, cerca al pozo 25."/>
        <s v="Pozo 92D"/>
        <s v="Lote 8"/>
        <s v="'Derecho de Vía del oleoducto Pavayacu - Trompeteros'' y Cocha Negra."/>
        <s v="En la carretera principal hacia Tambo, cerca de Comunidad Nativa Alianza Capahuari en Batería Tambo."/>
        <s v="En la carretera principal hacia Tambo km 7, cerca de la laguna de Sanshococha. En Batería Tambo."/>
        <s v="cuadra 43, a media hora aguas arriba desde San José de Porvenir. Luego caminando 40 minutos."/>
        <s v="Río Tigre, comunidad 12 de Octubre, camino a San Jacinto, Pozo 4, cerca de Quebrada Limón."/>
        <s v="Quebrada Yanchama, cercana al lote 1A. Desde la comunidad 12 de Octubre, en lancha hay que dirigirse hasta Arenales, y luego hasta Quebrada Yanchana (300 metros más Alente). Hay dos quebradas, Yanchama y Yanayacu."/>
        <s v="Derrame del camión aspirador 11-47."/>
        <s v="Km 48 del camino. 1474 m2 de extensión."/>
        <s v="comunidad José Olaya, Km 5."/>
        <s v="&quot;Botadero nuevo titiyacu''."/>
        <s v="Plátaforma 1019. Cerca de la comunidad de San Cristóbal."/>
        <s v="Carretera principal de Capahuari Sur, km 2+900."/>
        <s v="En el oleoducto se puede leer: Corrientes-Saramuro km 3+776."/>
        <s v="quebrada Ushupayacu. Este lugar es un cruce de diferentes caños que provienen de Huayuri, Shiviyacu, Carmen, San Jacinto, Dorisa, Jibarito, etc."/>
        <s v="De Shiviyacu a San Jacinto. Ocurrió en el tramo Marsella-A.A.A Cacers"/>
        <s v="Km 6, carretera 1A de Shiviyacu a San Jacinto en territorio de la comunidad 12 de Octubre. Para llegar al punto exacto: desde la estación de bombeo de agua en Quebrada Llanchama hay que caminar 300 m río arriba hasta encontrar la tubería. Luego, hay que c"/>
        <s v="Comunidad José Olaya, Pozo Huayurí."/>
        <s v="Pozos 10,11, 12, en el territorio de la comunidad Marsella."/>
        <s v="Pozos 10, 11, 12, A1 km7, en territorio de comunidad Marsella."/>
        <s v="Pozos 11, 12, 10, km 5. En el territorio de la comunidad Marsella."/>
        <s v="Pozo 10, km 7 1A."/>
        <s v="Desde el Pozo 11 hacia base Shiviyacu (en el km 7 del oleoducto) en territorio de la comunidad Nueva Jerusalén."/>
        <s v="En el territorio de la comunidad 12 de Octubre. Frente a una chacra."/>
        <s v="Territorio de la comunidad 12 de Octubre."/>
        <s v="Pozos 10, 11, 12 en el territorio de la Comunidad 12 de Octubre. En Mariscal Cáceres"/>
        <s v="Km 6 desde San Jacinto hasta Shiviyacu. Bomba de agua quebrada Chanchama más al fondo tubería a 500 m."/>
        <s v="Carretera 1 km 6 alrededor del puente Chanchama, a 5 metros de la carretera que va de Batería Shiviyacu a Batería San Jacinto."/>
        <s v="Km 48, camino al pozo 10. Comunidad 12 de Octubre, Batería San Jacinto."/>
        <s v="San Jacinto, km 148. En el territorio de la comunidad Marsella, Batería Bartra. Está en el brazo Piedra Negra- Quebrada Piedra Negra- río Tigre."/>
        <s v="Comunidad 12 de octubre."/>
        <s v="Quebrada Machu Pichju. A 3 kilómetros de Huayuri. En la comunidad José Olaya"/>
        <s v="En el territorio Pampa Hermosa"/>
        <s v="Alrededores de las instalaciones de producción de San Jacinto."/>
        <s v="Batería San Jacinto, en el territorio de la comunidad Marsella. Proviene del tanque sumidero T-1419, cercano al pozo 27."/>
        <s v="Ducto que conecta Batería 7 a Batería 4 en Capirona, en la comunidad San José de Nueva Esperanza."/>
        <s v="Plátaforma del pozo Dorissa 5/Batería Dorissa."/>
        <s v="Tanque colector pozo 9, Batería Forestal."/>
        <s v="Porvenir"/>
        <s v="Carmen, José Olaya"/>
        <s v="Pozo 13 Bartra"/>
        <s v="Antioquía/Jibarito"/>
        <s v="Linea 3, batería 9, Pavayacu, Pucacuro"/>
        <s v="Km 50 Pozo 13"/>
        <s v="km 48+500 del oleoducto Corrientes - Saramuro"/>
        <s v="km 15 + 300, CC.NN. San Pedro de Urarinas, río Marañón"/>
        <s v="Progresiva pk. 80+600"/>
        <s v="Pozo 13, Dorissa, km 20. El lugar queda a 13 o 14 km de la CC.NN. Nueva Jerusalen"/>
        <s v="Ubicación: Km19 de la Carretera Dorissa, Km19 de la Carretera Dorissa (Territorio de la CCNN Nueva Jerusalén). Referencia: Pasando el puesto de guardianía. Altura de Pozo 15. A 150 m de cocha."/>
      </sharedItems>
    </cacheField>
    <cacheField name="Zona UTM" numFmtId="0">
      <sharedItems containsBlank="1">
        <s v="18S"/>
        <s v="18M"/>
        <s v="18 M"/>
        <m/>
        <s v="No hay coordenadas"/>
        <s v="18 MUB8734893383"/>
        <s v="."/>
      </sharedItems>
    </cacheField>
    <cacheField name="Altitud y error">
      <sharedItems containsBlank="1" containsMixedTypes="1" containsNumber="1" containsInteger="1">
        <m/>
        <n v="166.0"/>
        <s v="."/>
        <s v="229 4.0"/>
        <s v="213 5.0"/>
        <s v="228 5.0"/>
        <s v="277 5.0"/>
        <n v="188.0"/>
        <n v="189.0"/>
        <n v="184.0"/>
        <n v="180.0"/>
        <n v="183.0"/>
        <n v="182.0"/>
        <n v="160.0"/>
        <n v="175.0"/>
        <n v="177.0"/>
        <n v="179.0"/>
        <n v="172.0"/>
        <n v="181.0"/>
        <n v="168.0"/>
        <n v="157.0"/>
        <n v="162.0"/>
        <n v="159.0"/>
        <n v="165.0"/>
        <n v="173.0"/>
        <n v="150.0"/>
        <n v="153.0"/>
        <n v="167.0"/>
        <n v="155.0"/>
        <n v="169.0"/>
        <n v="161.0"/>
        <n v="174.0"/>
        <n v="156.0"/>
        <n v="152.0"/>
        <n v="158.0"/>
        <n v="170.0"/>
        <s v="214 10.0"/>
        <n v="149.0"/>
        <n v="154.0"/>
        <s v="187 10.0"/>
        <s v="209 10.0"/>
        <n v="194.0"/>
        <s v="203 5.0"/>
        <s v="199 5.0"/>
        <n v="190.0"/>
        <s v="179 10.0"/>
        <s v="193 20.0"/>
        <s v="197 5.0"/>
        <s v="188 5.0"/>
        <s v="196 5.0"/>
        <s v="235 5.0"/>
        <s v="234 5.0"/>
        <s v="203 4.0"/>
        <s v="195 8.0"/>
        <s v="192 4.0"/>
        <n v="205.0"/>
        <s v="217 5.0"/>
        <s v="200 5.0"/>
        <s v="192 5.0"/>
        <s v="176 5.0"/>
        <s v="186 5.0"/>
        <s v="184 5.0"/>
        <s v="177 5.0"/>
        <s v="181 3.0"/>
        <s v="191 4.0"/>
        <s v="195 5.0"/>
        <s v="198 5.0"/>
        <n v="171.0"/>
        <n v="178.0"/>
        <s v="204 4.0"/>
        <n v="176.0"/>
        <s v="180 5.0"/>
        <s v="203 3.0"/>
        <s v="201 4.0"/>
        <s v="202 5.0"/>
        <s v="208 5.0"/>
        <s v="193 5.0"/>
        <s v="140 5.0"/>
        <s v="161 5.0"/>
        <s v="116 5.0"/>
        <s v="131 5.0"/>
        <s v="152 4.0"/>
        <s v="Valvula"/>
      </sharedItems>
    </cacheField>
    <cacheField name="UTM X">
      <sharedItems containsBlank="1" containsMixedTypes="1" containsNumber="1">
        <n v="2.39364"/>
        <n v="4056.0"/>
        <n v="324796.0"/>
        <n v="331903.0"/>
        <n v="332030.0"/>
        <n v="332146.0"/>
        <n v="332539.0"/>
        <n v="332647.0"/>
        <n v="332886.0"/>
        <n v="333050.0"/>
        <n v="333139.0"/>
        <n v="333144.0"/>
        <n v="333332.0"/>
        <n v="333445.0"/>
        <n v="333611.5"/>
        <n v="333623.0"/>
        <n v="333755.0"/>
        <n v="333889.0"/>
        <n v="334270.0"/>
        <n v="334369.0"/>
        <n v="336581.8"/>
        <n v="336589.0"/>
        <n v="336596.0"/>
        <n v="337227.0"/>
        <n v="337258.0"/>
        <n v="337537.3"/>
        <n v="337613.8"/>
        <n v="337726.0"/>
        <n v="337839.0"/>
        <n v="337850.0"/>
        <n v="337890.0"/>
        <n v="338034.9"/>
        <n v="338093.5"/>
        <n v="338236.0"/>
        <n v="338311.3"/>
        <n v="338386.0"/>
        <n v="338401.0"/>
        <n v="338472.0"/>
        <n v="338536.0"/>
        <n v="338569.0"/>
        <n v="338622.0"/>
        <n v="338662.0"/>
        <n v="338992.4"/>
        <n v="339018.0"/>
        <n v="339031.0"/>
        <n v="339568.0"/>
        <n v="339739.0"/>
        <n v="339742.0"/>
        <n v="339747.0"/>
        <n v="339747.3"/>
        <n v="340033.0"/>
        <n v="340066.0"/>
        <n v="340490.1"/>
        <n v="340493.1"/>
        <n v="340535.0"/>
        <n v="340541.0"/>
        <n v="340541.4"/>
        <n v="340550.0"/>
        <n v="340576.0"/>
        <n v="340581.0"/>
        <n v="340649.0"/>
        <n v="340702.0"/>
        <n v="340744.0"/>
        <n v="340752.0"/>
        <n v="340780.0"/>
        <n v="340796.2"/>
        <n v="340804.6"/>
        <n v="340811.0"/>
        <n v="340833.1"/>
        <n v="340903.0"/>
        <n v="340970.0"/>
        <n v="340985.0"/>
        <n v="340986.0"/>
        <n v="340999.3"/>
        <n v="341032.0"/>
        <n v="341060.0"/>
        <n v="341090.0"/>
        <n v="341116.0"/>
        <n v="341279.0"/>
        <n v="341530.0"/>
        <n v="341833.0"/>
        <n v="342283.0"/>
        <n v="342745.0"/>
        <n v="342880.8"/>
        <n v="342895.8"/>
        <n v="342898.0"/>
        <n v="343605.0"/>
        <n v="345293.0"/>
        <n v="346999.0"/>
        <n v="350213.8"/>
        <n v="350634.0"/>
        <n v="350881.0"/>
        <n v="352396.0"/>
        <n v="352399.0"/>
        <n v="355654.0"/>
        <n v="357453.0"/>
        <n v="360484.0"/>
        <n v="360520.0"/>
        <n v="362230.0"/>
        <n v="362234.0"/>
        <n v="362370.0"/>
        <n v="362395.0"/>
        <n v="362628.0"/>
        <n v="363045.0"/>
        <n v="363297.0"/>
        <n v="363437.0"/>
        <n v="363507.0"/>
        <n v="363527.0"/>
        <n v="363542.0"/>
        <n v="363612.0"/>
        <n v="364007.0"/>
        <n v="364587.0"/>
        <n v="364759.0"/>
        <n v="364856.0"/>
        <n v="365243.0"/>
        <n v="365246.0"/>
        <n v="365256.0"/>
        <n v="365802.0"/>
        <n v="365846.0"/>
        <n v="366090.0"/>
        <n v="366093.0"/>
        <n v="366102.0"/>
        <n v="366110.0"/>
        <n v="366114.0"/>
        <n v="366118.0"/>
        <n v="366375.0"/>
        <n v="366584.0"/>
        <n v="366632.0"/>
        <n v="366647.0"/>
        <n v="366664.0"/>
        <n v="366704.0"/>
        <n v="366871.0"/>
        <n v="367032.3"/>
        <n v="367152.0"/>
        <n v="367157.0"/>
        <n v="367341.0"/>
        <n v="367370.3"/>
        <n v="367381.0"/>
        <n v="367411.0"/>
        <n v="367419.8"/>
        <n v="367469.0"/>
        <n v="368398.0"/>
        <n v="370201.0"/>
        <n v="370393.0"/>
        <n v="370394.0"/>
        <n v="370430.0"/>
        <n v="370437.0"/>
        <n v="370439.0"/>
        <n v="370494.0"/>
        <n v="370529.0"/>
        <n v="370824.0"/>
        <n v="370830.0"/>
        <n v="370965.0"/>
        <n v="371171.0"/>
        <n v="371202.0"/>
        <n v="371378.0"/>
        <n v="371794.0"/>
        <n v="372255.0"/>
        <n v="372433.0"/>
        <n v="372539.0"/>
        <n v="373461.0"/>
        <n v="373602.0"/>
        <n v="373672.0"/>
        <n v="373674.0"/>
        <n v="373976.0"/>
        <n v="374088.0"/>
        <n v="374204.0"/>
        <n v="374449.0"/>
        <n v="374464.0"/>
        <n v="374467.0"/>
        <n v="374470.0"/>
        <n v="374502.0"/>
        <n v="374528.0"/>
        <n v="374575.0"/>
        <n v="374593.0"/>
        <n v="374610.0"/>
        <n v="374679.0"/>
        <n v="374701.0"/>
        <n v="374810.0"/>
        <n v="374832.0"/>
        <n v="374861.0"/>
        <n v="374898.0"/>
        <n v="374904.0"/>
        <n v="374915.0"/>
        <n v="375871.0"/>
        <n v="375875.0"/>
        <n v="383917.0"/>
        <n v="383929.0"/>
        <n v="384144.0"/>
        <n v="384202.0"/>
        <n v="384717.0"/>
        <n v="385065.0"/>
        <n v="385597.0"/>
        <n v="385724.0"/>
        <n v="385842.0"/>
        <n v="386008.0"/>
        <n v="386013.0"/>
        <n v="386064.0"/>
        <n v="386469.0"/>
        <n v="386836.0"/>
        <n v="386887.0"/>
        <n v="387789.0"/>
        <n v="392338.0"/>
        <n v="392883.0"/>
        <n v="396716.0"/>
        <n v="398356.0"/>
        <n v="401088.0"/>
        <n v="401162.0"/>
        <n v="401280.0"/>
        <n v="401318.0"/>
        <n v="401397.0"/>
        <n v="401420.0"/>
        <n v="401437.0"/>
        <n v="401474.0"/>
        <n v="401522.0"/>
        <n v="401765.0"/>
        <n v="402477.0"/>
        <n v="402478.0"/>
        <n v="402480.0"/>
        <n v="402529.0"/>
        <n v="402590.0"/>
        <n v="402642.0"/>
        <n v="402656.0"/>
        <n v="402860.0"/>
        <n v="402963.0"/>
        <n v="403279.0"/>
        <n v="403367.0"/>
        <n v="403419.0"/>
        <n v="403441.0"/>
        <n v="403450.0"/>
        <n v="403481.0"/>
        <n v="403483.0"/>
        <n v="403599.0"/>
        <n v="403609.0"/>
        <n v="403694.0"/>
        <n v="403707.0"/>
        <n v="403713.0"/>
        <n v="403737.0"/>
        <n v="403741.0"/>
        <n v="403751.0"/>
        <n v="403757.0"/>
        <n v="403758.0"/>
        <n v="403782.0"/>
        <n v="403784.0"/>
        <n v="403795.0"/>
        <n v="403807.0"/>
        <n v="403808.0"/>
        <n v="403816.0"/>
        <n v="403820.0"/>
        <n v="403821.0"/>
        <n v="403825.0"/>
        <n v="403882.0"/>
        <n v="403885.0"/>
        <n v="403888.0"/>
        <n v="403891.0"/>
        <n v="403893.0"/>
        <n v="403896.0"/>
        <n v="403906.0"/>
        <n v="403942.0"/>
        <n v="403971.0"/>
        <n v="404015.0"/>
        <n v="404029.0"/>
        <n v="404072.0"/>
        <n v="404125.0"/>
        <n v="404218.0"/>
        <n v="404344.0"/>
        <n v="404392.0"/>
        <n v="404405.0"/>
        <n v="404456.0"/>
        <n v="404473.0"/>
        <n v="404583.0"/>
        <n v="404711.0"/>
        <n v="404828.0"/>
        <n v="405336.0"/>
        <n v="405356.1"/>
        <n v="405561.0"/>
        <n v="406606.0"/>
        <n v="407477.0"/>
        <n v="409344.0"/>
        <n v="409687.0"/>
        <n v="410736.0"/>
        <n v="411539.3"/>
        <n v="411542.4"/>
        <n v="412378.0"/>
        <n v="414667.0"/>
        <n v="418422.0"/>
        <n v="418452.0"/>
        <n v="418531.0"/>
        <n v="418550.0"/>
        <n v="418571.0"/>
        <n v="419047.0"/>
        <n v="419076.0"/>
        <n v="419148.0"/>
        <n v="419181.0"/>
        <n v="419382.0"/>
        <n v="419529.0"/>
        <n v="419622.3"/>
        <n v="420023.0"/>
        <n v="420060.0"/>
        <n v="420687.0"/>
        <n v="420738.0"/>
        <n v="420842.0"/>
        <n v="420970.0"/>
        <n v="421184.0"/>
        <n v="423431.0"/>
        <n v="424288.0"/>
        <n v="425113.0"/>
        <n v="426705.0"/>
        <n v="426900.0"/>
        <n v="427022.2"/>
        <n v="427195.0"/>
        <n v="427228.0"/>
        <n v="427248.0"/>
        <n v="427255.0"/>
        <n v="427256.0"/>
        <n v="427437.0"/>
        <n v="427444.0"/>
        <n v="427445.0"/>
        <n v="427509.0"/>
        <n v="427569.0"/>
        <n v="427578.0"/>
        <n v="427765.0"/>
        <n v="427816.0"/>
        <n v="427866.9"/>
        <n v="427867.0"/>
        <n v="427946.0"/>
        <n v="427957.0"/>
        <n v="427963.0"/>
        <n v="427965.0"/>
        <n v="428022.0"/>
        <n v="428026.0"/>
        <n v="428039.0"/>
        <n v="428044.0"/>
        <n v="428062.0"/>
        <n v="428121.0"/>
        <n v="428235.0"/>
        <n v="428500.0"/>
        <n v="428586.0"/>
        <n v="428614.3"/>
        <n v="428615.0"/>
        <n v="428622.8"/>
        <n v="428632.0"/>
        <n v="428645.6"/>
        <n v="428653.0"/>
        <n v="428659.0"/>
        <n v="428661.0"/>
        <n v="428666.0"/>
        <n v="428669.0"/>
        <n v="428706.0"/>
        <n v="428724.0"/>
        <n v="428727.0"/>
        <n v="428729.0"/>
        <n v="428745.0"/>
        <n v="428746.0"/>
        <n v="428783.0"/>
        <n v="428784.0"/>
        <n v="428793.0"/>
        <n v="428809.0"/>
        <n v="428817.0"/>
        <n v="428829.0"/>
        <n v="428837.0"/>
        <n v="428846.0"/>
        <n v="428868.0"/>
        <n v="428892.0"/>
        <n v="428935.0"/>
        <n v="428948.0"/>
        <n v="428954.0"/>
        <n v="428999.0"/>
        <n v="429142.0"/>
        <n v="429154.0"/>
        <n v="429171.0"/>
        <n v="429180.0"/>
        <n v="429212.2"/>
        <n v="429214.0"/>
        <n v="429235.0"/>
        <n v="429253.0"/>
        <n v="429257.0"/>
        <n v="429296.0"/>
        <n v="429348.0"/>
        <n v="429445.0"/>
        <n v="429495.0"/>
        <n v="429501.0"/>
        <n v="429614.0"/>
        <n v="429802.0"/>
        <n v="429808.0"/>
        <n v="445382.0"/>
        <n v="451297.0"/>
        <n v="453282.0"/>
        <n v="453357.0"/>
        <n v="453734.0"/>
        <n v="453763.0"/>
        <n v="454862.0"/>
        <n v="454905.0"/>
        <n v="455073.0"/>
        <n v="455221.0"/>
        <n v="455270.0"/>
        <n v="455682.0"/>
        <n v="455927.0"/>
        <n v="456243.0"/>
        <n v="456805.0"/>
        <n v="458047.0"/>
        <n v="458093.0"/>
        <n v="458714.0"/>
        <n v="458948.0"/>
        <n v="459173.0"/>
        <n v="459521.0"/>
        <n v="459676.0"/>
        <n v="459855.0"/>
        <n v="460680.0"/>
        <n v="462187.0"/>
        <n v="464073.0"/>
        <n v="464786.0"/>
        <n v="466026.0"/>
        <n v="483538.0"/>
        <n v="483822.0"/>
        <n v="484834.0"/>
        <n v="491490.0"/>
        <n v="491870.0"/>
        <n v="492137.0"/>
        <n v="492373.0"/>
        <n v="492379.0"/>
        <n v="492380.0"/>
        <n v="492426.0"/>
        <n v="492444.0"/>
        <n v="492518.0"/>
        <n v="492630.0"/>
        <n v="492751.0"/>
        <n v="492765.0"/>
        <n v="492781.0"/>
        <n v="492872.0"/>
        <n v="492875.0"/>
        <n v="492907.0"/>
        <n v="492912.0"/>
        <n v="492925.0"/>
        <n v="493123.0"/>
        <n v="493146.0"/>
        <n v="493185.0"/>
        <n v="493186.0"/>
        <n v="493190.0"/>
        <n v="493202.0"/>
        <n v="493227.0"/>
        <n v="493234.0"/>
        <n v="493245.0"/>
        <n v="493287.0"/>
        <n v="493288.1"/>
        <n v="493320.0"/>
        <n v="493336.0"/>
        <n v="493349.0"/>
        <n v="493375.0"/>
        <n v="493417.0"/>
        <n v="493518.0"/>
        <n v="493578.0"/>
        <n v="493631.0"/>
        <n v="493684.2"/>
        <n v="493726.8"/>
        <n v="493802.0"/>
        <n v="493814.0"/>
        <n v="493890.0"/>
        <n v="493936.0"/>
        <n v="493979.0"/>
        <n v="493997.0"/>
        <n v="494011.0"/>
        <n v="494160.0"/>
        <n v="494209.0"/>
        <n v="494238.0"/>
        <n v="494256.0"/>
        <n v="494378.0"/>
        <n v="494490.0"/>
        <n v="494513.0"/>
        <n v="494518.0"/>
        <n v="494553.0"/>
        <n v="494622.9"/>
        <n v="494631.0"/>
        <n v="494637.0"/>
        <n v="494671.0"/>
        <n v="494708.0"/>
        <n v="494727.0"/>
        <n v="494743.0"/>
        <n v="494747.0"/>
        <n v="494751.0"/>
        <n v="494762.0"/>
        <n v="494778.4"/>
        <n v="494843.0"/>
        <n v="494865.0"/>
        <n v="494894.0"/>
        <n v="494937.0"/>
        <n v="494951.0"/>
        <n v="494953.0"/>
        <n v="495040.0"/>
        <n v="495109.0"/>
        <n v="495701.0"/>
        <n v="496012.0"/>
        <n v="496069.0"/>
        <n v="496669.0"/>
        <n v="501022.0"/>
        <n v="507484.0"/>
        <n v="3652471.0"/>
        <n v="3660909.0"/>
        <n v="3662281.0"/>
        <n v="3671871.0"/>
        <s v="."/>
        <s v="366542 366107"/>
        <s v="370644 370965"/>
        <m/>
      </sharedItems>
    </cacheField>
    <cacheField name="UTM Y">
      <sharedItems containsBlank="1" containsMixedTypes="1" containsNumber="1">
        <n v="76.30114"/>
        <n v="9748379.0"/>
        <n v="9687104.0"/>
        <n v="9706644.0"/>
        <n v="9704786.0"/>
        <n v="9705682.0"/>
        <n v="9705841.0"/>
        <n v="9706120.0"/>
        <n v="9730175.0"/>
        <n v="9704077.0"/>
        <n v="9704083.0"/>
        <n v="9704084.0"/>
        <n v="9703284.0"/>
        <n v="9702979.0"/>
        <n v="9702339.5"/>
        <n v="9702324.0"/>
        <n v="9703530.0"/>
        <n v="9703391.0"/>
        <n v="9702430.0"/>
        <n v="9690372.0"/>
        <n v="9701600.2"/>
        <n v="9701583.0"/>
        <n v="9701584.0"/>
        <n v="9689742.0"/>
        <n v="9700140.0"/>
        <n v="9690075.3"/>
        <n v="9689687.8"/>
        <n v="9689793.0"/>
        <n v="9689911.0"/>
        <n v="9694847.0"/>
        <n v="9690488.0"/>
        <n v="9690086.0"/>
        <n v="9689225.3"/>
        <n v="9694882.0"/>
        <n v="9690155.6"/>
        <n v="9689255.0"/>
        <n v="9693251.0"/>
        <n v="9689958.0"/>
        <n v="9690193.0"/>
        <n v="9693173.0"/>
        <n v="9689775.0"/>
        <n v="9689815.0"/>
        <n v="9693065.8"/>
        <n v="9693139.0"/>
        <n v="9688485.0"/>
        <n v="9688832.0"/>
        <n v="9691248.0"/>
        <n v="9691903.0"/>
        <n v="9691919.0"/>
        <n v="9691918.6"/>
        <n v="9689079.0"/>
        <n v="9691912.0"/>
        <n v="9692263.6"/>
        <n v="9692281.8"/>
        <n v="9692316.0"/>
        <n v="9691816.0"/>
        <n v="9691798.1"/>
        <n v="9691818.0"/>
        <n v="9691831.0"/>
        <n v="9691812.0"/>
        <n v="9691694.0"/>
        <n v="9691324.0"/>
        <n v="9691350.0"/>
        <n v="9689542.0"/>
        <n v="9690361.0"/>
        <n v="9689710.1"/>
        <n v="9689714.8"/>
        <n v="9691430.0"/>
        <n v="9697296.0"/>
        <n v="9689589.0"/>
        <n v="9691911.0"/>
        <n v="9691083.0"/>
        <n v="9691909.0"/>
        <n v="9691900.6"/>
        <n v="9690016.0"/>
        <n v="9689903.0"/>
        <n v="9689996.0"/>
        <n v="9689989.0"/>
        <n v="9690203.0"/>
        <n v="9689840.0"/>
        <n v="9696950.0"/>
        <n v="9690964.0"/>
        <n v="9692014.0"/>
        <n v="9691728.4"/>
        <n v="9692176.9"/>
        <n v="9692189.0"/>
        <n v="9692219.0"/>
        <n v="9682494.0"/>
        <n v="9679566.0"/>
        <n v="9680257.2"/>
        <n v="9679091.0"/>
        <n v="9678343.0"/>
        <n v="9701575.0"/>
        <n v="9701565.0"/>
        <n v="9698223.0"/>
        <n v="9697216.0"/>
        <n v="9709787.0"/>
        <n v="9709822.0"/>
        <n v="9730173.0"/>
        <n v="9714394.0"/>
        <n v="9716727.0"/>
        <n v="9714205.0"/>
        <n v="9714643.0"/>
        <n v="9712178.0"/>
        <n v="9712685.0"/>
        <n v="9712665.0"/>
        <n v="9710745.0"/>
        <n v="9712725.0"/>
        <n v="9712097.0"/>
        <n v="9653467.0"/>
        <n v="9653468.0"/>
        <n v="9653465.0"/>
        <n v="9652244.0"/>
        <n v="9727906.0"/>
        <n v="9696672.0"/>
        <n v="9695706.0"/>
        <n v="9696598.0"/>
        <n v="9695702.0"/>
        <n v="9695742.0"/>
        <n v="9695562.0"/>
        <n v="9697324.0"/>
        <n v="9697334.0"/>
        <n v="9697330.0"/>
        <n v="9697176.0"/>
        <n v="9694493.0"/>
        <n v="9693609.0"/>
        <n v="9694054.0"/>
        <n v="9694052.0"/>
        <n v="9693153.0"/>
        <n v="9694300.0"/>
        <n v="9694264.0"/>
        <n v="9716938.8"/>
        <n v="9696751.0"/>
        <n v="9696933.0"/>
        <n v="9693628.0"/>
        <n v="9716795.6"/>
        <n v="9716964.0"/>
        <n v="9716770.0"/>
        <n v="9716769.9"/>
        <n v="9693327.0"/>
        <n v="9710346.0"/>
        <n v="9725346.0"/>
        <n v="9741543.0"/>
        <n v="9741620.0"/>
        <n v="9741617.0"/>
        <n v="9741636.0"/>
        <n v="9741594.0"/>
        <n v="9741107.0"/>
        <n v="9700781.0"/>
        <n v="9741075.0"/>
        <n v="9740992.0"/>
        <n v="9742512.0"/>
        <n v="9741368.0"/>
        <n v="9741540.0"/>
        <n v="9708648.0"/>
        <n v="9740792.0"/>
        <n v="9732515.0"/>
        <n v="9703618.0"/>
        <n v="9728301.0"/>
        <n v="9724281.0"/>
        <n v="9707134.0"/>
        <n v="9725225.0"/>
        <n v="9725156.0"/>
        <n v="9723937.0"/>
        <n v="9728558.0"/>
        <n v="9728704.0"/>
        <n v="9720007.0"/>
        <n v="9725437.0"/>
        <n v="9720089.0"/>
        <n v="9720155.0"/>
        <n v="9729945.0"/>
        <n v="9720170.0"/>
        <n v="9720001.0"/>
        <n v="9720076.0"/>
        <n v="9720314.0"/>
        <n v="9720283.0"/>
        <n v="9720158.0"/>
        <n v="9720299.0"/>
        <n v="9720343.0"/>
        <n v="9720185.0"/>
        <n v="9720331.0"/>
        <n v="9720199.0"/>
        <n v="9720263.0"/>
        <n v="9733827.0"/>
        <n v="9733785.0"/>
        <n v="9700510.0"/>
        <n v="9700639.0"/>
        <n v="9699292.0"/>
        <n v="9700702.0"/>
        <n v="9699030.0"/>
        <n v="9701432.0"/>
        <n v="9700262.0"/>
        <n v="9699526.0"/>
        <n v="9695912.0"/>
        <n v="9696085.0"/>
        <n v="9697259.0"/>
        <n v="9696439.0"/>
        <n v="9695064.0"/>
        <n v="9693496.0"/>
        <n v="9693884.0"/>
        <n v="9690166.0"/>
        <n v="9727474.0"/>
        <n v="9727732.0"/>
        <n v="9728394.0"/>
        <n v="9728651.0"/>
        <n v="9749996.0"/>
        <n v="9749187.0"/>
        <n v="9749964.0"/>
        <n v="9749906.0"/>
        <n v="9748884.0"/>
        <n v="9748270.0"/>
        <n v="9748765.0"/>
        <n v="9747717.0"/>
        <n v="9747890.0"/>
        <n v="9748301.0"/>
        <n v="9747065.0"/>
        <n v="9746938.0"/>
        <n v="9746718.0"/>
        <n v="9746744.0"/>
        <n v="9746893.0"/>
        <n v="9745289.0"/>
        <n v="9745434.0"/>
        <n v="9745423.0"/>
        <n v="9745872.0"/>
        <n v="9743887.0"/>
        <n v="9744727.0"/>
        <n v="9744715.0"/>
        <n v="9744288.0"/>
        <n v="9744922.0"/>
        <n v="9744668.0"/>
        <n v="9744766.0"/>
        <n v="9744551.0"/>
        <n v="9743180.0"/>
        <n v="9742924.0"/>
        <n v="9744250.0"/>
        <n v="9744309.0"/>
        <n v="9741798.0"/>
        <n v="9741841.0"/>
        <n v="9744326.0"/>
        <n v="9740470.0"/>
        <n v="9740379.0"/>
        <n v="9744064.0"/>
        <n v="9740334.0"/>
        <n v="9739938.0"/>
        <n v="9729942.0"/>
        <n v="9739691.0"/>
        <n v="9744305.0"/>
        <n v="9744299.0"/>
        <n v="9744302.0"/>
        <n v="9744063.0"/>
        <n v="9744062.0"/>
        <n v="9744184.0"/>
        <n v="9743980.0"/>
        <n v="9743953.0"/>
        <n v="9743979.0"/>
        <n v="9744933.0"/>
        <n v="9743973.0"/>
        <n v="9738087.0"/>
        <n v="9743966.0"/>
        <n v="9737966.0"/>
        <n v="9.7377178E7"/>
        <n v="9744798.0"/>
        <n v="9744671.0"/>
        <n v="9735945.0"/>
        <n v="9743443.0"/>
        <n v="9742882.0"/>
        <n v="9744340.0"/>
        <n v="9743141.0"/>
        <n v="9743328.0"/>
        <n v="9743675.0"/>
        <n v="9743312.0"/>
        <n v="9742318.0"/>
        <n v="9729276.0"/>
        <n v="9737794.0"/>
        <n v="9742384.0"/>
        <n v="9738961.0"/>
        <n v="9738870.0"/>
        <n v="9728953.0"/>
        <n v="9728546.0"/>
        <n v="9728342.0"/>
        <n v="9732192.0"/>
        <n v="9731665.0"/>
        <n v="9736216.0"/>
        <n v="9667008.3"/>
        <n v="9667048.2"/>
        <n v="9739702.0"/>
        <n v="9653199.0"/>
        <n v="9653229.0"/>
        <n v="9653652.0"/>
        <n v="9649255.0"/>
        <n v="9649224.0"/>
        <n v="9649383.0"/>
        <n v="9649260.0"/>
        <n v="9722127.0"/>
        <n v="9722048.0"/>
        <n v="9722014.0"/>
        <n v="9721918.0"/>
        <n v="9722213.0"/>
        <n v="9722192.0"/>
        <n v="9721181.4"/>
        <n v="9647376.0"/>
        <n v="9647363.0"/>
        <n v="9646469.0"/>
        <n v="9646474.0"/>
        <n v="9647061.0"/>
        <n v="9647293.0"/>
        <n v="9722885.0"/>
        <n v="9635749.0"/>
        <n v="9727272.0"/>
        <n v="9645490.0"/>
        <n v="9726780.0"/>
        <n v="9644018.0"/>
        <n v="9643133.6"/>
        <n v="9638539.0"/>
        <n v="9635106.0"/>
        <n v="9729943.0"/>
        <n v="9729917.0"/>
        <n v="9729919.0"/>
        <n v="9726958.0"/>
        <n v="9726964.0"/>
        <n v="9641426.0"/>
        <n v="9641384.0"/>
        <n v="9641334.0"/>
        <n v="9632862.0"/>
        <n v="9727249.0"/>
        <n v="9729232.0"/>
        <n v="9727239.7"/>
        <n v="9729164.0"/>
        <n v="9727214.0"/>
        <n v="9727210.0"/>
        <n v="9726033.0"/>
        <n v="9726050.0"/>
        <n v="9725902.0"/>
        <n v="9726042.0"/>
        <n v="9725901.0"/>
        <n v="9728658.0"/>
        <n v="9725297.0"/>
        <n v="9726505.0"/>
        <n v="9727114.0"/>
        <n v="9727762.0"/>
        <s v=".9727758.8"/>
        <n v="9728175.0"/>
        <n v="9728172.1"/>
        <n v="9727936.0"/>
        <n v="9727932.0"/>
        <n v="9727542.0"/>
        <n v="9728583.0"/>
        <n v="9728519.0"/>
        <n v="9727771.0"/>
        <n v="9727646.0"/>
        <n v="9730358.0"/>
        <n v="9728397.0"/>
        <n v="9728318.0"/>
        <n v="9727598.0"/>
        <n v="9728204.0"/>
        <n v="9728585.0"/>
        <n v="9730172.0"/>
        <n v="9730338.0"/>
        <n v="9730166.0"/>
        <n v="9730359.0"/>
        <n v="9728078.0"/>
        <n v="9728266.0"/>
        <n v="9728009.0"/>
        <n v="9727658.0"/>
        <n v="9728368.0"/>
        <n v="9729985.0"/>
        <n v="9728182.0"/>
        <n v="9728289.0"/>
        <n v="9728095.0"/>
        <n v="9728088.0"/>
        <n v="9729266.0"/>
        <s v="9729271.43"/>
        <n v="9729008.0"/>
        <n v="9727290.0"/>
        <n v="9727275.0"/>
        <n v="9727276.0"/>
        <n v="9727140.0"/>
        <n v="9727261.0"/>
        <n v="9727250.0"/>
        <n v="9630470.0"/>
        <n v="9729177.0"/>
        <n v="9729781.0"/>
        <n v="9729584.0"/>
        <n v="9729581.0"/>
        <n v="9729694.0"/>
        <n v="9627448.0"/>
        <n v="9627450.0"/>
        <n v="9624095.0"/>
        <n v="9615773.0"/>
        <n v="9609902.0"/>
        <n v="9609912.0"/>
        <n v="9610112.0"/>
        <n v="9610141.0"/>
        <n v="9611942.0"/>
        <n v="9622046.0"/>
        <n v="9611810.0"/>
        <n v="9628419.0"/>
        <n v="9628229.0"/>
        <n v="9610979.0"/>
        <n v="9626297.0"/>
        <n v="9626303.0"/>
        <n v="9625514.0"/>
        <n v="9625382.0"/>
        <n v="9625386.0"/>
        <n v="9625409.0"/>
        <n v="9625300.0"/>
        <n v="9625177.0"/>
        <n v="9624908.0"/>
        <n v="9624931.0"/>
        <n v="9624972.0"/>
        <n v="9607910.0"/>
        <n v="9607463.0"/>
        <n v="9597782.0"/>
        <n v="9600768.0"/>
        <n v="9579343.0"/>
        <n v="9577952.0"/>
        <n v="9578795.0"/>
        <n v="9549052.0"/>
        <n v="9578891.0"/>
        <n v="9577095.0"/>
        <n v="9577578.0"/>
        <n v="9571957.0"/>
        <n v="9572949.0"/>
        <n v="9577023.0"/>
        <n v="9578411.0"/>
        <n v="9577859.0"/>
        <n v="9577395.0"/>
        <n v="9576935.0"/>
        <n v="9577178.0"/>
        <n v="9577615.0"/>
        <n v="9578005.0"/>
        <n v="9574646.0"/>
        <n v="9577323.0"/>
        <n v="9576827.0"/>
        <n v="9576870.0"/>
        <n v="9577309.0"/>
        <n v="9577011.0"/>
        <n v="9575828.0"/>
        <n v="9576843.0"/>
        <n v="9575761.0"/>
        <n v="9575777.0"/>
        <n v="9577097.0"/>
        <n v="9578240.0"/>
        <n v="9578356.0"/>
        <n v="9577977.0"/>
        <n v="9578098.0"/>
        <n v="9578381.7"/>
        <n v="9576416.0"/>
        <n v="9579317.0"/>
        <n v="9577697.0"/>
        <n v="9578433.0"/>
        <n v="9578019.0"/>
        <n v="9578112.0"/>
        <n v="9578873.0"/>
        <n v="9528824.0"/>
        <n v="9576391.5"/>
        <n v="9575908.3"/>
        <n v="9577844.0"/>
        <n v="9575682.0"/>
        <n v="9579717.0"/>
        <n v="9.4733939E7"/>
        <n v="9579808.0"/>
        <n v="9579765.0"/>
        <n v="9575608.0"/>
        <n v="9578156.0"/>
        <n v="9578257.0"/>
        <n v="9578222.0"/>
        <n v="9578216.0"/>
        <n v="9574512.0"/>
        <n v="9575877.0"/>
        <n v="9574541.0"/>
        <n v="9575835.1"/>
        <n v="9575720.0"/>
        <n v="9575860.4"/>
        <n v="9575750.0"/>
        <n v="9574334.0"/>
        <n v="9574879.0"/>
        <n v="9575785.0"/>
        <n v="9574153.0"/>
        <n v="9574260.0"/>
        <n v="9579748.0"/>
        <n v="9574305.0"/>
        <n v="9579802.0"/>
        <n v="9575562.0"/>
        <n v="9574922.6"/>
        <n v="9575403.0"/>
        <n v="9575366.0"/>
        <n v="9577281.0"/>
        <n v="9577063.0"/>
        <n v="9575066.0"/>
        <n v="9575161.0"/>
        <n v="9577230.0"/>
        <n v="9576306.0"/>
        <n v="9579330.0"/>
        <n v="9579265.0"/>
        <n v="9579835.0"/>
        <n v="9579204.0"/>
        <n v="9515876.0"/>
        <n v="9494842.0"/>
        <n v="9696661.0"/>
        <n v="9695847.0"/>
        <n v="9696496.0"/>
        <s v="."/>
        <s v="9697271 9697336"/>
        <s v="9741947 9742512"/>
        <m/>
      </sharedItems>
    </cacheField>
    <cacheField name="Latitud">
      <sharedItems containsBlank="1" containsMixedTypes="1" containsNumber="1">
        <m/>
        <n v="-2.6699406"/>
        <n v="-2.6618385"/>
        <n v="-2.6604049"/>
        <s v="."/>
        <n v="-2.6763641"/>
        <n v="-2.6763019"/>
        <n v="-76.499265057578"/>
        <n v="-76.49676197"/>
        <n v="-2.681319"/>
        <n v="-2.6825776"/>
        <n v="-2.6912731"/>
        <s v="-76.552.556"/>
        <n v="-76.4700566"/>
        <n v="-2.6989589"/>
        <n v="-2.69895"/>
        <n v="-2.8060574"/>
        <n v="-2.7120169"/>
        <n v="-76.46158992"/>
        <n v="-76.4609056"/>
        <n v="-76.4598955704509"/>
        <n v="-76.46190053"/>
        <n v="-76.45711428"/>
        <n v="-76.45659665"/>
        <n v="-2.7595818"/>
        <n v="-76.45462687"/>
        <n v="-2.810475"/>
        <n v="-2.775042"/>
        <n v="-76.4515578577779"/>
        <n v="-76.451476438246"/>
        <n v="-76.44846829"/>
        <n v="-76.448256116621"/>
        <n v="-2.8174463"/>
        <n v="-2.7865411"/>
        <n v="-76.44169127"/>
        <n v="-2.8120852"/>
        <n v="-2.7864633"/>
        <n v="-76.43500695"/>
        <n v="-76.43497895"/>
        <n v="-2.7828146"/>
        <n v="-76.4345536208"/>
        <n v="-76.43455015"/>
        <n v="-2.7828159"/>
        <n v="-76.4326608857663"/>
        <n v="-2.8079061"/>
        <n v="-76.43228136"/>
        <n v="-76.43220567"/>
        <n v="-76.43186719"/>
        <n v="-2.8074823"/>
        <n v="-76.43060659"/>
        <n v="-2.7939711"/>
        <n v="-76.43043022"/>
        <n v="-2.8036219"/>
        <n v="-2.8046442"/>
        <n v="-2.8038034"/>
        <n v="-2.803867"/>
        <n v="-2.8019333"/>
        <n v="-2.8052191"/>
        <n v="-2.7409176"/>
        <n v="-2.7950616"/>
        <n v="-76.41473524"/>
        <n v="-76.41350948"/>
        <n v="-76.41336944"/>
        <n v="-2.783989"/>
        <n v="-2.7837253"/>
        <n v="-2.8717003"/>
        <n v="-76.34767124"/>
        <n v="-2.9025368"/>
        <n v="-2.9093048"/>
        <n v="-76.2389676386541"/>
        <n v="-2.69928587"/>
        <n v="-2.7295422"/>
        <n v="-2.73866914"/>
        <n v="-2.583343"/>
        <n v="-2.6163585"/>
        <n v="-2.6041304"/>
        <n v="-3.1344427"/>
        <n v="-3.1344337"/>
        <n v="-3.1344669"/>
        <n v="-3.1455127"/>
        <n v="-2.743665"/>
        <n v="-2.7524025"/>
        <n v="-2.7524438"/>
        <n v="-2.752408"/>
        <n v="-76.20467493"/>
        <n v="-2.7377213"/>
        <n v="-2.7651333"/>
        <n v="-2.7654604"/>
        <n v="-76.19604607"/>
        <n v="-76.19300763"/>
        <n v="-2.5601403"/>
        <n v="-76.19256256"/>
        <n v="-2.3290813"/>
        <n v="-2.6809006"/>
        <n v="-2.6491071"/>
        <n v="-76.1378967"/>
        <n v="-2.4971212"/>
        <n v="-76.13251965"/>
        <n v="-2.7079405"/>
        <n v="-2.7073727"/>
        <n v="-2.722501"/>
        <n v="-2.71801528"/>
        <n v="-2.750714"/>
        <n v="-2.7459487"/>
        <n v="-2.772576"/>
        <n v="-2.7690667"/>
        <n v="-2.8027055"/>
        <n v="-2.4652588"/>
        <n v="-2.4629285"/>
        <n v="-2.4569647"/>
        <n v="-2.4546502"/>
        <n v="-75.87730239"/>
        <n v="-2.3357531"/>
        <n v="-2.3477665"/>
        <n v="-2.3485898"/>
        <n v="-2.3548138"/>
        <s v="-75.86423721"/>
        <n v="-2.4490336"/>
        <n v="-75.85122792"/>
        <n v="-2.4519612"/>
        <n v="-75.502415"/>
        <s v="-75.80284838"/>
        <n v="-75.79604129"/>
        <n v="-75.79601292"/>
        <n v="-75.78801356"/>
        <n v="-75.78809334"/>
        <n v="-3.1373027"/>
        <n v="-3.1370313"/>
        <n v="-3.1332291"/>
        <n v="-3.1730059"/>
        <n v="-3.1732868"/>
        <n v="-3.1718486"/>
        <n v="-3.1729548"/>
        <s v="-75.72301063"/>
        <n v="-3.1900055"/>
        <n v="-3.1901317"/>
        <n v="-3.1982231"/>
        <n v="-3.1981751"/>
        <n v="-3.1928686"/>
        <n v="-3.1907707"/>
        <n v="-2.5069373"/>
        <n v="-75.6892596"/>
        <n v="-3.2071066"/>
        <n v="-3.2204334"/>
        <n v="-75.6568545"/>
        <n v="-75.6553625"/>
        <n v="-3.3010542"/>
        <n v="-2.4431066"/>
        <n v="-2.44334801"/>
        <n v="-2.47011935"/>
        <n v="-3.244259"/>
        <n v="-3.3213535"/>
        <n v="-2.44954886"/>
        <s v="-75.64882541"/>
        <n v="-2.4501616"/>
        <n v="-2.46780343"/>
        <n v="-2.46784067"/>
        <n v="-2.47836649"/>
        <n v="-2.47833244"/>
        <n v="-2.47968082"/>
        <n v="-2.45474329"/>
        <n v="-2.4851494"/>
        <n v="-2.46870856"/>
        <n v="-2.46284505"/>
        <n v="-75.64210076"/>
        <n v="-2.45911197"/>
        <s v="-75.64202238"/>
        <n v="-2.46127459"/>
        <n v="-75.64181897"/>
        <n v="-2.46484135"/>
        <n v="-2.45541801"/>
        <n v="-2.46390009"/>
        <n v="-2.45710083"/>
        <n v="-2.4578145"/>
        <n v="-2.4395439"/>
        <n v="-2.44109755"/>
        <n v="-2.46061501"/>
        <n v="-2.45736864"/>
        <n v="-2.4492468"/>
        <n v="-2.44919891"/>
        <n v="-2.4671164"/>
        <n v="-75.63672511"/>
        <n v="-2.46724925"/>
        <n v="-2.4674864"/>
        <n v="-75.636489"/>
        <n v="-2.45005204"/>
        <n v="-2.44636804"/>
        <n v="-2.44639272"/>
        <n v="-75.6319136"/>
        <n v="-3.4007646"/>
        <n v="-3.4760771"/>
        <n v="-3.5291986"/>
        <n v="-3.5291085"/>
        <n v="-3.5273007"/>
        <n v="-3.5107496"/>
        <n v="-3.4193414"/>
        <n v="-3.5119446"/>
        <n v="-3.3616875"/>
        <n v="-3.3634066"/>
        <n v="-3.3808874"/>
        <n v="-3.3879743"/>
        <n v="-3.3891729"/>
        <n v="-3.3891369"/>
        <n v="-3.388931"/>
        <n v="-3.3899179"/>
        <n v="-3.3910314"/>
        <n v="-3.3934662"/>
        <n v="-3.3932586"/>
        <n v="-3.3928883"/>
        <n v="-3.5472477"/>
        <n v="-75.733238"/>
        <n v="-3.8057052"/>
        <n v="-3.8183311"/>
        <n v="-3.810705"/>
        <n v="-4.0797872"/>
        <n v="-3.8217245"/>
        <n v="-3.8725773"/>
        <n v="-3.8636028"/>
        <n v="-75.06863083"/>
        <n v="-3.8141886"/>
        <n v="-3.8253437"/>
        <n v="-3.82138594"/>
        <n v="-3.8178619"/>
        <n v="-3.8482505"/>
        <n v="-75.06515762"/>
        <n v="-3.8285193"/>
        <n v="-3.82415669"/>
        <n v="-3.8268548"/>
        <n v="-3.8375573"/>
        <n v="-3.8283747"/>
        <n v="-3.8381635"/>
        <n v="-3.8380187"/>
        <n v="-3.8260768"/>
        <n v="-3.8157362"/>
        <n v="-3.8146868"/>
        <n v="-3.8181156"/>
        <n v="-3.81701806"/>
        <n v="-75.0604514"/>
        <n v="-3.8322378"/>
        <n v="-3.80598699"/>
        <n v="-3.8139902"/>
        <n v="-3.8177357"/>
        <n v="-3.8100097"/>
        <n v="-75.05688469"/>
        <n v="-75.0565018"/>
        <n v="-3.8193191"/>
        <n v="-3.8388785"/>
        <n v="-3.8023743"/>
        <n v="-3.8015511"/>
        <n v="-3.839541"/>
        <n v="-75.05259995"/>
        <n v="-3.815583"/>
        <n v="-3.8158997"/>
        <n v="-3.8494637"/>
        <n v="-3.8371148"/>
        <n v="-75.04937551"/>
        <n v="-3.8385352"/>
        <n v="-75.04843007"/>
        <n v="-3.83826271"/>
        <n v="-3.8510742"/>
        <n v="-3.8461437"/>
        <n v="-3.8527117"/>
        <n v="-3.85173874"/>
        <n v="-3.85133585"/>
        <n v="-3.8016058"/>
        <n v="-3.8399647"/>
        <n v="-75.04702999"/>
        <n v="-3.8414032"/>
        <n v="-3.8244131"/>
        <n v="-3.8263854"/>
        <n v="-3.844452"/>
        <n v="-3.8435926"/>
        <n v="-3.8248746"/>
        <n v="-3.833234"/>
        <n v="-3.8013078"/>
        <n v="-3.8070166"/>
        <n v="-76.21220737"/>
        <n v="-76.19477494"/>
        <n v="-75.80296907"/>
        <n v="-76.46170488"/>
        <n v="-76.46187664"/>
        <n v="-76.46184138"/>
        <n v="-76.46188743"/>
        <n v="-76.46177204"/>
        <n v="-76.46185487"/>
        <n v="-76.46185278"/>
        <n v="-76.46131737"/>
        <n v="-76.46190153"/>
        <n v="-76.46171161"/>
        <n v="-76.45471817"/>
        <n v="-76.43279787"/>
        <n v="-76.3496717"/>
        <n v="-76.24479465"/>
        <n v="-76.43410508"/>
        <n v="-76.43444134"/>
        <n v="-75.79342459"/>
        <n v="-75.79347411"/>
        <n v="-76.19257027"/>
        <s v="-75.86624036"/>
        <n v="-75.85124676"/>
        <n v="-75.80275417"/>
        <s v="-75.80278567"/>
        <n v="-76.1926808"/>
        <n v="-76.19246198"/>
        <n v="-76.13243872"/>
        <n v="-76.19258939"/>
        <n v="-76.19303108"/>
        <n v="-76.1282261"/>
        <n v="-2.56184033"/>
        <n v="-76.4073698"/>
        <n v="-75.80269517"/>
        <n v="-75.80284126"/>
        <n v="-76.19261866"/>
        <n v="-75.85132626"/>
        <n v="-75.851528"/>
        <n v="-75.85155515"/>
        <s v="-75.85150511"/>
        <n v="-75.8512638"/>
        <n v="-75.85136607"/>
        <n v="-75.85128853"/>
        <n v="-75.85123042"/>
        <n v="-75.85126379"/>
        <n v="-75.85690397"/>
        <n v="-75.86462213"/>
        <n v="-75.80265144"/>
        <n v="-75.80268165"/>
        <n v="-75.86470006"/>
        <n v="-75.51527"/>
        <n v="-75.80263359"/>
        <n v="-76.19252381"/>
        <n v="-75.07201311"/>
        <n v="-75.51521108"/>
        <n v="-75.86565936"/>
        <n v="-75.6533156"/>
        <s v="Watman Hualinga"/>
      </sharedItems>
    </cacheField>
    <cacheField name="Longitud">
      <sharedItems containsBlank="1" containsMixedTypes="1" containsNumber="1">
        <m/>
        <n v="-76.510957"/>
        <n v="-76.509904"/>
        <n v="-76.506368"/>
        <s v="."/>
        <n v="-76.501792"/>
        <n v="-76.500947"/>
        <n v="-2.6835391888"/>
        <n v="-2.69208464"/>
        <n v="-76.495458"/>
        <n v="-76.494254"/>
        <n v="-76.490838"/>
        <s v="-2.783.809"/>
        <n v="-2.69880302"/>
        <n v="-76.469991"/>
        <n v="-76.469928"/>
        <n v="-76.464384"/>
        <n v="-76.46399"/>
        <n v="-2.80304659"/>
        <n v="-2.80655222"/>
        <n v="-2.8056018624406"/>
        <n v="2.80278826"/>
        <n v="-2.80295501"/>
        <n v="-2.81074066"/>
        <n v="-76.455251"/>
        <n v="-2.80232926"/>
        <n v="-76.453965"/>
        <n v="-76.452275"/>
        <n v="-2.80579317462717"/>
        <n v="-2.80541342029677"/>
        <n v="-2.77601632"/>
        <n v="-2.77580671219505"/>
        <n v="-76.448172"/>
        <n v="-76.441739"/>
        <n v="-2.78640005"/>
        <n v="-76.439153"/>
        <n v="-76.438824"/>
        <n v="-2.78328811"/>
        <n v="-2.78312316"/>
        <n v="-76.434602"/>
        <n v="-2.78733684340023"/>
        <n v="-2.78749902"/>
        <n v="-76.433576"/>
        <n v="-2.79155378704304"/>
        <n v="-76.432428"/>
        <n v="-2.80638607"/>
        <n v="-2.80634368"/>
        <n v="-2.73777733"/>
        <n v="-76.431322"/>
        <n v="-2.78648831"/>
        <n v="-76.430568"/>
        <n v="-2.78657718"/>
        <n v="-76.430157"/>
        <n v="-76.429906"/>
        <n v="-76.429635"/>
        <n v="-76.429401"/>
        <n v="-76.427933"/>
        <n v="-76.425679"/>
        <n v="-76.422877"/>
        <n v="-76.418894"/>
        <n v="-2.78556548"/>
        <n v="-2.78815455"/>
        <n v="-2.78409863"/>
        <n v="-76.413349"/>
        <n v="-76.40699"/>
        <n v="-76.391912"/>
        <n v="-2.89198466"/>
        <n v="-76.343903"/>
        <n v="-76.341689"/>
        <n v="-2.7510997"/>
        <n v="-76.32779277"/>
        <n v="-76.29855146"/>
        <n v="-76.28237292"/>
        <n v="-76.237999"/>
        <n v="-76.227625"/>
        <n v="-76.226849"/>
        <n v="-76.22386"/>
        <n v="-76.218641"/>
        <n v="-76.217106"/>
        <n v="-76.212316"/>
        <n v="-76.212298"/>
        <n v="-76.207297"/>
        <n v="-76.206901"/>
        <n v="-2.75223495"/>
        <n v="-76.204476"/>
        <n v="-76.199196"/>
        <n v="-76.197694"/>
        <n v="-2.56036529"/>
        <n v="-2.56166389"/>
        <n v="-76.192909"/>
        <n v="-2.56189682"/>
        <n v="-76.160477"/>
        <n v="-76.147583"/>
        <n v="-76.137039"/>
        <n v="-2.49658429"/>
        <n v="-76.13354"/>
        <n v="-2.45534932"/>
        <n v="-76.044201"/>
        <n v="-76.041744"/>
        <n v="-76.037125"/>
        <n v="-76.02806022"/>
        <n v="-76.027029"/>
        <n v="-76.025028"/>
        <n v="-76.018106"/>
        <n v="-76.017644"/>
        <n v="-76.009559"/>
        <n v="-75.968375"/>
        <n v="-75.963472"/>
        <n v="-75.928994"/>
        <n v="-75.914243"/>
        <n v="-2.29157379"/>
        <n v="-75.865988"/>
        <n v="-75.865744"/>
        <n v="-75.865654"/>
        <n v="-75.865262"/>
        <s v="-2.31349539"/>
        <n v="-75.858234"/>
        <n v="-2.36224932"/>
        <n v="-75.84944"/>
        <n v="-2.27206159"/>
        <s v="-2.38624428"/>
        <n v="-3.0123599"/>
        <n v="-3.01199949"/>
        <n v="-2.35477713"/>
        <n v="-2.35479664"/>
        <n v="-75.767986"/>
        <n v="-75.73419"/>
        <n v="-75.733948"/>
        <n v="-75.733238"/>
        <n v="-75.733066"/>
        <n v="-75.7328734"/>
        <s v="-2.52234089"/>
        <n v="-75.7198161"/>
        <n v="-75.719489"/>
        <n v="-75.713851"/>
        <n v="-75.713385"/>
        <n v="-75.712453"/>
        <n v="-75.711299"/>
        <n v="-75.708955"/>
        <n v="-3.2951968"/>
        <n v="-75.674023"/>
        <n v="-75.657948"/>
        <n v="-3.2284345"/>
        <n v="-3.2700532"/>
        <n v="-75.6550423"/>
        <n v="-75.65437187"/>
        <n v="-75.65431237"/>
        <n v="-75.65269113"/>
        <n v="-75.6524784"/>
        <n v="-75.6519113"/>
        <n v="-75.64927434"/>
        <s v="-2.46757376"/>
        <n v="-75.64880942"/>
        <n v="-75.64810628"/>
        <n v="-75.64801086"/>
        <n v="-75.64796241"/>
        <n v="-75.64794532"/>
        <n v="-75.64727963"/>
        <n v="-75.64705737"/>
        <n v="-75.646548"/>
        <n v="-75.64312437"/>
        <n v="-75.64234964"/>
        <s v="-2.46288102"/>
        <n v="-75.64208775"/>
        <s v="-2.4591422"/>
        <n v="-75.64194087"/>
        <n v="-2.461314"/>
        <n v="-75.64174779"/>
        <n v="-75.64168758"/>
        <n v="-75.64160869"/>
        <n v="-75.6411092"/>
        <n v="-75.64107755"/>
        <n v="-75.64055849"/>
        <n v="-75.64047686"/>
        <n v="-75.64009543"/>
        <n v="-75.63980971"/>
        <n v="-75.63734372"/>
        <n v="-75.63723848"/>
        <n v="-75.6370132"/>
        <s v="-2.46725998"/>
        <n v="-75.63670495"/>
        <n v="-75.636322"/>
        <n v="-3.3428946"/>
        <n v="-75.63549099"/>
        <n v="-75.63417095"/>
        <n v="-75.63411148"/>
        <n v="-3.3703376"/>
        <n v="-75.491692"/>
        <n v="-75.438478"/>
        <n v="-75.420631"/>
        <n v="-75.419956"/>
        <n v="-75.416561"/>
        <n v="-75.406397"/>
        <n v="-75.405971"/>
        <n v="-75.404498"/>
        <n v="-75.403103"/>
        <n v="-75.402662"/>
        <n v="-75.396755"/>
        <n v="-75.388854"/>
        <n v="-75.377674"/>
        <n v="-75.37726"/>
        <n v="-75.371669"/>
        <n v="-75.369563"/>
        <n v="-75.367538"/>
        <n v="-75.364406"/>
        <n v="-75.363011"/>
        <n v="-75.361399"/>
        <n v="-75.35403"/>
        <n v="-75.317083"/>
        <n v="-75.305984"/>
        <n v="-75.148266"/>
        <n v="-75.145707"/>
        <n v="-75.136636"/>
        <n v="-75.070819"/>
        <n v="-75.068697"/>
        <n v="-75.068642"/>
        <n v="-3.82674539"/>
        <n v="-75.068215"/>
        <n v="-75.065289"/>
        <n v="-75.06515762"/>
        <n v="-75.065018"/>
        <n v="-75.064201"/>
        <n v="-3.82138594"/>
        <n v="-75.063884"/>
        <n v="-75.06371689"/>
        <n v="-75.061939"/>
        <n v="-75.061732"/>
        <n v="-75.06138"/>
        <n v="-75.061372"/>
        <n v="-75.061336"/>
        <n v="-75.061227"/>
        <n v="-75.061001"/>
        <n v="-75.060938"/>
        <n v="-75.060839"/>
        <n v="-75.06045285"/>
        <n v="-3.8144545"/>
        <n v="-75.060165"/>
        <n v="-75.06001868"/>
        <n v="-75.059668"/>
        <n v="-75.05929"/>
        <n v="-75.057839"/>
        <n v="-3.83245945"/>
        <n v="-3.83683102"/>
        <n v="-75.055823"/>
        <n v="-75.055716"/>
        <n v="-75.055029"/>
        <n v="-75.054227"/>
        <n v="-75.053934"/>
        <n v="-3.81644119"/>
        <n v="-75.052157"/>
        <n v="-75.051895"/>
        <n v="-75.050636"/>
        <n v="-75.049627"/>
        <n v="-3.83749404"/>
        <n v="-75.04906"/>
        <n v="-3.8372654"/>
        <n v="-75.048349"/>
        <n v="-75.048304"/>
        <n v="-75.048303"/>
        <n v="-75.047664"/>
        <n v="-75.04748539"/>
        <n v="-75.04730604"/>
        <n v="-75.047274"/>
        <n v="-75.047177"/>
        <n v="-3.84574891"/>
        <n v="-75.046448"/>
        <n v="-75.045988"/>
        <n v="-75.0456"/>
        <n v="-75.045475"/>
        <n v="-75.045457"/>
        <n v="-75.044673"/>
        <n v="-75.044052"/>
        <n v="-75.035404"/>
        <n v="-75.03"/>
        <n v="-2.74380561"/>
        <n v="-2.74527639"/>
        <n v="-2.38837222"/>
        <n v="-2.80294299"/>
        <n v="-2.80281096"/>
        <n v="-2.80275404"/>
        <n v="-2.80276778"/>
        <n v="-2.80287792"/>
        <n v="-2.80272694"/>
        <n v="-2.802743"/>
        <n v="-2.8023777"/>
        <n v="-2.80277841"/>
        <n v="-2.80293362"/>
        <n v="-2.80240707"/>
        <n v="-2.80229331"/>
        <n v="-2.89041684"/>
        <n v="-2.4722986"/>
        <n v="-2.78682334"/>
        <n v="-2.7874241299999998"/>
        <n v="-3.01058108"/>
        <n v="-3.01229032"/>
        <n v="-2.56188563"/>
        <s v="-2.31376329"/>
        <n v="-2.36196709"/>
        <n v="-2.38617791"/>
        <s v="-2.38618885"/>
        <n v="-2.56167928"/>
        <n v="-2.56184906"/>
        <n v="-2.45534805"/>
        <n v="-2.56185839"/>
        <n v="-2.5616968"/>
        <n v="-2.53163264"/>
        <n v="-76.19256342"/>
        <n v="-2.78367822"/>
        <n v="-2.38619347"/>
        <n v="-2.38621301"/>
        <n v="-2.56176301"/>
        <n v="-2.36224122"/>
        <n v="-2.36217588"/>
        <n v="-2.36096927"/>
        <s v="-2.36096734"/>
        <n v="-2.3619299"/>
        <n v="-2.36148889"/>
        <n v="-2.36223991"/>
        <n v="-2.36225117"/>
        <n v="-2.36182439"/>
        <n v="-2.37002501"/>
        <n v="-2.31390846"/>
        <n v="-2.3885091"/>
        <n v="-2.38851952"/>
        <n v="-2.31388902"/>
        <n v="-2.185"/>
        <n v="-2.38846445"/>
        <n v="-2.56184066"/>
        <n v="-3.82088151"/>
        <n v="2.18464853"/>
        <s v="-2.31559736"/>
        <n v="-3.2440097"/>
        <s v="SC-0796-2023"/>
      </sharedItems>
    </cacheField>
    <cacheField name="Monitor " numFmtId="0">
      <sharedItems containsBlank="1">
        <s v="Rafael Dahua"/>
        <s v="Jhon García"/>
        <s v="Juan José Butuna Dahua, Exon Molina, Telmo"/>
        <s v="Elmer Hualinga"/>
        <s v="Rafael Sandi"/>
        <s v="Telmo Arahuanaza"/>
        <s v="Jhon Vega"/>
        <s v="Martí Orta, Pedro, Emily"/>
        <s v="Exon Molina"/>
        <s v="Juan José Butuna Dahua"/>
        <s v="Adan Sanchez"/>
        <s v="Marcial Dahua"/>
        <s v="Elmer Hualinga y Marcial Dahua"/>
        <s v="No atribuible"/>
        <s v="Ezequiel Dahua"/>
        <s v="Malquia Dahua, Elmer Hualinga"/>
        <s v="Martí Orta, Adam Sandi"/>
        <s v="."/>
        <s v="Martí Orta, Emily, Adam"/>
        <s v="Adam Sanchez"/>
        <s v="Juan José Butuna, Toni"/>
        <s v="David Chino"/>
        <s v="Juan Pablo Gayas, Exon Molina"/>
        <s v="Exon Molina, Roldan Cahuaza, David Chino, Telmo Arahuanaza, Juan José Butuna"/>
        <s v="Exon Molina, Juan José Butana, Telmo"/>
        <s v="Martí Orta"/>
        <s v="Martí Orta, Adam, Emily"/>
        <s v="Martí Orta, Toni"/>
        <s v=" Roberto Sandi"/>
        <s v="Saqueo Sandi"/>
        <s v="Natanael Sandi"/>
        <s v="Oswaldo Paima"/>
        <m/>
        <s v=" Adán Sandi y Eval Salas"/>
        <s v=" Gevara Sandi Chimboras"/>
        <s v="Javier García"/>
        <s v="Natanael Sandi Chimboras"/>
        <s v="Eval Salas y Adan Sandi"/>
        <s v=" Luis Piñola y Patricio Piñola"/>
        <s v="Luis Piñola y Patricio Piñola"/>
        <s v=" Ramon Salas"/>
        <s v="Nuevo jerusalén"/>
        <s v=" Wilson Sandi"/>
        <s v=" Adan Sandi"/>
        <s v=" Adán Sandi"/>
        <s v=" Eval Salas"/>
        <s v=" Adán Sandi, Abel Nango Piñola"/>
        <s v=" Saqueo Sandi"/>
        <s v=" Israel Chuje"/>
        <s v=" Eval Salas and Adan Sandi"/>
        <s v="Tom"/>
        <s v="Watman Hualinga"/>
        <s v=" Raul Paima."/>
        <s v=" José Vilchez"/>
        <s v=" Eliseo Hualinga"/>
        <s v="Bernabel Maynas"/>
        <s v=" Tiroteo Washikiat"/>
        <s v=" José Chimboras Maynas"/>
        <s v=" Jefferson Vilchez"/>
        <s v="Venancio Sandi"/>
        <s v="Hector Isuiza"/>
        <s v="Tom Olmedo"/>
        <s v="Hilda Chung"/>
        <s v="Guillermo Venancio"/>
        <s v="Jean Pierre Ordoñez"/>
        <s v="Guillermo Sandi, Venancio Sandi"/>
        <s v="Guillermo Sandi"/>
        <s v="Martí Orta, Artemio Sandi, America Arias"/>
        <s v="Jean Pierre Ordoñez, Guillermo Sandi"/>
        <s v="Guillermo Venancio, Artemio Sandi"/>
        <s v="Orlando Ramón Dahua Tapuy"/>
        <s v="Artemio Sandi, Ramon Dahua, Janpier Ordoñez"/>
        <s v="Guillermo Sandi, Paola"/>
        <s v="Ramon Dahua"/>
        <s v=" Fidel Sandi"/>
        <s v=" Patricio Piñola"/>
        <s v="Federico Diaz Hualinga"/>
        <s v="Elmer Sandi, Artemio Sandi"/>
        <s v="  Sofonías García"/>
        <s v=" Federico Diaz Hualinga"/>
        <s v="Artemio Sandi"/>
        <s v="Federico Diaz"/>
        <s v="Orinson Garcia"/>
        <s v="Orinson, Venancio Sandi"/>
        <s v=" Segundo Sandi"/>
        <s v="José García Díaz"/>
        <s v=" Ernesto Vilchez Maynas"/>
        <s v="Edgardo Arimuya y Jerson Java"/>
        <s v=" Jerson Java"/>
        <s v=" Tedi Sandi"/>
        <s v=" Wilder Ahuite"/>
        <s v=" Manuel Ojaicate"/>
        <s v="Fidel Sandi Hualinga"/>
        <s v="Wilson/Fidel"/>
        <s v="Cristian Jaba Ríos"/>
        <s v="Elmer Panduro"/>
        <s v="Wilson Sandi Hualinga"/>
        <s v="Fidel Sandi"/>
        <s v=" Niver Peraza Amias"/>
        <s v="Samuel Vela Torres"/>
        <s v=" Guevara Sandi"/>
        <s v="Ducner Papuy, Wilvez Ancho Sandi, Artemio Sandi"/>
        <s v=" Walter Carijano Hualinga"/>
        <s v="Ronald Mendel Canelos Manya"/>
        <s v="Javier Chavez"/>
        <s v="Juan Pablo Gayas"/>
        <s v="Eduar Prada, Fidel Sandi, Alberto Rodriguez"/>
        <s v="John Garcia,  Teddy Tello"/>
        <s v="Ruben Sandi"/>
        <s v="Walter Carijano Hualinga"/>
        <s v="James Cisneros, Wilmer Acho Sandi"/>
        <s v="America Arias"/>
        <s v="Artemio Sandi and Wilmer Sandi Ushihua"/>
        <s v="Ducner Papuy"/>
        <s v="Eduar Prada"/>
        <s v="Eugenio Papallardo"/>
        <s v="James Cisneros"/>
        <s v="Juan José Butuna"/>
        <s v="Tiroteo Washikiat"/>
        <s v="Federico Díaz Hualinga"/>
        <s v=" Segundo Walter Hualinga"/>
        <s v=" Cornelio Sandi"/>
        <s v="Gil Dahua Hualinga, Miguel Carijano"/>
        <s v=" Gil Dahua Hualinga"/>
        <s v="Aurelien Stoll"/>
        <s v="Israel Chuje Garcia"/>
        <s v=" Adan Sanchez"/>
        <s v="Daniel Cuje"/>
        <s v="Elias Huaman Maynas"/>
        <s v="Jhon (no surname known)"/>
        <s v="Iván Victoriano Sujeta"/>
        <s v=" Segundo Manuel Torres Vilchez"/>
        <s v=" Adán Dando Carijana y Eval Salas"/>
        <s v="Adam Sánchez"/>
        <s v="Javier Chavez, James Cisneros"/>
        <s v="Ducner Papuy, Teddy Tello"/>
        <s v="Eduar Prada, Dario Ushihua"/>
        <s v="Eduar Prada, Ruben Sandi"/>
        <s v="Eduard Prada"/>
        <s v="Javier Chavez, Wilson Sandi"/>
        <s v="Alberto Rodríguez"/>
        <s v="Daniel Cuje and Jose Mayanchi Diaz"/>
        <s v="Ducner Papuy, Guillermo Sandi, James Cisneros, Jhon García, Martí Orta, America"/>
        <s v=" José Tamani"/>
        <s v="apu Rosa"/>
        <s v="Malquia Dahua"/>
        <s v="Emerson Mucushua"/>
        <s v="Darwin Jaba Torres"/>
        <s v="Watman Hualinga, Manuel Torres"/>
        <s v="Robles Pisco"/>
        <s v="Edilberto Chasnamonte"/>
        <s v="Jiner Panduro"/>
        <s v="Neder Canayo Payma"/>
      </sharedItems>
    </cacheField>
    <cacheField name="Otros testigos" numFmtId="0">
      <sharedItems containsBlank="1">
        <s v="Rafael Dahua"/>
        <s v="Monitores OPIKAFPE"/>
        <s v="."/>
        <m/>
        <s v="Peter Rodriguez, Aymara León, Malquia Dahua"/>
        <s v="OEFA"/>
        <s v="Apu Tedi Maca Cariajano (Andoas); Clever Cruz Guardia (Ten. Gob. Andoas), Aymara Leon, Peter Rodriquez, Kathia Carillo"/>
        <s v="Apu de Nazaret"/>
        <s v="SC-0910-2023"/>
        <s v="Las autoridades de José Olaya"/>
        <s v="Apu de José Olaya, representante de Frontera y representante de INMAC"/>
        <s v="SC-3262-2022"/>
        <s v="SC-3755-2023"/>
        <s v="Segundo Felipe Omar"/>
        <s v="Ingeniero de TEMA"/>
        <s v="SC-3635-2022"/>
        <s v="SC-1059-2023"/>
        <s v="Acompañado por dos trabajadores de la empresa"/>
        <s v="Apu de la Comunidad Nativa Nueva Jerusalem: Nicolas Sandi"/>
        <s v=" Apu de la Comunidad Nativa José Olaya: Abel Nango"/>
        <s v="Apu Tomás Hualinga"/>
        <s v="SC-0608-2023"/>
        <s v="Monitores 12 de Octubre y OEFA"/>
        <s v="Monitores 12 de Octubre"/>
        <s v="SC-0661-2023"/>
        <s v="Apu Rosa de 12 de Octubre"/>
        <s v="SC-2685-2022"/>
        <s v="Teniente gobernador de Belén y representante de OEFA"/>
        <s v="Todos los monitores de las cuatro comunidades"/>
        <s v="Todos los monitores y los moradores de la comunidad"/>
        <s v="Todos los monitores y comuneros de San Juan de Bartra"/>
        <s v="Todos los monitores de la comunidad"/>
        <s v="Todos los monitores ambientales San Juan de bartra"/>
        <s v="Todos los monitores ambientales San Juan bartra"/>
        <s v="Otros monitores"/>
        <s v="Todos los monitores de San Juan de bartra"/>
        <s v="Meimer Sandi, Federico Carijano, Kenyo Sandi y otros comuneros."/>
        <s v="Todos los monitores ambientales y los comuneros"/>
        <s v="Meimer Sandi, Benjamín Carijano, Federico Carijano, Kenyo Sandi"/>
        <s v="Monitores ambientales"/>
        <s v="Todos los monitores"/>
        <s v="Federico Carijano, Reyver Sandi,  Arnoldo Rodriguez, Benjamin Carijano, Julio Manya,"/>
        <s v="Federico Carijano, Reyver Sandi, Artemio Cariajano, Kenyo Sandi"/>
        <s v="Todos los monitores ambientales de San Juan de bartra"/>
        <s v="Federico Carijano, Meimer Sandi, Kenyo Sandi, Aroldo Rodriguez, Reyver Sandi"/>
        <s v="Federico Cariajano,Julio Manya, Kenyo Sandi, Meimer Sandi, Aroldo Rodriguez"/>
        <s v="Todos los monitores ambientales de San Juan bartra"/>
        <s v="Meimer Sandi, Benjamín Carijano, Federico Carijano, Arnoldo Rodriguez"/>
        <s v="Odilio Sandi Pezo, José; Vicente Celis Llanca. (Los trabajadores ECOSAC"/>
        <s v="Toda la comunidad La Petrolera"/>
        <s v="Toda la comunidad sabe"/>
        <s v="Apu Daniel Hualinga Sandi"/>
        <s v="SC-3263-2022"/>
        <s v="SC-2686-2022"/>
        <s v="SC-2073-2023"/>
      </sharedItems>
    </cacheField>
    <cacheField name="Hubo remediación o algúna limpieza?">
      <sharedItems containsBlank="1" containsMixedTypes="1" containsNumber="1" containsInteger="1">
        <s v="."/>
        <m/>
        <n v="1.0"/>
        <n v="0.0"/>
        <s v="Plan de contingencia"/>
      </sharedItems>
    </cacheField>
    <cacheField name="Que tipo de remediación?">
      <sharedItems containsBlank="1" containsMixedTypes="1" containsNumber="1" containsInteger="1">
        <s v="."/>
        <m/>
        <s v="Absorventes, recojo de crudo en bolsas de plastico"/>
        <s v="Absorventes"/>
        <s v="Recuperación de residuos y limpieza del crudo restante. Sin embargo, un derrame antiguo que se dio en el mismo sitio no fue adecuadamente remediado. "/>
        <s v="La remediación consistió en cubrir el área afectada con tierra. "/>
        <s v="Limpiar el área impactada."/>
        <s v="Comenzaron los trabajos de limpieza. Sin embargo, no está claro cuál fue el alcance de estos trabajos y si la zona se dejó completamente limpia. "/>
        <s v="Han usado espuma para recojer el crudo"/>
        <s v="Limpieza de la zona afectada."/>
        <s v="Según el informe, la zona quedó limpia, pero no hay información sobre los medios utilizados para conseguirlo ni sobre cuántos barriles se recuperaron."/>
        <s v="El petróleo fue recogido y colocado en bolsas. Plan de contingencia"/>
        <s v="Comunidad con apoyo de ejercito han actuado para contener el derrame"/>
        <n v="0.0"/>
        <s v="La resolución directoral 2674-2018-OEFA/DFAI indica que la empresa no se llevó a cabo trabajos de remediación en los sitios impactados. "/>
        <s v="Limpieza de la zona afectada y recuperación de crudo. "/>
        <s v="Limpieza de la zona impactada y cambio de tuberías."/>
        <s v="La empresa comunitaria remedia"/>
        <s v="Cleaning the affected area and oil recovery."/>
        <s v="Oficialmente, la empresa limpió la zona afectada. Sin embargo, un año después, la FECONACO visitó el lugar e informó de que aún quedaba contaminación en el suelo, especialmente en Carmen Caño."/>
        <s v="Limpieza del área afectada y recuperación del crudo"/>
        <s v="Around 2 barrels were recovered."/>
        <s v="La empresa hizo una limpieza en la zona y recuperó mucho del crudo. Sin embargo, en 2015, se reportaba que el sitio aún se encuentra contaminado. (información de ID 26. Fuente: Informe anual de monitoreo de FECONACO)"/>
        <s v="PAC"/>
        <s v="Limpieza del área afectada y recuperación de crudo. Según el informe, el 19/03/2013 se terminaron los trabajos de remediación. Sin embargo en 2013, el OEFA con la organizaciones de comunidades nativas de los ríos Pastaza, Tigre y Marañón se llevaron a cab"/>
        <s v="Trabajo de remediacion bidon absorvente espuma embolsado, balizas"/>
        <s v="Pluspetrol implementó su plan de contingencia, creando barreras de plástico para contener el agua contaminada pero en modo alguna implica remediación"/>
        <s v="Excavación de 2.5 m de profundidad por empresa IMAC"/>
        <s v="Cambio de parte de ducto. "/>
        <s v="Excavación y reparación de tuberías"/>
        <s v="Recuperación de crudo."/>
        <s v="La empresa quemó el petróleo"/>
        <s v="Según el informe, en una visita realizada en agosto de 2007 se informó de que no había contaminación visible en la zona. Sin embargo, no hay información sobre cómo se llevaron a cabo los trabajos de remediación/limpieza."/>
        <s v="En el momento en que se tomaron las fotos, se estaban llevando a cabo obras de remediación."/>
      </sharedItems>
    </cacheField>
    <cacheField name="Responsable" numFmtId="0">
      <sharedItems containsBlank="1">
        <s v="Laura"/>
        <s v="Cielo"/>
        <s v="Ale"/>
        <s v="Ana Paula"/>
        <s v="Claudia"/>
        <m/>
        <s v="Lady"/>
      </sharedItems>
    </cacheField>
    <cacheField name="Estado (por validar/validación parcial/validación final)" numFmtId="0">
      <sharedItems containsBlank="1">
        <s v="1. Validado parcial"/>
        <s v="2. Validado final"/>
        <m/>
        <s v="0. Por validar"/>
      </sharedItems>
    </cacheField>
    <cacheField name="Comentarios" numFmtId="0">
      <sharedItems containsBlank="1">
        <s v="De acuerdo a fuente Nina, se modificó Rafael Sandi a Rafael Dahua en columna V"/>
        <s v="Se agregó en columna M &quot;Frontera Energy&quot; y se agregó en columna E &quot;&amp; 1A&quot;"/>
        <s v="1. De acuerdo a fuente Nina, se modificó Rafael Sandi a Rafael Dahua en columna V&#10; 2. De acuerdo a fuente Nina, el valor en columna K es &quot;Antiguo&quot;, pero de acuerdo con &quot;antiguo Equidad&quot; es &quot;nuevo&quot;.&#10; 3. De acuerdo a fuente antigua Equidad, el valor es &quot;Duc"/>
        <s v="1. De acuerdo a fuente Nina, se modificó Rafael Sandi a Rafael Dahua en columna V&#10; 2. Se eliminó &quot;crudo&quot; &#10; 3. De acuerdo a fuente Nina, es &quot;Antiguo&quot; y de acuerdo a Antiguo Equidad es &quot;nuevo&quot;."/>
        <m/>
        <s v="UTM X y Y están OK. Se agrego Lat y log"/>
        <s v="Todo el UTM X y Y, y la log y lat están OK. Pero están en diferentes columnas."/>
        <s v="1.- Se modifico la columna &quot;F&quot; (¿cuándo se detectó el impacto?&quot;) en base al formato de&quot;día/mes/año&quot; 2.- Se traslado información de &quot;Descripción detallada&quot; a &quot;Descripción de ubicación&quot; "/>
        <s v="En la descripción se señala que la empresa a cargo es Petroperu S.A. Sin embargo en la columna Empresa involucrada se encuentra &quot;Pacific Stratus Energy del Perú, S.A.&quot;. Se agregó Petroperu S.A. a la menciona columna, corresponde verificar si se mantiene a"/>
        <s v="Se modifico la columna &quot;F&quot; (¿cuándo se detectó el impacto?&quot;) en base al formato de&quot;día/mes/año&quot;"/>
        <s v="UTM X y  UTM Y están OK. Se agregó long y lat."/>
        <s v="Se modificó la traducción de la columna N"/>
        <s v="1. Se agregó antiguo en columna K"/>
        <s v="Se corrigió traducción de la columna O"/>
        <s v="Tengo dudas sobre la traducción de la columna N. La frase en inglés original es &quot;Oil emerging&quot;."/>
        <s v="Se hicieron pequeños cambios en la redacción de la columna N"/>
        <s v="En la descripción se especifican las coordenadas de una instalación abandonada"/>
        <s v="Se cambió en la columna K de &quot;Operacional&quot; a &quot;Nuevo&quot;."/>
        <s v="No tiene código propio. Se modifico la columna &quot;F&quot; (¿cuándo se detectó el impacto?&quot;) en base al formato de&quot;día/mes/año&quot;"/>
        <s v="En la columna N se detallas dos eventos con coordenadas, las que podrían haber afectado al evento principal"/>
        <s v="La descripción señala dos coordenadas, una es detallada en el sistema Lat/Long y la otra en el sistema UTM"/>
        <s v="UTM X y UTM Y están OK. Se agregó long y lat."/>
        <s v="Al inicio de la descripcion de la columna N decía &quot;Derrame de petróleo del tanque 1450&quot;, sin embargo, en la base de datos &quot;antigua Equidad&quot; no se señala ese dato"/>
        <s v="UTM X em BD Original no inicia com 0 – el resto de números son iguales. UTM Y está OK. Se agregó long y lat."/>
        <s v="."/>
        <s v="Se agregó en columna K &quot;Nuevo&quot;"/>
        <s v="UTM X em BD Original no inicia com 0 – el resto de números son iguales. UTM Y está OK"/>
        <s v="Se corrigió la columna N"/>
        <s v="Las UTM X y Y están ok, pero la log y lat de acuerdo a la BD deberían ser: -2.5616635 y -76.193007, ya que las UTM no considera todas las decimales. Asimismo, están en columnas diferentes."/>
        <s v="UTM X em BD Original no inicia com 0 – el resto de números son iguales. UTM Y está OK. Se agregó long y lat. Traducción: Petroleo o crudo derramdo por un camión."/>
        <s v="No hay coordenadas en DD o DDU."/>
        <s v="No tiene código propio"/>
        <s v="Se transcribió Y"/>
        <s v="Se tradujo la columna Y"/>
        <s v="Se modifico la columna &quot;F&quot; (¿cuándo se detectó el impacto&quot;) en base al formato de&quot;día/mes/año&quot;"/>
        <s v="Se identifica la ausencia de información en torno al &quot;Descripción detallada&quot; y &quot;Descripción detallada de ubicación&quot;, sobre este último se hace mención de &quot;Información de un cuaderno N°289&quot;"/>
        <s v="Se identifica la ausencia de información en torno al &quot;Descripción detallada&quot; y &quot;Descripción detallada de ubicación&quot;, sobre este último se hace mención de &quot;Información de un cuaderno N°288&quot;"/>
        <s v="Se identifica la ausencia de información en torno al &quot;Descripción detallada&quot; y &quot;Descripción detallada de ubicación&quot;, sobre este último se hace mención de &quot;Información de un cuaderno N°290&quot;"/>
        <s v="Se identifica la ausencia de información en torno al &quot;Descripción detallada&quot; y &quot;Descripción detallada de ubicación&quot;, sobre este último se hace mención de &quot;Información de un cuaderno N°287&quot;"/>
        <s v="Se identifica la ausencia de información en torno al &quot;Descripción detallada&quot; y &quot;Descripción detallada de ubicación&quot;, sobre este último se hace mención de &quot;Información de un cuaderno N°291&quot;"/>
        <s v="De acuerdo a fuente Nina, es &quot;nuevo&quot; en columna K."/>
        <s v="1. De acuerdo a fuente Nina, se agregó &quot;&amp; 1A&quot; a &quot;San Jacinto&quot; en columna E. 2. Se cambió &quot;Oxy&quot; a &quot;Occidental Petroleum Corporation (OXY)&quot; en columna M"/>
        <s v="De acuerdo a fuente Nina, se agregó &quot;&amp; 1A&quot; a &quot;San Jacinto&quot; en columna E"/>
        <s v="El evento original se dio 19/12/2016"/>
        <s v="Se colocó parte de los datos que estaban en la columna O en la columna N, para que solo quede la ubicación específica. Se tradujo la columna Y. Se ajusto el formato de la fecha F."/>
        <s v="Se corrigió la traducción del dato de la columna N "/>
        <s v="Falta revisar traducción"/>
        <s v="Se ajustó la traducción en la columna N"/>
        <s v="No tiene un código propio"/>
        <s v="No tiene código propio "/>
        <s v="Se agregó en columna M &quot;Frontera Energy&quot;"/>
        <s v="Se corrigió la traducción del dato de la columna N"/>
        <s v="Se corrigió la traducción de la columna N"/>
        <s v="Se identificó el término &quot;Ducto&quot;, de acuerdo a fuente Antigua Equidad"/>
        <s v="De acuerdo con Nina Equidad, &quot;Depósito de material&quot; cambia a botadero"/>
        <s v="Se corrigió la columna N y O."/>
        <s v="De acuerdo con fuente antiguo equidad, se cambió la info"/>
        <s v="CA: Fecha modificada a formado D/M/A"/>
        <s v="Se corrigió la columna N y O. El evento original se produjo aproximadamente en 1998"/>
        <s v="&quot;De vido&quot; cambia a &quot;Debido&quot;"/>
        <s v="Se hicieron pequeños cambios en la traducción de la columna N y O"/>
        <s v="Se hicieron pequeños cambios en la traducción de la columna N"/>
        <s v="Decía COE201402 pero el monitor tiene los iniciales JG"/>
        <s v="1.- Se modifico la columna &quot;F&quot; (¿cuándo se detectó el impacto?&quot;) en base al formato de&quot;día/mes/año&quot; 2.- Se realizo la traducción de &quot;Tipo de remediación&quot;"/>
        <s v="No tiene código propio 1.- Se modifico la columna &quot;F&quot; (¿cuándo se detectó el impacto?&quot;) en base al formato de&quot;día/mes/año&quot; 2.- Se identifica  información en torno a &quot;Descripción detallada&quot;"/>
        <s v="Dudo sobre la traducción de &quot;topping plant&quot;, no traduje la frase."/>
        <s v="Cambio en columna W: El valor &quot;&amp;#233&quot; es una representación en HTML del carácter &quot;é&quot;"/>
        <s v="UTM X em BD Original no inicia com 0 – el resto de números son iguales. UTM Y está OK. Se agregó long y lat. Traducción: La compañia está remediando el derrame de petroleo. "/>
        <s v="No tiene código propio  1.- Se modifico la columna &quot;F&quot; (¿cuándo se detectó el impacto?&quot;) en base al formato de&quot;día/mes/año&quot; 2.- Se identifica  información en torno a &quot;Descripción detallada de ubicación&quot;, sin embargo, no se mencionan las coordenadas. "/>
        <s v="Dice COE en el codigo cuando los iniciales del monitor son FS (eso afecta a los codigos de otros casos porque el mismo monitor ha registrado varios casos en el mismo año)"/>
        <s v="Se tradujo columna Y"/>
        <s v="Se copió el dato de la columna O a la columna N"/>
        <s v="1. Por equis motivos decía la descripción en el código. Ya recuperé el código"/>
        <s v="1. Se tradujo la columna Y y se cambió &quot;fuga&quot; por &quot;derrame&quot; para estandarizar.&#10;2. Por equis motivos decía la descripción en el código. Ya recuperé el código"/>
        <s v="Se tradujo la columna N. El evento original se dio aprox 16/05/1980"/>
        <s v="Se realizó cambios en la traducción en la columna N. &quot;drums&quot; se tradujo como bidones"/>
        <s v="Se modificó la traducción en columna N"/>
        <s v="Se modificó la información de las celdas N y O"/>
        <s v="Se identifica la ausencia de información en torno al &quot;Descripción detallada&quot; y &quot;Descripción detallada de ubicación&quot;"/>
        <s v="Se identifica  información en torno a &quot;Descripción detallada de ubicación&quot;, sin embargo, no se mencionan las coordenadas. "/>
        <s v="Se corrigió redacción columna O"/>
        <s v="Se corrigió la redacción del texto de la columna N. No tiene coordenadas. "/>
        <s v="Se corrigió la redacción del texto de la columna N. No tiene coordenadas"/>
        <s v="Se corrigió la redacción del texto de la columna N."/>
        <s v="Se corrigió la redacción del texto de la columna N"/>
        <s v="Se agregó un dato adicional en la columna N. No tiene coordenadas"/>
        <s v="Se agregó dato a la columna O"/>
        <s v="No tiene un código propio 1.- Se modifico la columna &quot;F&quot; (¿cuándo se detectó el impacto?&quot;) en base al formato de&quot;día/mes/año&quot; 2.- Se identifica  información en torno a &quot;Descripción detallada de ubicación&quot;, sin embargo, no se mencionan las coordenadas. "/>
        <s v="No tiene coordenadas. Tengo dudas sobre la traducción de la columna N. La frase en inglés original es &quot;Oil emerging&quot;."/>
        <s v="No tiene coordenadas. Se ajustó la traducción de la columna N"/>
        <s v="No tiene coordenadas. Se ajusto el formato de la fecha F."/>
        <s v="No tiene coordenadas. Se agregó dato de la columna N a la columna O"/>
        <s v="No tiene coordenadas. Se agregó dato a la columna O"/>
        <s v="No tiene coordenadas. No estoy segura de la traducción de la frase &quot;flood area&quot; en la columna N. La traducción directa es &quot;área inundada&quot;"/>
        <s v="No tiene coordenadas. Cambios menores en la columna N"/>
        <s v="No tiene coordenadas."/>
        <s v="No tiene coordenadas"/>
        <s v="No tiene código propio 1.- Se modifico la columna &quot;F&quot; (¿cuándo se detectó el impacto?&quot;) en base al formato de&quot;día/mes/año&quot; 2.- Se identifica  información en torno a&quot;Descripción detallada de ubicación&quot;, sin embargo, no se mencionan las coordenadas. "/>
        <s v="No tiene código propio 1.- Se modifico la columna &quot;F&quot; (¿cuándo se detectó el impacto?&quot;) en base al formato de&quot;día/mes/año&quot; 2.- Se identifica  información en torno a &quot;Descripción detallada de ubicación&quot;, sin embargo, no se mencionan las coordenadas. "/>
        <s v="No hay identificador único"/>
        <s v="No hay coordenadas en DD o DDU. Traducción: Un repentino aumento del nivel de aceite en el área de tratamiento arrastró el aceite hacia los quemadores. Finalmente, cayó dentro de la zanja y llegó al tanque de sumidero, que se desbordó."/>
        <s v="No hay coordenadas en DD o DDU. Traducción: Leakage from a tank which is owned to PlusPetrol company"/>
        <s v="No hay coordenadas en DD o DDU. Traducción: Hubo un gran derrame de petróleo dentro de las instalaciones petroleras. El petróleo llegó a las cunetas de drenaje de agua y se extendió por los alrededores. Probablemente alcanzó cuerpos de agua. "/>
        <s v="No hay coordenadas en DD o DDU. traducción: El evento ocurrió debido a una falla al realizar una operación de bombeo de petróleo desde Batería 1 hasta un tanque ubicado en la Plataforma 114. El tanque se desbordó y 0.5 barriles de petróleo impactaron en e"/>
        <s v="No hay coordenadas en DD o DDU. Traducción: El derrame ocurrió en la parte inferior del tanque."/>
        <s v="No hay coordenadas en DD o DDU. No lo encontré en ninguna de las cuatro bases de datos. Lo encontré en uno que no tenía código. BD: Antigua Equidad. Site: Central Production Facility 7, platform x47 spill. The oil spill took place in the Comunidad  San Jo"/>
        <s v="Long y lati están OK. Los datos UTM X y Y si se encuentran en la base de datos de coordenadas, pero tienen decimales. "/>
        <s v="En la base de datos original, el texto de las descripción de ubicación es el de la fila 143 en esta tabla"/>
        <s v="El evento original se dio en 19/02/1999"/>
        <s v="De acuerdo con Nina Equidad, es Nuevo y no Operacional. Se revisó antigua Equidad y allí sí es Operacional."/>
        <s v="1.- Se modifico la columna &quot;F&quot; (¿cuándo se detectó el impacto?&quot;) en base al formato de&quot;día/mes/año&quot; 2.- Se traslado información de &quot;Descripción detallada&quot; a &quot;Descripción de ubicación&quot;, verificando la ausencia de información de las coordenadas."/>
        <s v="1.- Se modifico la columna &quot;F&quot; (¿cuándo se detectó el impacto?&quot;) en base al formato de&quot;día/mes/año&quot; 2.- Se realizo la traducción de &quot;Descripción detallada&quot;"/>
        <s v="1.- Se modifico la columna &quot;F&quot; (¿cuándo se detectó el impacto?&quot;) en base al formato de&quot;día/mes/año&quot; 2.- Se identifica nformación en torno a&quot;Descripción detallada de ubicación&quot;, sin embargo, no se mencionan las coordenadas. "/>
        <s v="1.- Se modifico la columna &quot;F&quot; (¿cuándo se detectó el impacto?&quot;) en base al formato de&quot;día/mes/año&quot; 2.- Se identifica la ausencia de información en torno a &quot;Descripción detallada&quot; y &quot;Descripción detallada de ubicación&quot;, por lo tanto, también de las coorde"/>
        <s v="1.- Se modifico la columna &quot;F&quot; (¿cuándo se detectó el impacto?&quot;) en base al formato de&quot;día/mes/año&quot; 2.- Se identifica la ausencia de información en torno a &quot;Descripción detallada de ubicación&quot;, por lo tanto, también de las coordenadas. "/>
        <s v="1.- Se modifico la columna &quot;F&quot; (¿cuándo se detectó el impacto?&quot;) en base al formato de&quot;día/mes/año&quot; 2.- Se identifica  información en torno a &quot;Descripción detallada de ubicación&quot;, sin embargo, no se mencionan las coordenadas. "/>
        <s v="1.- Se modifico la columna &quot;F&quot; (¿cuándo se detectó el impacto?&quot;) en base al formato de&quot;día/mes/año&quot; 2.- Se corrobora lo mencionado en &quot;Descripción detallada de ubicación&quot;, es decir, ausencia de las coordenadas"/>
        <s v=" Se identifica  información en torno a &quot;Descripción detallada de ubicación&quot;, sin embargo, no se mencionan las coordenadas. "/>
        <s v="&#10;"/>
        <s v="Solo el segundo UTM X y Y están en la BD original, y están OK. "/>
        <s v="Solo el primer UTM X y Y  están en la BD original, y está OK. "/>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937" sheet="Base de datos"/>
  </cacheSource>
  <cacheFields>
    <cacheField name="Número" numFmtId="0">
      <sharedItems containsSemiMixedTypes="0" containsString="0" containsNumber="1" containsInteger="1">
        <n v="155.0"/>
        <n v="46.0"/>
        <n v="153.0"/>
        <n v="154.0"/>
        <n v="566.0"/>
        <n v="561.0"/>
        <n v="463.0"/>
        <n v="920.0"/>
        <n v="164.0"/>
        <n v="570.0"/>
        <n v="919.0"/>
        <n v="565.0"/>
        <n v="449.0"/>
        <n v="939.0"/>
        <n v="723.0"/>
        <n v="934.0"/>
        <n v="572.0"/>
        <n v="587.0"/>
        <n v="564.0"/>
        <n v="930.0"/>
        <n v="724.0"/>
        <n v="502.0"/>
        <n v="573.0"/>
        <n v="361.0"/>
        <n v="580.0"/>
        <n v="679.0"/>
        <n v="699.0"/>
        <n v="898.0"/>
        <n v="897.0"/>
        <n v="127.0"/>
        <n v="904.0"/>
        <n v="678.0"/>
        <n v="890.0"/>
        <n v="889.0"/>
        <n v="560.0"/>
        <n v="709.0"/>
        <n v="454.0"/>
        <n v="965.0"/>
        <n v="903.0"/>
        <n v="899.0"/>
        <n v="574.0"/>
        <n v="902.0"/>
        <n v="901.0"/>
        <n v="715.0"/>
        <n v="910.0"/>
        <n v="578.0"/>
        <n v="747.0"/>
        <n v="5.0"/>
        <n v="508.0"/>
        <n v="909.0"/>
        <n v="687.0"/>
        <n v="510.0"/>
        <n v="507.0"/>
        <n v="716.0"/>
        <n v="797.0"/>
        <n v="477.0"/>
        <n v="905.0"/>
        <n v="734.0"/>
        <n v="906.0"/>
        <n v="907.0"/>
        <n v="908.0"/>
        <n v="479.0"/>
        <n v="913.0"/>
        <n v="918.0"/>
        <n v="917.0"/>
        <n v="506.0"/>
        <n v="948.0"/>
        <n v="708.0"/>
        <n v="706.0"/>
        <n v="915.0"/>
        <n v="799.0"/>
        <n v="379.0"/>
        <n v="686.0"/>
        <n v="478.0"/>
        <n v="790.0"/>
        <n v="885.0"/>
        <n v="374.0"/>
        <n v="377.0"/>
        <n v="483.0"/>
        <n v="386.0"/>
        <n v="484.0"/>
        <n v="375.0"/>
        <n v="571.0"/>
        <n v="494.0"/>
        <n v="796.0"/>
        <n v="739.0"/>
        <n v="710.0"/>
        <n v="503.0"/>
        <n v="504.0"/>
        <n v="505.0"/>
        <n v="632.0"/>
        <n v="720.0"/>
        <n v="575.0"/>
        <n v="576.0"/>
        <n v="892.0"/>
        <n v="121.0"/>
        <n v="4.0"/>
        <n v="3.0"/>
        <n v="991.0"/>
        <n v="986.0"/>
        <n v="964.0"/>
        <n v="961.0"/>
        <n v="568.0"/>
        <n v="282.0"/>
        <n v="987.0"/>
        <n v="942.0"/>
        <n v="132.0"/>
        <n v="949.0"/>
        <n v="978.0"/>
        <n v="320.0"/>
        <n v="984.0"/>
        <n v="558.0"/>
        <n v="605.0"/>
        <n v="608.0"/>
        <n v="603.0"/>
        <n v="604.0"/>
        <n v="228.0"/>
        <n v="443.0"/>
        <n v="360.0"/>
        <n v="923.0"/>
        <n v="362.0"/>
        <n v="363.0"/>
        <n v="753.0"/>
        <n v="773.0"/>
        <n v="993.0"/>
        <n v="976.0"/>
        <n v="456.0"/>
        <n v="924.0"/>
        <n v="943.0"/>
        <n v="926.0"/>
        <n v="283.0"/>
        <n v="925.0"/>
        <n v="946.0"/>
        <n v="451.0"/>
        <n v="461.0"/>
        <n v="837.0"/>
        <n v="763.0"/>
        <n v="761.0"/>
        <n v="928.0"/>
        <n v="462.0"/>
        <n v="328.0"/>
        <n v="832.0"/>
        <n v="722.0"/>
        <n v="927.0"/>
        <n v="95.0"/>
        <n v="312.0"/>
        <n v="954.0"/>
        <n v="956.0"/>
        <n v="959.0"/>
        <n v="953.0"/>
        <n v="955.0"/>
        <n v="122.0"/>
        <n v="743.0"/>
        <n v="982.0"/>
        <n v="989.0"/>
        <n v="447.0"/>
        <n v="117.0"/>
        <n v="118.0"/>
        <n v="633.0"/>
        <n v="639.0"/>
        <n v="234.0"/>
        <n v="567.0"/>
        <n v="698.0"/>
        <n v="631.0"/>
        <n v="592.0"/>
        <n v="848.0"/>
        <n v="284.0"/>
        <n v="441.0"/>
        <n v="882.0"/>
        <n v="251.0"/>
        <n v="660.0"/>
        <n v="960.0"/>
        <n v="659.0"/>
        <n v="658.0"/>
        <n v="661.0"/>
        <n v="657.0"/>
        <n v="662.0"/>
        <n v="663.0"/>
        <n v="656.0"/>
        <n v="655.0"/>
        <n v="654.0"/>
        <n v="668.0"/>
        <n v="667.0"/>
        <n v="669.0"/>
        <n v="666.0"/>
        <n v="670.0"/>
        <n v="664.0"/>
        <n v="87.0"/>
        <n v="86.0"/>
        <n v="123.0"/>
        <n v="378.0"/>
        <n v="936.0"/>
        <n v="376.0"/>
        <n v="439.0"/>
        <n v="1.0"/>
        <n v="269.0"/>
        <n v="91.0"/>
        <n v="458.0"/>
        <n v="988.0"/>
        <n v="719.0"/>
        <n v="357.0"/>
        <n v="209.0"/>
        <n v="446.0"/>
        <n v="452.0"/>
        <n v="598.0"/>
        <n v="410.0"/>
        <n v="409.0"/>
        <n v="405.0"/>
        <n v="404.0"/>
        <n v="88.0"/>
        <n v="89.0"/>
        <n v="44.0"/>
        <n v="43.0"/>
        <n v="45.0"/>
        <n v="47.0"/>
        <n v="963.0"/>
        <n v="49.0"/>
        <n v="48.0"/>
        <n v="66.0"/>
        <n v="50.0"/>
        <n v="67.0"/>
        <n v="69.0"/>
        <n v="690.0"/>
        <n v="68.0"/>
        <n v="52.0"/>
        <n v="51.0"/>
        <n v="992.0"/>
        <n v="70.0"/>
        <n v="57.0"/>
        <n v="72.0"/>
        <n v="53.0"/>
        <n v="62.0"/>
        <n v="71.0"/>
        <n v="73.0"/>
        <n v="54.0"/>
        <n v="74.0"/>
        <n v="65.0"/>
        <n v="83.0"/>
        <n v="944.0"/>
        <n v="966.0"/>
        <n v="393.0"/>
        <n v="82.0"/>
        <n v="884.0"/>
        <n v="395.0"/>
        <n v="396.0"/>
        <n v="55.0"/>
        <n v="81.0"/>
        <n v="779.0"/>
        <n v="63.0"/>
        <n v="397.0"/>
        <n v="765.0"/>
        <n v="767.0"/>
        <n v="697.0"/>
        <n v="75.0"/>
        <n v="958.0"/>
        <n v="58.0"/>
        <n v="774.0"/>
        <n v="826.0"/>
        <n v="766.0"/>
        <n v="80.0"/>
        <n v="56.0"/>
        <n v="781.0"/>
        <n v="974.0"/>
        <n v="64.0"/>
        <n v="980.0"/>
        <n v="79.0"/>
        <n v="78.0"/>
        <n v="983.0"/>
        <n v="61.0"/>
        <n v="868.0"/>
        <n v="76.0"/>
        <n v="77.0"/>
        <n v="59.0"/>
        <n v="165.0"/>
        <n v="967.0"/>
        <n v="742.0"/>
        <n v="415.0"/>
        <n v="931.0"/>
        <n v="60.0"/>
        <n v="952.0"/>
        <n v="815.0"/>
        <n v="416.0"/>
        <n v="756.0"/>
        <n v="783.0"/>
        <n v="671.0"/>
        <n v="749.0"/>
        <n v="786.0"/>
        <n v="637.0"/>
        <n v="636.0"/>
        <n v="691.0"/>
        <n v="692.0"/>
        <n v="512.0"/>
        <n v="513.0"/>
        <n v="557.0"/>
        <n v="516.0"/>
        <n v="471.0"/>
        <n v="517.0"/>
        <n v="116.0"/>
        <n v="27.0"/>
        <n v="26.0"/>
        <n v="28.0"/>
        <n v="31.0"/>
        <n v="30.0"/>
        <n v="29.0"/>
        <n v="838.0"/>
        <n v="115.0"/>
        <n v="515.0"/>
        <n v="514.0"/>
        <n v="114.0"/>
        <n v="553.0"/>
        <n v="563.0"/>
        <n v="593.0"/>
        <n v="875.0"/>
        <n v="21.0"/>
        <n v="590.0"/>
        <n v="41.0"/>
        <n v="562.0"/>
        <n v="893.0"/>
        <n v="881.0"/>
        <n v="133.0"/>
        <n v="96.0"/>
        <n v="97.0"/>
        <n v="14.0"/>
        <n v="126.0"/>
        <n v="25.0"/>
        <n v="94.0"/>
        <n v="93.0"/>
        <n v="85.0"/>
        <n v="135.0"/>
        <n v="40.0"/>
        <n v="98.0"/>
        <n v="845.0"/>
        <n v="99.0"/>
        <n v="120.0"/>
        <n v="125.0"/>
        <n v="119.0"/>
        <n v="161.0"/>
        <n v="23.0"/>
        <n v="24.0"/>
        <n v="124.0"/>
        <n v="13.0"/>
        <n v="6.0"/>
        <n v="594.0"/>
        <n v="39.0"/>
        <n v="162.0"/>
        <n v="106.0"/>
        <n v="843.0"/>
        <n v="108.0"/>
        <n v="846.0"/>
        <n v="107.0"/>
        <n v="844.0"/>
        <n v="160.0"/>
        <n v="110.0"/>
        <n v="16.0"/>
        <n v="19.0"/>
        <n v="163.0"/>
        <n v="7.0"/>
        <n v="159.0"/>
        <n v="103.0"/>
        <n v="22.0"/>
        <n v="32.0"/>
        <n v="15.0"/>
        <n v="8.0"/>
        <n v="104.0"/>
        <n v="157.0"/>
        <n v="36.0"/>
        <n v="11.0"/>
        <n v="42.0"/>
        <n v="33.0"/>
        <n v="111.0"/>
        <n v="20.0"/>
        <n v="109.0"/>
        <n v="37.0"/>
        <n v="34.0"/>
        <n v="17.0"/>
        <n v="35.0"/>
        <n v="18.0"/>
        <n v="101.0"/>
        <n v="156.0"/>
        <n v="10.0"/>
        <n v="112.0"/>
        <n v="841.0"/>
        <n v="113.0"/>
        <n v="12.0"/>
        <n v="740.0"/>
        <n v="595.0"/>
        <n v="883.0"/>
        <n v="102.0"/>
        <n v="9.0"/>
        <n v="100.0"/>
        <n v="158.0"/>
        <n v="38.0"/>
        <n v="880.0"/>
        <n v="134.0"/>
        <n v="367.0"/>
        <n v="584.0"/>
        <n v="533.0"/>
        <n v="532.0"/>
        <n v="531.0"/>
        <n v="198.0"/>
        <n v="527.0"/>
        <n v="599.0"/>
        <n v="526.0"/>
        <n v="524.0"/>
        <n v="525.0"/>
        <n v="635.0"/>
        <n v="569.0"/>
        <n v="737.0"/>
        <n v="518.0"/>
        <n v="520.0"/>
        <n v="519.0"/>
        <n v="521.0"/>
        <n v="522.0"/>
        <n v="523.0"/>
        <n v="530.0"/>
        <n v="529.0"/>
        <n v="528.0"/>
        <n v="556.0"/>
        <n v="202.0"/>
        <n v="200.0"/>
        <n v="472.0"/>
        <n v="581.0"/>
        <n v="589.0"/>
        <n v="591.0"/>
        <n v="466.0"/>
        <n v="652.0"/>
        <n v="748.0"/>
        <n v="460.0"/>
        <n v="534.0"/>
        <n v="489.0"/>
        <n v="863.0"/>
        <n v="624.0"/>
        <n v="738.0"/>
        <n v="736.0"/>
        <n v="275.0"/>
        <n v="334.0"/>
        <n v="149.0"/>
        <n v="373.0"/>
        <n v="481.0"/>
        <n v="932.0"/>
        <n v="551.0"/>
        <n v="627.0"/>
        <n v="105.0"/>
        <n v="537.0"/>
        <n v="629.0"/>
        <n v="620.0"/>
        <n v="321.0"/>
        <n v="535.0"/>
        <n v="467.0"/>
        <n v="316.0"/>
        <n v="457.0"/>
        <n v="619.0"/>
        <n v="358.0"/>
        <n v="130.0"/>
        <n v="864.0"/>
        <n v="536.0"/>
        <n v="90.0"/>
        <n v="630.0"/>
        <n v="453.0"/>
        <n v="559.0"/>
        <n v="745.0"/>
        <n v="612.0"/>
        <n v="933.0"/>
        <n v="865.0"/>
        <n v="862.0"/>
        <n v="550.0"/>
        <n v="548.0"/>
        <n v="611.0"/>
        <n v="972.0"/>
        <n v="622.0"/>
        <n v="138.0"/>
        <n v="128.0"/>
        <n v="764.0"/>
        <n v="538.0"/>
        <n v="539.0"/>
        <n v="628.0"/>
        <n v="623.0"/>
        <n v="546.0"/>
        <n v="277.0"/>
        <n v="861.0"/>
        <n v="547.0"/>
        <n v="860.0"/>
        <n v="84.0"/>
        <n v="541.0"/>
        <n v="542.0"/>
        <n v="268.0"/>
        <n v="540.0"/>
        <n v="131.0"/>
        <n v="139.0"/>
        <n v="129.0"/>
        <n v="609.0"/>
        <n v="545.0"/>
        <n v="859.0"/>
        <n v="544.0"/>
        <n v="947.0"/>
        <n v="610.0"/>
        <n v="364.0"/>
        <n v="621.0"/>
        <n v="543.0"/>
        <n v="549.0"/>
        <n v="368.0"/>
        <n v="653.0"/>
        <n v="626.0"/>
        <n v="582.0"/>
        <n v="625.0"/>
        <n v="971.0"/>
        <n v="741.0"/>
        <n v="758.0"/>
        <n v="754.0"/>
        <n v="762.0"/>
        <n v="759.0"/>
        <n v="450.0"/>
        <n v="822.0"/>
        <n v="853.0"/>
        <n v="136.0"/>
        <n v="143.0"/>
        <n v="672.0"/>
        <n v="673.0"/>
        <n v="674.0"/>
        <n v="675.0"/>
        <n v="676.0"/>
        <n v="677.0"/>
        <n v="680.0"/>
        <n v="681.0"/>
        <n v="682.0"/>
        <n v="683.0"/>
        <n v="707.0"/>
        <n v="721.0"/>
        <n v="725.0"/>
        <n v="729.0"/>
        <n v="732.0"/>
        <n v="733.0"/>
        <n v="750.0"/>
        <n v="752.0"/>
        <n v="665.0"/>
        <n v="770.0"/>
        <n v="834.0"/>
        <n v="873.0"/>
        <n v="788.0"/>
        <n v="787.0"/>
        <n v="798.0"/>
        <n v="814.0"/>
        <n v="784.0"/>
        <n v="785.0"/>
        <n v="782.0"/>
        <n v="2.0"/>
        <n v="831.0"/>
        <n v="833.0"/>
        <n v="840.0"/>
        <n v="775.0"/>
        <n v="912.0"/>
        <n v="922.0"/>
        <n v="789.0"/>
        <n v="929.0"/>
        <n v="867.0"/>
        <n v="855.0"/>
        <n v="895.0"/>
        <n v="823.0"/>
        <n v="921.0"/>
        <n v="791.0"/>
        <n v="792.0"/>
        <n v="793.0"/>
        <n v="794.0"/>
        <n v="795.0"/>
        <n v="806.0"/>
        <n v="808.0"/>
        <n v="809.0"/>
        <n v="821.0"/>
        <n v="829.0"/>
        <n v="830.0"/>
        <n v="839.0"/>
        <n v="842.0"/>
        <n v="849.0"/>
        <n v="850.0"/>
        <n v="852.0"/>
        <n v="854.0"/>
        <n v="856.0"/>
        <n v="857.0"/>
        <n v="858.0"/>
        <n v="869.0"/>
        <n v="870.0"/>
        <n v="871.0"/>
        <n v="872.0"/>
        <n v="877.0"/>
        <n v="879.0"/>
        <n v="886.0"/>
        <n v="887.0"/>
        <n v="888.0"/>
        <n v="891.0"/>
        <n v="896.0"/>
        <n v="900.0"/>
        <n v="911.0"/>
        <n v="914.0"/>
        <n v="916.0"/>
        <n v="702.0"/>
        <n v="730.0"/>
        <n v="744.0"/>
        <n v="638.0"/>
        <n v="644.0"/>
        <n v="645.0"/>
        <n v="646.0"/>
        <n v="647.0"/>
        <n v="648.0"/>
        <n v="649.0"/>
        <n v="175.0"/>
        <n v="354.0"/>
        <n v="349.0"/>
        <n v="335.0"/>
        <n v="340.0"/>
        <n v="353.0"/>
        <n v="332.0"/>
        <n v="167.0"/>
        <n v="168.0"/>
        <n v="169.0"/>
        <n v="170.0"/>
        <n v="171.0"/>
        <n v="172.0"/>
        <n v="173.0"/>
        <n v="174.0"/>
        <n v="176.0"/>
        <n v="177.0"/>
        <n v="178.0"/>
        <n v="179.0"/>
        <n v="180.0"/>
        <n v="181.0"/>
        <n v="182.0"/>
        <n v="183.0"/>
        <n v="184.0"/>
        <n v="185.0"/>
        <n v="186.0"/>
        <n v="187.0"/>
        <n v="188.0"/>
        <n v="189.0"/>
        <n v="190.0"/>
        <n v="191.0"/>
        <n v="192.0"/>
        <n v="193.0"/>
        <n v="194.0"/>
        <n v="195.0"/>
        <n v="196.0"/>
        <n v="197.0"/>
        <n v="199.0"/>
        <n v="201.0"/>
        <n v="205.0"/>
        <n v="206.0"/>
        <n v="207.0"/>
        <n v="208.0"/>
        <n v="210.0"/>
        <n v="211.0"/>
        <n v="212.0"/>
        <n v="213.0"/>
        <n v="214.0"/>
        <n v="215.0"/>
        <n v="216.0"/>
        <n v="217.0"/>
        <n v="218.0"/>
        <n v="219.0"/>
        <n v="220.0"/>
        <n v="221.0"/>
        <n v="222.0"/>
        <n v="223.0"/>
        <n v="224.0"/>
        <n v="225.0"/>
        <n v="226.0"/>
        <n v="227.0"/>
        <n v="229.0"/>
        <n v="230.0"/>
        <n v="231.0"/>
        <n v="232.0"/>
        <n v="233.0"/>
        <n v="235.0"/>
        <n v="236.0"/>
        <n v="237.0"/>
        <n v="238.0"/>
        <n v="239.0"/>
        <n v="240.0"/>
        <n v="241.0"/>
        <n v="242.0"/>
        <n v="243.0"/>
        <n v="244.0"/>
        <n v="245.0"/>
        <n v="246.0"/>
        <n v="247.0"/>
        <n v="248.0"/>
        <n v="249.0"/>
        <n v="250.0"/>
        <n v="252.0"/>
        <n v="253.0"/>
        <n v="254.0"/>
        <n v="255.0"/>
        <n v="256.0"/>
        <n v="257.0"/>
        <n v="258.0"/>
        <n v="259.0"/>
        <n v="260.0"/>
        <n v="261.0"/>
        <n v="262.0"/>
        <n v="263.0"/>
        <n v="264.0"/>
        <n v="265.0"/>
        <n v="266.0"/>
        <n v="267.0"/>
        <n v="270.0"/>
        <n v="271.0"/>
        <n v="272.0"/>
        <n v="273.0"/>
        <n v="274.0"/>
        <n v="276.0"/>
        <n v="278.0"/>
        <n v="280.0"/>
        <n v="281.0"/>
        <n v="285.0"/>
        <n v="286.0"/>
        <n v="287.0"/>
        <n v="288.0"/>
        <n v="289.0"/>
        <n v="290.0"/>
        <n v="291.0"/>
        <n v="292.0"/>
        <n v="293.0"/>
        <n v="294.0"/>
        <n v="295.0"/>
        <n v="296.0"/>
        <n v="297.0"/>
        <n v="298.0"/>
        <n v="299.0"/>
        <n v="300.0"/>
        <n v="301.0"/>
        <n v="302.0"/>
        <n v="303.0"/>
        <n v="304.0"/>
        <n v="305.0"/>
        <n v="306.0"/>
        <n v="307.0"/>
        <n v="308.0"/>
        <n v="309.0"/>
        <n v="310.0"/>
        <n v="311.0"/>
        <n v="313.0"/>
        <n v="314.0"/>
        <n v="315.0"/>
        <n v="317.0"/>
        <n v="318.0"/>
        <n v="319.0"/>
        <n v="322.0"/>
        <n v="323.0"/>
        <n v="324.0"/>
        <n v="325.0"/>
        <n v="326.0"/>
        <n v="327.0"/>
        <n v="329.0"/>
        <n v="330.0"/>
        <n v="331.0"/>
        <n v="333.0"/>
        <n v="336.0"/>
        <n v="337.0"/>
        <n v="338.0"/>
        <n v="339.0"/>
        <n v="341.0"/>
        <n v="342.0"/>
        <n v="343.0"/>
        <n v="344.0"/>
        <n v="345.0"/>
        <n v="346.0"/>
        <n v="347.0"/>
        <n v="348.0"/>
        <n v="350.0"/>
        <n v="351.0"/>
        <n v="352.0"/>
        <n v="355.0"/>
        <n v="356.0"/>
        <n v="359.0"/>
        <n v="366.0"/>
        <n v="369.0"/>
        <n v="370.0"/>
        <n v="371.0"/>
        <n v="372.0"/>
        <n v="380.0"/>
        <n v="381.0"/>
        <n v="382.0"/>
        <n v="383.0"/>
        <n v="384.0"/>
        <n v="385.0"/>
        <n v="387.0"/>
        <n v="388.0"/>
        <n v="389.0"/>
        <n v="390.0"/>
        <n v="391.0"/>
        <n v="392.0"/>
        <n v="394.0"/>
        <n v="398.0"/>
        <n v="399.0"/>
        <n v="400.0"/>
        <n v="401.0"/>
        <n v="402.0"/>
        <n v="403.0"/>
        <n v="406.0"/>
        <n v="407.0"/>
        <n v="408.0"/>
        <n v="411.0"/>
        <n v="412.0"/>
        <n v="413.0"/>
        <n v="414.0"/>
        <n v="417.0"/>
        <n v="418.0"/>
        <n v="419.0"/>
        <n v="420.0"/>
        <n v="421.0"/>
        <n v="422.0"/>
        <n v="423.0"/>
        <n v="424.0"/>
        <n v="425.0"/>
        <n v="426.0"/>
        <n v="427.0"/>
        <n v="428.0"/>
        <n v="429.0"/>
        <n v="430.0"/>
        <n v="431.0"/>
        <n v="432.0"/>
        <n v="433.0"/>
        <n v="434.0"/>
        <n v="435.0"/>
        <n v="436.0"/>
        <n v="437.0"/>
        <n v="438.0"/>
        <n v="440.0"/>
        <n v="442.0"/>
        <n v="444.0"/>
        <n v="448.0"/>
        <n v="455.0"/>
        <n v="464.0"/>
        <n v="465.0"/>
        <n v="468.0"/>
        <n v="365.0"/>
        <n v="166.0"/>
        <n v="279.0"/>
        <n v="836.0"/>
        <n v="92.0"/>
        <n v="757.0"/>
        <n v="694.0"/>
        <n v="717.0"/>
        <n v="700.0"/>
        <n v="684.0"/>
        <n v="685.0"/>
        <n v="689.0"/>
        <n v="688.0"/>
        <n v="693.0"/>
        <n v="695.0"/>
        <n v="696.0"/>
        <n v="701.0"/>
        <n v="703.0"/>
        <n v="704.0"/>
        <n v="705.0"/>
        <n v="711.0"/>
        <n v="713.0"/>
        <n v="714.0"/>
        <n v="718.0"/>
        <n v="726.0"/>
        <n v="727.0"/>
        <n v="728.0"/>
        <n v="731.0"/>
        <n v="735.0"/>
        <n v="760.0"/>
        <n v="712.0"/>
        <n v="746.0"/>
        <n v="751.0"/>
        <n v="755.0"/>
        <n v="776.0"/>
        <n v="771.0"/>
        <n v="772.0"/>
        <n v="778.0"/>
        <n v="140.0"/>
        <n v="141.0"/>
        <n v="142.0"/>
        <n v="144.0"/>
        <n v="145.0"/>
        <n v="146.0"/>
        <n v="147.0"/>
        <n v="148.0"/>
        <n v="150.0"/>
        <n v="151.0"/>
        <n v="152.0"/>
        <n v="769.0"/>
        <n v="801.0"/>
        <n v="203.0"/>
        <n v="204.0"/>
        <n v="469.0"/>
        <n v="470.0"/>
        <n v="473.0"/>
        <n v="474.0"/>
        <n v="475.0"/>
        <n v="476.0"/>
        <n v="480.0"/>
        <n v="482.0"/>
        <n v="485.0"/>
        <n v="486.0"/>
        <n v="487.0"/>
        <n v="488.0"/>
        <n v="490.0"/>
        <n v="491.0"/>
        <n v="492.0"/>
        <n v="493.0"/>
        <n v="495.0"/>
        <n v="496.0"/>
        <n v="497.0"/>
        <n v="498.0"/>
        <n v="499.0"/>
        <n v="500.0"/>
        <n v="501.0"/>
        <n v="509.0"/>
        <n v="511.0"/>
        <n v="552.0"/>
        <n v="554.0"/>
        <n v="555.0"/>
        <n v="577.0"/>
        <n v="579.0"/>
        <n v="583.0"/>
        <n v="585.0"/>
        <n v="586.0"/>
        <n v="588.0"/>
        <n v="596.0"/>
        <n v="597.0"/>
        <n v="600.0"/>
        <n v="601.0"/>
        <n v="602.0"/>
        <n v="606.0"/>
        <n v="607.0"/>
        <n v="613.0"/>
        <n v="614.0"/>
        <n v="615.0"/>
        <n v="616.0"/>
        <n v="617.0"/>
        <n v="618.0"/>
        <n v="634.0"/>
        <n v="640.0"/>
      </sharedItems>
    </cacheField>
    <cacheField name="Código" numFmtId="0">
      <sharedItems>
        <s v="PRD20182"/>
        <s v="TJG201940"/>
        <s v="PRS20172"/>
        <s v="PRD20172"/>
        <s v="PRD201409"/>
        <s v="PRD201406"/>
        <s v="PJB201101"/>
        <s v="PEH201824"/>
        <s v="PRD20181"/>
        <s v="PRD201410"/>
        <s v="PEH201823"/>
        <s v="PRD201408"/>
        <s v="PTA201001"/>
        <s v="PRD20201"/>
        <s v="PJV201607"/>
        <s v="PRD20191"/>
        <s v="PRD201412"/>
        <s v="PRD201404"/>
        <s v="PRD201407"/>
        <s v="PEH201826"/>
        <s v="PJV201608"/>
        <s v="PMO201304"/>
        <s v="PRD201413"/>
        <s v="COE200901/PEM200901"/>
        <s v="PRD201419"/>
        <s v="PJB201603"/>
        <s v="PAS201603"/>
        <s v="PEH201804"/>
        <s v="PEH201803"/>
        <s v="PRD20192"/>
        <s v="PEH201825"/>
        <s v="PJB201601"/>
        <s v="PMD201801"/>
        <s v="PEH201829"/>
        <s v="PRD201401"/>
        <s v="PJB201602"/>
        <s v="PNA201001"/>
        <s v="PED20211"/>
        <s v="PEH201809"/>
        <s v="PEH201805"/>
        <s v="PRD201414"/>
        <s v="PEH201808"/>
        <s v="PEH201807"/>
        <s v="PAS201618"/>
        <s v="PEH201814"/>
        <s v="PRD201418"/>
        <s v="PEH201603"/>
        <s v="PMD20191"/>
        <s v="POE201301/PMO201306"/>
        <s v="PEH201828"/>
        <s v="PAS201613"/>
        <s v="POE201305"/>
        <s v="PMO201307"/>
        <s v="PAS201619"/>
        <s v="PAS201712"/>
        <s v="PNA201203"/>
        <s v="PEH201810"/>
        <s v="PAS201629"/>
        <s v="PEH201811"/>
        <s v="PEH201812"/>
        <s v="PEH201813"/>
        <s v="PNA201204"/>
        <s v="PEH201817"/>
        <s v="PEH201822"/>
        <s v="PEH201821"/>
        <s v="PJB201301"/>
        <s v="PEH20201"/>
        <s v="PDC201602"/>
        <s v="PAS201617"/>
        <s v="PEH201819"/>
        <s v="PAS201713"/>
        <s v="PJP201013"/>
        <s v="PAS201612"/>
        <s v="PNA201205"/>
        <s v="PEH201702"/>
        <s v="PEH201801"/>
        <s v="PTA200901"/>
        <s v="PEM201001"/>
        <s v="POE201202"/>
        <s v="PJP201006"/>
        <s v="POE201203"/>
        <s v="PEM200902"/>
        <s v="PRD201411"/>
        <s v="COE201342/PMO201303"/>
        <s v="PEH201701"/>
        <s v="PAS201628"/>
        <s v="PAS201609"/>
        <s v="PMO201301"/>
        <s v="PMO201302"/>
        <s v="PMO201305"/>
        <s v="PAS201502"/>
        <s v="PJV201606"/>
        <s v="POE201401/PRD201416"/>
        <s v="PRD201415"/>
        <s v="COE201801.6/CRS201801"/>
        <s v="CSS20181"/>
        <s v="CSS20183"/>
        <s v="CSS20182"/>
        <s v="CNS20231"/>
        <s v="COP20231"/>
        <s v="CNS20216"/>
        <s v="CNS202110"/>
        <s v="CAS201402; CES201402"/>
        <s v="CGS200706"/>
        <s v="CJG20231"/>
        <s v="CNS20201"/>
        <s v="CNS20196"/>
        <s v="CNS20202"/>
        <s v="CNS20229"/>
        <s v="CGS200809"/>
        <s v="CNS202210"/>
        <s v="CES201401; CAS201401"/>
        <s v="CLP201503; CPP201503"/>
        <s v="CLP201504; CPP201504"/>
        <s v="CLP201501; CPP201501"/>
        <s v="CLP201502; CPP201502"/>
        <s v="CRAS200602"/>
        <s v="COE201003.2/CNA201003"/>
        <s v="CRAS200902"/>
        <s v="CRS201802"/>
        <s v="COE200908/CRAS200901"/>
        <s v="CRAS200903"/>
        <s v="CRS201601"/>
        <s v="CRS201701"/>
        <s v="CSS20231"/>
        <s v="CSS20224"/>
        <s v="CRAS201002"/>
        <s v="CRS201803"/>
        <s v="C20201"/>
        <s v="CRS201805"/>
        <s v="COE200702.2/CRAS200703"/>
        <s v="CRS201804"/>
        <s v="CNJ20201"/>
        <s v="COE201003.5/CWS201001"/>
        <s v="COE201003.8/CWS201002"/>
        <s v="CAS201703"/>
        <s v="CRS201605"/>
        <s v="CRS201604"/>
        <s v="CRS201807"/>
        <s v="CAS201101"/>
        <s v="CGS200811"/>
        <s v="CES201702"/>
        <s v="CFS201704"/>
        <s v="CRS201806"/>
        <s v="CSS201901"/>
        <s v="CGS200812"/>
        <s v="CNS20213"/>
        <s v="CNS20215"/>
        <s v="CNS20228"/>
        <s v="CNS20212"/>
        <s v="CNS20214"/>
        <s v="CNS20195"/>
        <s v="CSS201605"/>
        <s v="CNS202211"/>
        <s v="CNS20233"/>
        <s v="CIC201002"/>
        <s v="CNS20193"/>
        <s v="CNS20194"/>
        <s v="COE201542.5"/>
        <s v="COE201502"/>
        <s v="CRAS200601"/>
        <s v="COE201402"/>
        <s v="CAS201615"/>
        <s v="COE201542.4"/>
        <s v="COE201405"/>
        <s v="COE201705/CAS201705"/>
        <s v="COE200702.1/CGS200703"/>
        <s v="CIC201003"/>
        <s v="COE201704/CAS201704"/>
        <s v="CGS200704"/>
        <s v="CAS201610"/>
        <s v="TTX20211"/>
        <s v="CAS201609"/>
        <s v="CAS201608"/>
        <s v="CAS201611"/>
        <s v="CAS201607"/>
        <s v="CAS201612"/>
        <s v="CAS201613"/>
        <s v="CAS201606"/>
        <s v="CAS201605"/>
        <s v="CAS201604"/>
        <s v="CAS201618"/>
        <s v="CAS201617"/>
        <s v="CAS201619"/>
        <s v="CAS201616"/>
        <s v="CAS201620"/>
        <s v="CAS201614"/>
        <s v="CNS20192"/>
        <s v="CNS20191"/>
        <s v="CWH20192"/>
        <s v="CRP201001"/>
        <s v="CWH20196"/>
        <s v="COE200907.1/CJV200901"/>
        <s v="CJV201001"/>
        <s v="CWH20191"/>
        <s v="CEH200702"/>
        <s v="CWH20194"/>
        <s v="COE201003.3/CRP201002"/>
        <s v="CBM20231"/>
        <s v="CTW201602"/>
        <s v="COE200903/CJC200901"/>
        <s v="CJC200602"/>
        <s v="CNA201007"/>
        <s v="COE201003.6/CJV201003"/>
        <s v="CJV201501"/>
        <s v="PAS201023"/>
        <s v="PAS201022"/>
        <s v="PAS201018"/>
        <s v="PAS201017"/>
        <s v="TVS20181"/>
        <s v="TVS20182"/>
        <s v="TJG201938"/>
        <s v="TJG201937"/>
        <s v="TJG201939"/>
        <s v="TJG201941"/>
        <s v="THI20211"/>
        <s v="TJG201943"/>
        <s v="TJG201942"/>
        <s v="TJG201960"/>
        <s v="TJG201944"/>
        <s v="TJG201961"/>
        <s v="TJG201963"/>
        <s v="PJV201602"/>
        <s v="TJG201962"/>
        <s v="TJG201946"/>
        <s v="TJG201945"/>
        <s v="TTO20231"/>
        <s v="TJG201964"/>
        <s v="TJG201951"/>
        <s v="TJG201966"/>
        <s v="TJG201947"/>
        <s v="TJG201956"/>
        <s v="TJG201965"/>
        <s v="TJG201967"/>
        <s v="TJG201948"/>
        <s v="TJG201968"/>
        <s v="TJG201959"/>
        <s v="TJG201977"/>
        <s v="THC20201"/>
        <s v="TXX20211"/>
        <s v="PAS201006"/>
        <s v="TJG201976"/>
        <s v="TOE201704.2/TGV201703"/>
        <s v="PAS201008"/>
        <s v="PAS201009"/>
        <s v="TJG201949"/>
        <s v="TJG201975"/>
        <s v="TOE201701/TJO201707"/>
        <s v="TJG201957"/>
        <s v="PAS201010"/>
        <s v="TOE201503/TGS201603"/>
        <s v="TOE201601/TGS201604"/>
        <s v="TVS201601"/>
        <s v="TJG201969"/>
        <s v="TTO20213"/>
        <s v="TJG201952"/>
        <s v="TOE201703/TGS201703"/>
        <s v="TMO201701"/>
        <s v="TOE201604/TJO201601"/>
        <s v="TJG201974"/>
        <s v="TJG201950"/>
        <s v="TOE201702/TJO201704"/>
        <s v="TTO20223"/>
        <s v="TJG201958"/>
        <s v="TTO20227"/>
        <s v="TJG201973"/>
        <s v="TJG201972"/>
        <s v="TTO20228"/>
        <s v="TJG201955"/>
        <s v="TGV201701"/>
        <s v="TJG201970"/>
        <s v="TJG201971"/>
        <s v="TJG201953"/>
        <s v="TOD200101"/>
        <s v="TTO20222"/>
        <s v="TGS201601"/>
        <s v="PAS201028"/>
        <s v="TOE201801.2/TVS201801"/>
        <s v="TJG201954"/>
        <s v="TTO20212"/>
        <s v="TAS201708"/>
        <s v="PAS201029"/>
        <s v="TGS201607"/>
        <s v="TOD201701"/>
        <s v="TOE201601"/>
        <s v="TGS201602"/>
        <s v="TRD201701"/>
        <s v="CFS201504"/>
        <s v="CFS201503"/>
        <s v="PJV201603"/>
        <s v="PJV201604"/>
        <s v="COE201335.1"/>
        <s v="COE201335.2"/>
        <s v="CPP201401"/>
        <s v="COE201335.5"/>
        <s v="COE201101/CNA201101"/>
        <s v="COE201335.6"/>
        <s v="CFD20183"/>
        <s v="TJG201921"/>
        <s v="TJG201920"/>
        <s v="TJG201922"/>
        <s v="TJG201925"/>
        <s v="TJG201924"/>
        <s v="TJG201923"/>
        <s v="TES201701"/>
        <s v="CFD20182"/>
        <s v="COE201335.4"/>
        <s v="COE201335.3"/>
        <s v="CFD20181"/>
        <s v="CNA201401"/>
        <s v="CSG201401"/>
        <s v="TNA201501"/>
        <s v="CFD201701"/>
        <s v="TJG201915"/>
        <s v="COE201406"/>
        <s v="TJG201935"/>
        <s v="COE201401"/>
        <s v="CFD201804"/>
        <s v="COE201707/CFD201801"/>
        <s v="CFD20184"/>
        <s v="TAS20191"/>
        <s v="TAS20192"/>
        <s v="TJG20198"/>
        <s v="TAS201810"/>
        <s v="TJG201919"/>
        <s v="CFD20191"/>
        <s v="CFD20186"/>
        <s v="CFD20192"/>
        <s v="CFD20185"/>
        <s v="TJG201934"/>
        <s v="TAS20193"/>
        <s v="TAS201715"/>
        <s v="TAS20194"/>
        <s v="TAS201919"/>
        <s v="TAS20189"/>
        <s v="TAS201918"/>
        <s v="TAS20186"/>
        <s v="TJG201917"/>
        <s v="TJG201918"/>
        <s v="TOG20181&#10;TES20181"/>
        <s v="TJG20197"/>
        <s v="TAS20195"/>
        <s v="TNA201502"/>
        <s v="TJG201933"/>
        <s v="TAS20187"/>
        <s v="TAS20196"/>
        <s v="TAS201704"/>
        <s v="TAS201912"/>
        <s v="TES201702"/>
        <s v="TAS201911"/>
        <s v="TAS201714"/>
        <s v="TAS20185"/>
        <s v="TAS201914"/>
        <s v="TJG201910"/>
        <s v="TJG201913"/>
        <s v="TAS20188"/>
        <s v="TJG20191"/>
        <s v="TAS20184"/>
        <s v="TAS201910"/>
        <s v="TJG201916"/>
        <s v="TJG201926"/>
        <s v="TJG20199"/>
        <s v="TJG20192"/>
        <s v="TAS201920"/>
        <s v="TAS20182"/>
        <s v="TJG201930"/>
        <s v="TJG20195"/>
        <s v="TJG201936"/>
        <s v="TJG201927"/>
        <s v="TAS201915"/>
        <s v="TJG201914"/>
        <s v="TAS201913"/>
        <s v="TJG201931"/>
        <s v="TJG201928"/>
        <s v="TJG201911"/>
        <s v="TJG201929"/>
        <s v="TJG201912"/>
        <s v="TAS20198"/>
        <s v="TAS20181"/>
        <s v="TJG20194"/>
        <s v="TAS201916"/>
        <s v="TAS201702"/>
        <s v="TAS201917"/>
        <s v="TJG20196"/>
        <s v="TVS201602"/>
        <s v="TNA201503"/>
        <s v="COE201708/CFD201803"/>
        <s v="TAS20199"/>
        <s v="TJG20193"/>
        <s v="TAS20197&#10;TES20191"/>
        <s v="TAS20183"/>
        <s v="TJG201932"/>
        <s v="COE201710/CFD201802"/>
        <s v="CFD20187"/>
        <s v="CSES200901"/>
        <s v="CJG201402"/>
        <s v="COE201335.22"/>
        <s v="COE201335.21"/>
        <s v="COE201335.20"/>
        <s v="CEV200601"/>
        <s v="COE201335.16"/>
        <s v="CNA201501"/>
        <s v="COE201335.15"/>
        <s v="COE201335.13"/>
        <s v="COE201335.14"/>
        <s v="CFS201501"/>
        <s v="CEA201401; CJJ201401"/>
        <s v="COE201620"/>
        <s v="COE201335.7"/>
        <s v="COE201335.9"/>
        <s v="COE201335.8"/>
        <s v="COE201335.10"/>
        <s v="COE201335.11"/>
        <s v="COE201335.12"/>
        <s v="COE201335.19"/>
        <s v="COE201335.18"/>
        <s v="COE201335.17"/>
        <s v="CTS201401"/>
        <s v="CEV200613"/>
        <s v="CEV200612"/>
        <s v="COE201210/CWS201201"/>
        <s v="COE201403"/>
        <s v="CWA201401"/>
        <s v="CWA201402"/>
        <s v="COE201106/CWS201101"/>
        <s v="CFS201603"/>
        <s v="CFS201611"/>
        <s v="COE201003.1/CWS201006"/>
        <s v="COE201335.23"/>
        <s v="COE201318"/>
        <s v="CFS201711"/>
        <s v="CFS201514"/>
        <s v="CFS201608"/>
        <s v="CFS201607"/>
        <s v="CWS200711"/>
        <s v="CMO200801"/>
        <s v="CFS201801"/>
        <s v="CWS200903"/>
        <s v="COE201207"/>
        <s v="COE201803/CFS201801"/>
        <s v="COE201335.41"/>
        <s v="CFS201517"/>
        <s v="CFS20182"/>
        <s v="COE201335.27"/>
        <s v="CFS201519"/>
        <s v="CFS201510"/>
        <s v="CWS200805"/>
        <s v="COE201335.25"/>
        <s v="CWS201102"/>
        <s v="CWS200801"/>
        <s v="CWS201005"/>
        <s v="CFS201509"/>
        <s v="CWS200904"/>
        <s v="CWS20191"/>
        <s v="CFS201712"/>
        <s v="COE201335.26"/>
        <s v="CWH20193"/>
        <s v="CFS201520"/>
        <s v="COE201002/CWS201003"/>
        <s v="CFS201401"/>
        <s v="CFS201610"/>
        <s v="COE201512/CFS201508"/>
        <s v="CCJ20191"/>
        <s v="CFS201713"/>
        <s v="CFS201710"/>
        <s v="COE201335.40"/>
        <s v="COE201335.38"/>
        <s v="CFS201507"/>
        <s v="MJP2022"/>
        <s v="CFS201512"/>
        <s v="COE199401"/>
        <s v="CWS20181"/>
        <s v="COE201702/CFS201706"/>
        <s v="COE201335.28"/>
        <s v="COE201335.29"/>
        <s v="CFS201518"/>
        <s v="CFS201513"/>
        <s v="COE201335.36"/>
        <s v="CWS200713"/>
        <s v="CFS201709"/>
        <s v="COE201335.37"/>
        <s v="CFS201708"/>
        <s v="CWS20192"/>
        <s v="COE201335.31"/>
        <s v="COE201335.32"/>
        <s v="CNP200713"/>
        <s v="COE201335.30"/>
        <s v="CWS20183"/>
        <s v="COE199402"/>
        <s v="CWS20182"/>
        <s v="CFS201505"/>
        <s v="COE201335.35"/>
        <s v="CFS201715"/>
        <s v="COE201335.34"/>
        <s v="CFS20201"/>
        <s v="CFS201506"/>
        <s v="CWS200901"/>
        <s v="CFS201511"/>
        <s v="COE201335.33"/>
        <s v="COE201335.39"/>
        <s v="CWS200902"/>
        <s v="CFS201604"/>
        <s v="CFS201516"/>
        <s v="COE201404"/>
        <s v="CFS201515"/>
        <s v="MSV20222"/>
        <s v="COE201623/CFS201604"/>
        <s v="CSS201603"/>
        <s v="CSS201602"/>
        <s v="CRS201606"/>
        <s v="CSS201604"/>
        <s v="CGS201001"/>
        <s v="TDP201704"/>
        <s v="CWC201702"/>
        <s v="TRC198701"/>
        <s v="TJC199501"/>
        <s v="PAS201616"/>
        <s v="PAS201614"/>
        <s v="PAS201615"/>
        <s v="PEH201606"/>
        <s v="PEH201607"/>
        <s v="PEH201608"/>
        <s v="PJP201601"/>
        <s v="PJP201602"/>
        <s v="PRD201601"/>
        <s v="PRD201602"/>
        <s v="PDC201601"/>
        <s v="PJV201601"/>
        <s v="PJV201609"/>
        <s v="PNA201601"/>
        <s v="PMD201602"/>
        <s v="PMD201603"/>
        <s v="CSS201601"/>
        <s v="CRS201603"/>
        <s v="CFS201602"/>
        <s v="TGS201701"/>
        <s v="CES201705"/>
        <s v="TAS201711"/>
        <s v="PAS201703"/>
        <s v="TJO201706"/>
        <s v="PEH201703"/>
        <s v="TAS201707"/>
        <s v="TEP201702"/>
        <s v="TJG201701"/>
        <s v="TJO201705"/>
        <s v="PEH20181"/>
        <s v="CES201701"/>
        <s v="CES201703"/>
        <s v="CES201704"/>
        <s v="TRS201701"/>
        <s v="PEH201816"/>
        <s v="TVS201802"/>
        <s v="PAS201707"/>
        <s v="CWC201801"/>
        <s v="TGS201705"/>
        <s v="PAS201709"/>
        <s v="CRS201808"/>
        <s v="TJAC201702"/>
        <s v="TVS201803"/>
        <s v="PAS201708"/>
        <s v="PAS201704"/>
        <s v="PAS201705"/>
        <s v="PAS201706"/>
        <s v="PAA201701"/>
        <s v="PMO201701"/>
        <s v="TAS201706"/>
        <s v="TJAC201701"/>
        <s v="TDP201703"/>
        <s v="TEP201701"/>
        <s v="CAS201706"/>
        <s v="CAS201707"/>
        <s v="TAS201703"/>
        <s v="TAS201705"/>
        <s v="CFS201707"/>
        <s v="CFS201701"/>
        <s v="TEUP201702"/>
        <s v="PAS201710"/>
        <s v="PAS201711"/>
        <s v="CNA201702"/>
        <s v="TJAC201703"/>
        <s v="TGV201702"/>
        <s v="CNA201701"/>
        <s v="PJB201701"/>
        <s v="TAS201713"/>
        <s v="PMD201701"/>
        <s v="PAS201801"/>
        <s v="PEH201802"/>
        <s v="PEH201827"/>
        <s v="PAS201802"/>
        <s v="PAS201803"/>
        <s v="PEH201806"/>
        <s v="PEH201815"/>
        <s v="PEH201818"/>
        <s v="PEH201820"/>
        <s v="CFS201605"/>
        <s v="CFS201606"/>
        <s v="CFS201609"/>
        <s v="CFS201521"/>
        <s v="T2016RC01"/>
        <s v="TRS201601"/>
        <s v="CTW201601"/>
        <s v="CFD201601"/>
        <s v="CFD201602"/>
        <s v="CFD201603"/>
        <s v="TRC200601"/>
        <s v="COE200804.1/CSW200803"/>
        <s v="CRAS200813"/>
        <s v="CEH200803"/>
        <s v="COE200804.5/CCS200801"/>
        <s v="COE200804.4/CSW200808"/>
        <s v="CFD200801"/>
        <s v="CNA200301"/>
        <s v="CEV200602"/>
        <s v="CEV200603"/>
        <s v="CEV200604"/>
        <s v="CEV200605"/>
        <s v="CEV200606"/>
        <s v="CEV200607"/>
        <s v="CEV200608"/>
        <s v="CGD200601"/>
        <s v="CJC200601"/>
        <s v="CNA200606"/>
        <s v="CNA200608"/>
        <s v="CNA200609"/>
        <s v="CNA200612"/>
        <s v="CNA200613"/>
        <s v="CNA200614"/>
        <s v="CNA200615"/>
        <s v="CNA200645"/>
        <s v="CNA200647"/>
        <s v="CNA200604"/>
        <s v="CNA200611"/>
        <s v="CNA200619"/>
        <s v="CNA200620"/>
        <s v="CNA200640"/>
        <s v="CNA200641"/>
        <s v="CNA200642"/>
        <s v="CNA200623"/>
        <s v="CNA200636"/>
        <s v="CNA200622"/>
        <s v="CWS200601"/>
        <s v="CWS200602"/>
        <s v="CEV200609"/>
        <s v="CEV200610"/>
        <s v="CEV200611"/>
        <s v="CNA200633"/>
        <s v="COE200601.3/CEH200601"/>
        <s v="CNA200601"/>
        <s v="CNA200616"/>
        <s v="CNA200624"/>
        <s v="CNA200625"/>
        <s v="CNA200626"/>
        <s v="CNA200627"/>
        <s v="CNA200628"/>
        <s v="CNA200629"/>
        <s v="CNA200630"/>
        <s v="CNA200631"/>
        <s v="CNA200632"/>
        <s v="CNA200634"/>
        <s v="CNA200602"/>
        <s v="CNA200603"/>
        <s v="CNA200605"/>
        <s v="CNA200607"/>
        <s v="CNA200646"/>
        <s v="CNA200644"/>
        <s v="CNA200635"/>
        <s v="CNA200618"/>
        <s v="CNA200621"/>
        <s v="CNA200638"/>
        <s v="CNA200639"/>
        <s v="CNA200617"/>
        <s v="COE200601.5/CNA200637"/>
        <s v="CNP200701"/>
        <s v="CNP200702"/>
        <s v="CNP200703"/>
        <s v="CNP200704"/>
        <s v="CWS200701"/>
        <s v="CWS200702"/>
        <s v="CWS200703"/>
        <s v="CWS200704"/>
        <s v="CWS200705"/>
        <s v="CWS200706"/>
        <s v="CWS200707"/>
        <s v="CWS200708"/>
        <s v="CRAS200701"/>
        <s v="CRAS200702"/>
        <s v="CGS200705"/>
        <s v="CGS200701"/>
        <s v="CWS200709"/>
        <s v="CGS200702"/>
        <s v="CRAS200704"/>
        <s v="CGD200701"/>
        <s v="CGD200702"/>
        <s v="CGD200703"/>
        <s v="CNP200705"/>
        <s v="CNP200706"/>
        <s v="CNP200707"/>
        <s v="CNP200708"/>
        <s v="CNP200709"/>
        <s v="CNP200710"/>
        <s v="CNP200711"/>
        <s v="CNP200712"/>
        <s v="CEH200703"/>
        <s v="CEH200704"/>
        <s v="CRAS200705"/>
        <s v="CJC200803"/>
        <s v="CWS200710"/>
        <s v="CWS200712"/>
        <s v="CRAS200706"/>
        <s v="CRAS200707"/>
        <s v="CWS200714"/>
        <s v="COE200702.3/CEH200701"/>
        <s v="CRAS200805"/>
        <s v="CSW200809"/>
        <s v="CSW200810"/>
        <s v="CWS200808"/>
        <s v="CWS200809"/>
        <s v="CWS200810"/>
        <s v="CWS200814"/>
        <s v="CEH200801"/>
        <s v="CRAS200801"/>
        <s v="CGS200802"/>
        <s v="CEH200802"/>
        <s v="CGS200803"/>
        <s v="CEH200804"/>
        <s v="CGS200805"/>
        <s v="CGS200806"/>
        <s v="CGS200807"/>
        <s v="CGS200808"/>
        <s v="CAUS200801"/>
        <s v="CAUS200802"/>
        <s v="CAUS200803"/>
        <s v="CAUS200804"/>
        <s v="CAUS200805"/>
        <s v="CAUS200806"/>
        <s v="CAUS200807"/>
        <s v="CAUS200808"/>
        <s v="CAUS200809"/>
        <s v="CRAS200802"/>
        <s v="CWS200818"/>
        <s v="CSW200801"/>
        <s v="CWS200802"/>
        <s v="CWS200803"/>
        <s v="CWS200804"/>
        <s v="CWS200806"/>
        <s v="CWS200807"/>
        <s v="CRAS200803"/>
        <s v="CGS200810"/>
        <s v="CRAS200804"/>
        <s v="CSW200802"/>
        <s v="CSW200806"/>
        <s v="CWS200811"/>
        <s v="CWS200812"/>
        <s v="CJC200801"/>
        <s v="CGS200804"/>
        <s v="CJC200802"/>
        <s v="CCS200802"/>
        <s v="CCS200803"/>
        <s v="CWS200815"/>
        <s v="CRAS200806"/>
        <s v="CRAS200807"/>
        <s v="CRAS200808"/>
        <s v="CRAS200809"/>
        <s v="CRAS200810"/>
        <s v="CRAS200811"/>
        <s v="CRAS200812"/>
        <s v="CRAS200814"/>
        <s v="CWS200816"/>
        <s v="CWS200817"/>
        <s v="COE200804.2/CWS200813"/>
        <s v="COE200804.3/CSW200805"/>
        <s v="CNA200905"/>
        <s v="CNA200906"/>
        <s v="CNA200901"/>
        <s v="CNA200902"/>
        <s v="CNA200903"/>
        <s v="CNA200904"/>
        <s v="PJP201014"/>
        <s v="PJP201001"/>
        <s v="PJP201002"/>
        <s v="PJP201003"/>
        <s v="PJP201004"/>
        <s v="PJP201005"/>
        <s v="PJP201007"/>
        <s v="PJP201008"/>
        <s v="PJP201009"/>
        <s v="PJP201010"/>
        <s v="PJP201011"/>
        <s v="PJP201012"/>
        <s v="PAS201007"/>
        <s v="PAS201011"/>
        <s v="PAS201012"/>
        <s v="PAS201013"/>
        <s v="PAS201014"/>
        <s v="PAS201015"/>
        <s v="PAS201016"/>
        <s v="PAS201019"/>
        <s v="PAS201020"/>
        <s v="PAS201021"/>
        <s v="PAS201024"/>
        <s v="PAS201025"/>
        <s v="PAS201026"/>
        <s v="PAS201027"/>
        <s v="PAS201030"/>
        <s v="PAS201031"/>
        <s v="PAS201032"/>
        <s v="PAS201033"/>
        <s v="PAS201034"/>
        <s v="PAS201035"/>
        <s v="PAS201036"/>
        <s v="PAS201037"/>
        <s v="PAS201038"/>
        <s v="PAS201039"/>
        <s v="PAS201040"/>
        <s v="PAS201001"/>
        <s v="PAS201002"/>
        <s v="PAS201003"/>
        <s v="PAS201004"/>
        <s v="PAS201041"/>
        <s v="PAS201042"/>
        <s v="PAS201043"/>
        <s v="PAS201044"/>
        <s v="PAS201005"/>
        <s v="CNA201001"/>
        <s v="CIC201001"/>
        <s v="CJV201002"/>
        <s v="CWS201004"/>
        <s v="CNA201004"/>
        <s v="PNA201003"/>
        <s v="PNA201002"/>
        <s v="PNA201101"/>
        <s v="CJV201101"/>
        <s v="PAS201101"/>
        <s v="CAS200901"/>
        <s v="TRC200201"/>
        <s v="TJC200701"/>
        <s v="CAS201702"/>
        <s v="CWH20195"/>
        <s v="TGS201605"/>
        <s v="PJV201605"/>
        <s v="PAS201620"/>
        <s v="PAS201604"/>
        <s v="CAS201601"/>
        <s v="PAS201601"/>
        <s v="CAS201602"/>
        <s v="PEH201601"/>
        <s v="PEH201602"/>
        <s v="PAS201602"/>
        <s v="CAS201603"/>
        <s v="PAS201605"/>
        <s v="PAS201606"/>
        <s v="PAS201607"/>
        <s v="PAS201608"/>
        <s v="PAS201622"/>
        <s v="PAS201624"/>
        <s v="PAS201625"/>
        <s v="PAS201621"/>
        <s v="PAS201610"/>
        <s v="PEH201604"/>
        <s v="PEH201605"/>
        <s v="PAS201611"/>
        <s v="PAS201626"/>
        <s v="TGS201606"/>
        <s v="PAS201623"/>
        <s v="PMD201604"/>
        <s v="CRS201602"/>
        <s v="PAA201601"/>
        <s v="TJO201702"/>
        <s v="TGS201704"/>
        <s v="TGS201702"/>
        <s v="TJO201703"/>
        <s v="TDC198501"/>
        <s v="TAS199501"/>
        <s v="TAS199502"/>
        <s v="TAS199503"/>
        <s v="TDC199501"/>
        <s v="CEH199501"/>
        <s v="TJX201701"/>
        <s v="TJX201702"/>
        <s v="CFS199601"/>
        <s v="CAS199901"/>
        <s v="TEP200001"/>
        <s v="TEP200002"/>
        <s v="TJX201703"/>
        <s v="PAS201702"/>
        <s v="CJG200601"/>
        <s v="CJG200602"/>
        <s v="PAS201102"/>
        <s v="PAS201103"/>
        <s v="CNA201202"/>
        <s v="PNA201201"/>
        <s v="PNA201202"/>
        <s v="PRD201202"/>
        <s v="CNA201201"/>
        <s v="PRD201201"/>
        <s v="CJV201301"/>
        <s v="CJV201302"/>
        <s v="CJV201303"/>
        <s v="CJV201304"/>
        <s v="CJV201305"/>
        <s v="CJV201306"/>
        <s v="CJV201307"/>
        <s v="CNA201306"/>
        <s v="CNA201303"/>
        <s v="CNA201304"/>
        <s v="CNA201305"/>
        <s v="CNA201307"/>
        <s v="CNA201308"/>
        <s v="CNA201309"/>
        <s v="CNA201310"/>
        <s v="CNA201302"/>
        <s v="CNA201301"/>
        <s v="COE201336"/>
        <s v="POE201402.1"/>
        <s v="POE201402.2"/>
        <s v="PRD201417"/>
        <s v="PRD201420"/>
        <s v="CIS201401"/>
        <s v="PRD201402"/>
        <s v="PRD201403"/>
        <s v="PRD201405"/>
        <s v="TJC201501"/>
        <s v="TEP201501"/>
        <s v="POE201503/PRD201501"/>
        <s v="PRD201502"/>
        <s v="PRD201503"/>
        <s v="CST201501"/>
        <s v="CGS201501"/>
        <s v="PRD201505"/>
        <s v="CES201501"/>
        <s v="PRD201506"/>
        <s v="PRD201509"/>
        <s v="PRD201507"/>
        <s v="PRD201508"/>
        <s v="PAS201503"/>
        <s v="PAS201501"/>
      </sharedItems>
    </cacheField>
    <cacheField name="Federación" numFmtId="0">
      <sharedItems>
        <s v="FEDIQUEP"/>
        <s v="OPIKAFPE"/>
        <s v="OEFA, FEDIQUEP"/>
        <s v="OEFA, FECONACO"/>
        <s v="FECONACOR"/>
        <s v="FECONACO"/>
        <s v="OSINERGMIN, FECONACO"/>
        <s v="OEFA, OSINERGMIN, FECONACO"/>
        <s v="OEFA,. FECONACO"/>
        <s v="OEFA, OPIKAFPE"/>
        <s v="ACODECOSPAT"/>
      </sharedItems>
    </cacheField>
    <cacheField name="Fuente de información" numFmtId="0">
      <sharedItems>
        <s v="Informe ODK"/>
        <s v="INFORME N° 001-2019-MONITOR AMBIENTAL/ ALTO TIGRE 12 de Octubre"/>
        <s v="Registro GPS y Formulario en papel"/>
        <s v="."/>
        <s v="Mensaje de texto"/>
        <s v="odk"/>
        <s v="Mapeo"/>
        <s v="Lista de emergencias ambientales, odk"/>
        <s v="Actas administrativas, Informe OEFA"/>
        <s v="Cuaderno"/>
        <s v="Entrevista"/>
        <s v="Formulario en papel"/>
        <s v="Lista de emergencias ambientales"/>
        <s v="Informe OEFA"/>
        <s v="Lista de emergencias ambientales, Informe OEFA"/>
        <s v="ODK informe"/>
        <s v="Fotos"/>
        <s v="Video"/>
        <s v="OEFA"/>
        <s v="Actas administrativas, Lista de emergencias ambientales, Informe OEFA"/>
        <s v="Actas administrativas, Lista de emergencias ambientales, Lista de incidentes ambientales, Informe OEFA"/>
        <s v="Informe judicial, Informe OEFA"/>
        <s v="INFORME N° 001-2019-MONITOR AMBIENTAL/ ALTO TIGRE Bartra"/>
        <s v="Actas administrativas, Lista de emergencias ambientales, odk, Informe OEFA"/>
        <s v="odk, Informe OEFA"/>
        <s v="Actas administrativas, Lista de denuncias ambientales, Lista de emergencias ambientales, odk, Informe OEFA"/>
        <s v="Informe judicial, Lista de emergencias ambientales, Informe OEFA"/>
        <s v="Lista de emergencias ambientales, Lista de incidentes ambientales, Informe OEFA"/>
        <s v="Lista de denuncias ambientales, Informe OEFA"/>
        <s v="Lista de emergencias ambientales, odk, Informe OEFA"/>
        <s v="Fotos video"/>
        <s v="Lista de denuncias ambientales"/>
        <s v="Lista de incidentes ambientales"/>
      </sharedItems>
    </cacheField>
    <cacheField name="Zona de Monitoreo " numFmtId="0">
      <sharedItems>
        <s v="Capahuari Sur"/>
        <s v="San Jacinto &amp; 1A"/>
        <s v="."/>
        <s v="Capahuari Norte"/>
        <s v="Dorissa"/>
        <s v="Forestal Shiviyacu Carmen Huayurí Huayurí Norte"/>
        <s v="Forestal, Shiviyacu, Carmen, Huayurí, Huayurí Norte"/>
        <s v="Jibarito"/>
        <s v="San Jacinto"/>
        <s v="Batería 7"/>
        <s v="Bartra"/>
        <s v="Baterías 1, 2 y 8x"/>
        <s v="Chambira"/>
        <s v="ONP"/>
        <s v="Baterías 1 y 2 y 8x"/>
        <s v="Tramo I oleoducto Corrientes - Saramuro"/>
      </sharedItems>
    </cacheField>
    <cacheField name="Cuando se detectó el impacto?">
      <sharedItems containsDate="1" containsBlank="1" containsMixedTypes="1">
        <d v="2018-08-05T00:00:00Z"/>
        <d v="2019-04-01T00:00:00Z"/>
        <d v="2017-04-08T00:00:00Z"/>
        <d v="2017-09-12T00:00:00Z"/>
        <d v="2014-04-28T00:00:00Z"/>
        <d v="2014-03-31T00:00:00Z"/>
        <d v="2011-06-22T00:00:00Z"/>
        <d v="2018-03-23T00:00:00Z"/>
        <s v="17/01/2018"/>
        <d v="2014-05-13T00:00:00Z"/>
        <d v="2014-04-25T00:00:00Z"/>
        <d v="2010-06-10T00:00:00Z"/>
        <d v="2020-11-05T00:00:00Z"/>
        <s v="19/05/2016"/>
        <d v="2019-09-11T00:00:00Z"/>
        <d v="2014-05-16T00:00:00Z"/>
        <d v="2014-09-13T00:00:00Z"/>
        <d v="2014-04-23T00:00:00Z"/>
        <d v="2018-05-25T00:00:00Z"/>
        <d v="2013-05-14T00:00:00Z"/>
        <d v="2009-03-29T00:00:00Z"/>
        <d v="2014-06-16T00:00:00Z"/>
        <s v="13/03/2016"/>
        <d v="2016-04-18T00:00:00Z"/>
        <d v="2018-03-16T00:00:00Z"/>
        <d v="2018-03-15T00:00:00Z"/>
        <s v="21/03/2019"/>
        <d v="2018-03-18T00:00:00Z"/>
        <d v="2018-02-15T00:00:00Z"/>
        <s v="28/04/2016"/>
        <d v="2010-10-18T00:00:00Z"/>
        <s v="19/05/2021"/>
        <s v="30/04/2016"/>
        <d v="2018-03-20T00:00:00Z"/>
        <d v="2014-06-12T00:00:00Z"/>
        <s v="27/09/2016"/>
        <d v="2019-01-12T00:00:00Z"/>
        <d v="2013-05-18T00:00:00Z"/>
        <d v="2018-03-19T00:00:00Z"/>
        <s v="26/03/2016"/>
        <d v="2013-11-11T00:00:00Z"/>
        <d v="2017-04-19T00:00:00Z"/>
        <d v="2012-05-22T00:00:00Z"/>
        <s v="01/07/2016"/>
        <d v="2012-06-01T00:00:00Z"/>
        <d v="2018-03-21T00:00:00Z"/>
        <d v="2013-05-17T00:00:00Z"/>
        <s v="30/04/2020"/>
        <d v="2010-01-11T00:00:00Z"/>
        <d v="2012-05-31T00:00:00Z"/>
        <d v="2017-03-26T00:00:00Z"/>
        <d v="2018-01-04T00:00:00Z"/>
        <d v="2009-12-15T00:00:00Z"/>
        <d v="2010-01-05T00:00:00Z"/>
        <d v="2012-10-01T00:00:00Z"/>
        <d v="2010-01-12T00:00:00Z"/>
        <d v="2009-12-18T00:00:00Z"/>
        <d v="2014-05-14T00:00:00Z"/>
        <d v="2013-05-08T00:00:00Z"/>
        <d v="2017-04-18T00:00:00Z"/>
        <s v="01/08/2016"/>
        <s v="29/04/2016"/>
        <d v="2013-05-15T00:00:00Z"/>
        <s v="17/09/2015"/>
        <s v="14/05/2016"/>
        <d v="2014-05-17T00:00:00Z"/>
        <d v="2018-02-18T00:00:00Z"/>
        <s v="18/02/2018"/>
        <d v="2018-03-03T00:00:00Z"/>
        <s v="27/01/2023"/>
        <d v="2023-11-02T00:00:00Z"/>
        <s v="18/07/2021"/>
        <s v="14/02/2021"/>
        <d v="2014-05-01T00:00:00Z"/>
        <d v="2007-12-31T00:00:00Z"/>
        <s v="18/02/2023"/>
        <s v="15/01/2020"/>
        <s v="27/12/2019"/>
        <s v="31/07/2020"/>
        <s v="27/10/2022"/>
        <d v="2008-05-03T00:00:00Z"/>
        <s v="30/10/2022"/>
        <d v="2014-03-01T00:00:00Z"/>
        <d v="2015-03-01T00:00:00Z"/>
        <d v="2015-04-01T00:00:00Z"/>
        <d v="2006-12-07T00:00:00Z"/>
        <d v="2010-04-24T00:00:00Z"/>
        <d v="2009-03-19T00:00:00Z"/>
        <d v="2018-04-19T00:00:00Z"/>
        <d v="2009-04-07T00:00:00Z"/>
        <d v="2009-04-10T00:00:00Z"/>
        <s v="08/11/2016"/>
        <d v="2017-01-20T00:00:00Z"/>
        <d v="2023-04-02T00:00:00Z"/>
        <s v="22/11/2022"/>
        <d v="2010-11-19T00:00:00Z"/>
        <s v="17/02/2020"/>
        <d v="2018-04-21T00:00:00Z"/>
        <s v="13/05/2007 14/05/2007"/>
        <s v="27/09/2020"/>
        <d v="2010-07-29T00:00:00Z"/>
        <s v="28/10/2010 30/10/2010"/>
        <d v="2017-05-19T00:00:00Z"/>
        <d v="2016-12-31T00:00:00Z"/>
        <d v="2016-12-30T00:00:00Z"/>
        <d v="2018-04-22T00:00:00Z"/>
        <d v="2011-05-18T00:00:00Z"/>
        <d v="2008-05-24T00:00:00Z"/>
        <d v="2017-05-18T00:00:00Z"/>
        <d v="2016-05-18T00:00:00Z"/>
        <s v="14/05/2019"/>
        <d v="2008-02-27T00:00:00Z"/>
        <d v="2021-05-02T00:00:00Z"/>
        <d v="2022-10-10T00:00:00Z"/>
        <s v="18/12/2019"/>
        <s v="01/09/2016"/>
        <s v="28/11/2022"/>
        <s v="26/02/2023"/>
        <d v="2010-06-09T00:00:00Z"/>
        <s v="17/12/2019"/>
        <s v="21/09/2015"/>
        <d v="2015-11-07T00:00:00Z"/>
        <d v="2006-12-12T00:00:00Z"/>
        <d v="2016-04-13T00:00:00Z"/>
        <s v="19/08/2015"/>
        <s v="04/05/2014 01/05/2014"/>
        <d v="2017-05-26T00:00:00Z"/>
        <s v="21/03/2007 04/04/2007"/>
        <d v="2010-03-12T00:00:00Z"/>
        <s v="20/05/2017 19/05/2017"/>
        <d v="2007-04-24T00:00:00Z"/>
        <d v="2016-02-04T00:00:00Z"/>
        <s v="14/01/2021"/>
        <d v="2016-02-03T00:00:00Z"/>
        <d v="2016-02-12T00:00:00Z"/>
        <d v="2019-11-06T00:00:00Z"/>
        <s v="19/05/2019"/>
        <d v="2010-01-06T00:00:00Z"/>
        <m/>
        <s v="12/09/2009 14/09/2009"/>
        <d v="2010-03-02T00:00:00Z"/>
        <d v="2017-08-07T00:00:00Z"/>
        <d v="2007-10-23T00:00:00Z"/>
        <s v="."/>
        <s v="11/05/2010 13/05/2010"/>
        <s v="25/01/2023"/>
        <s v="01/05/2016"/>
        <d v="2009-01-09T00:00:00Z"/>
        <d v="2006-11-13T00:00:00Z"/>
        <d v="2010-05-29T00:00:00Z"/>
        <d v="2010-08-27T00:00:00Z"/>
        <d v="2015-01-01T00:00:00Z"/>
        <d v="2010-01-31T00:00:00Z"/>
        <d v="2010-01-28T00:00:00Z"/>
        <d v="2019-12-04T00:00:00Z"/>
        <s v="14/11/2021"/>
        <s v="27/03/2016"/>
        <s v="29/01/2023"/>
        <s v="18/04/2020"/>
        <s v="29/01/2021"/>
        <d v="2010-01-24T00:00:00Z"/>
        <s v="27/09/2017 25/09/2017"/>
        <d v="2017-02-10T00:00:00Z"/>
        <s v=" 11/11/2016"/>
        <s v="07/04/2016 01/04/2016"/>
        <s v="01/04/2016"/>
        <d v="2021-09-09T00:00:00Z"/>
        <d v="2017-01-30T00:00:00Z"/>
        <d v="2017-05-15T00:00:00Z"/>
        <s v="01/12/2016 19/12/2016"/>
        <s v="19/02/2017"/>
        <s v="18/03/2022"/>
        <s v="28/08/2022"/>
        <s v="30/08/2022"/>
        <d v="2017-09-27T00:00:00Z"/>
        <n v="2001.0"/>
        <d v="2022-02-03T00:00:00Z"/>
        <s v="20/08/2016"/>
        <d v="2010-02-03T00:00:00Z"/>
        <s v="02/03/2018 13/03/2018"/>
        <d v="2021-04-04T00:00:00Z"/>
        <d v="2017-05-14T00:00:00Z"/>
        <s v="15/11/2016"/>
        <d v="2017-03-01T00:00:00Z"/>
        <d v="2016-02-20T00:00:00Z"/>
        <s v="01/11/2016"/>
        <d v="2017-03-03T00:00:00Z"/>
        <d v="2015-11-05T00:00:00Z"/>
        <d v="2013-11-26T00:00:00Z"/>
        <s v="19/07/2011 26/07/2011"/>
        <s v="17/09/2018"/>
        <d v="2017-05-20T00:00:00Z"/>
        <d v="2014-01-01T00:00:00Z"/>
        <d v="2014-04-01T00:00:00Z"/>
        <d v="1905-07-07T00:00:00Z"/>
        <d v="2017-11-23T00:00:00Z"/>
        <d v="2014-11-01T00:00:00Z"/>
        <d v="2018-03-01T00:00:00Z"/>
        <s v="16/02/2017 17/01/2018"/>
        <s v="29/08/2018"/>
        <s v="15/01/2019"/>
        <s v="20/11/2018"/>
        <s v="14/03/2019"/>
        <s v="13/06/2018"/>
        <d v="2019-06-05T00:00:00Z"/>
        <s v="30/07/2018"/>
        <d v="2017-05-22T00:00:00Z"/>
        <s v="18/01/2019"/>
        <s v="15/04/2018"/>
        <s v="19/11/2018"/>
        <s v="17/01/2019"/>
        <s v="16/01/2019"/>
        <s v="08/08/2016"/>
        <s v="22/02/2017 18/01/2018"/>
        <s v="12/04/2017 18/01/2018"/>
        <s v="29/11/2018"/>
        <d v="2009-05-29T00:00:00Z"/>
        <d v="2014-07-05T00:00:00Z"/>
        <d v="2006-02-21T00:00:00Z"/>
        <d v="2015-11-01T00:00:00Z"/>
        <s v="24/07/2016"/>
        <d v="2014-02-01T00:00:00Z"/>
        <d v="2006-05-19T00:00:00Z"/>
        <d v="2006-03-30T00:00:00Z"/>
        <d v="2012-01-28T00:00:00Z"/>
        <d v="2014-07-01T00:00:00Z"/>
        <d v="2014-12-01T00:00:00Z"/>
        <d v="2011-08-25T00:00:00Z"/>
        <d v="2016-01-30T00:00:00Z"/>
        <d v="2016-10-31T00:00:00Z"/>
        <s v="21/04/2010 23/04/2010"/>
        <d v="2013-04-07T00:00:00Z"/>
        <d v="2017-09-18T00:00:00Z"/>
        <d v="2015-06-01T00:00:00Z"/>
        <d v="2016-07-25T00:00:00Z"/>
        <d v="2016-07-22T00:00:00Z"/>
        <d v="2007-10-30T00:00:00Z"/>
        <d v="2008-09-18T00:00:00Z"/>
        <s v="16/03/2018"/>
        <d v="2009-10-21T00:00:00Z"/>
        <d v="2012-06-25T00:00:00Z"/>
        <s v="15/03/2018 16/03/2018"/>
        <d v="2015-06-15T00:00:00Z"/>
        <d v="2008-05-04T00:00:00Z"/>
        <d v="2011-09-12T00:00:00Z"/>
        <d v="2008-04-30T00:00:00Z"/>
        <d v="2009-01-10T00:00:00Z"/>
        <s v="27/01/2019"/>
        <d v="2017-09-19T00:00:00Z"/>
        <d v="2010-09-24T00:00:00Z"/>
        <d v="2014-03-09T00:00:00Z"/>
        <d v="2016-09-09T00:00:00Z"/>
        <d v="2015-04-20T00:00:00Z"/>
        <s v="26/02/2018"/>
        <d v="2015-04-18T00:00:00Z"/>
        <s v="16/09/2022"/>
        <s v="22/06/2018"/>
        <d v="2017-06-02T00:00:00Z"/>
        <d v="2007-11-15T00:00:00Z"/>
        <d v="2019-05-05T00:00:00Z"/>
        <d v="2007-08-09T00:00:00Z"/>
        <s v="27/06/2018"/>
        <s v="25/06/2018"/>
        <d v="2017-09-17T00:00:00Z"/>
        <s v="28/09/2020"/>
        <d v="2009-04-22T00:00:00Z"/>
        <d v="2016-02-01T00:00:00Z"/>
        <s v="14/10/2022"/>
        <s v="15/08/2016"/>
        <s v="28/11/2016"/>
        <d v="2010-06-17T00:00:00Z"/>
        <d v="2017-08-09T00:00:00Z"/>
        <n v="1987.0"/>
        <s v="06/03/2016"/>
        <s v="17/05/2016"/>
        <s v="20/05/2016"/>
        <s v="16/06/2016"/>
        <s v="20/06/2016"/>
        <s v="22/06/2016"/>
        <s v="05/11/2016"/>
        <s v="06/11/2016"/>
        <d v="2016-02-11T00:00:00Z"/>
        <d v="2017-01-16T00:00:00Z"/>
        <d v="2017-11-20T00:00:00Z"/>
        <d v="2017-03-13T00:00:00Z"/>
        <d v="2017-03-04T00:00:00Z"/>
        <d v="2017-02-21T00:00:00Z"/>
        <d v="2017-05-21T00:00:00Z"/>
        <d v="2017-02-01T00:00:00Z"/>
        <d v="2018-04-05T00:00:00Z"/>
        <d v="2017-03-18T00:00:00Z"/>
        <d v="2018-05-02T00:00:00Z"/>
        <d v="2017-09-25T00:00:00Z"/>
        <d v="2017-08-21T00:00:00Z"/>
        <d v="2018-03-06T00:00:00Z"/>
        <d v="2018-03-30T00:00:00Z"/>
        <d v="2017-04-01T00:00:00Z"/>
        <d v="2017-04-04T00:00:00Z"/>
        <d v="2017-04-12T00:00:00Z"/>
        <d v="2017-05-11T00:00:00Z"/>
        <d v="2017-05-13T00:00:00Z"/>
        <d v="2017-05-16T00:00:00Z"/>
        <d v="2017-06-01T00:00:00Z"/>
        <d v="2017-06-13T00:00:00Z"/>
        <d v="2017-07-14T00:00:00Z"/>
        <d v="2017-08-11T00:00:00Z"/>
        <d v="2017-08-23T00:00:00Z"/>
        <d v="2017-09-14T00:00:00Z"/>
        <d v="2017-10-01T00:00:00Z"/>
        <d v="2017-10-14T00:00:00Z"/>
        <d v="2017-11-15T00:00:00Z"/>
        <d v="2017-12-08T00:00:00Z"/>
        <d v="2017-12-19T00:00:00Z"/>
        <d v="2018-01-23T00:00:00Z"/>
        <d v="2018-01-31T00:00:00Z"/>
        <d v="2018-02-03T00:00:00Z"/>
        <d v="2018-02-16T00:00:00Z"/>
        <d v="2018-03-14T00:00:00Z"/>
        <d v="2016-04-27T00:00:00Z"/>
        <d v="2016-06-17T00:00:00Z"/>
        <d v="2016-09-01T00:00:00Z"/>
        <n v="2016.0"/>
        <d v="2016-01-01T00:00:00Z"/>
        <n v="2006.0"/>
        <s v="15/05/2008 16/05/2008"/>
        <d v="2008-11-14T00:00:00Z"/>
        <d v="2008-09-19T00:00:00Z"/>
        <d v="2008-10-29T00:00:00Z"/>
        <s v="08/06/2008 10/06/2008"/>
        <d v="2008-07-01T00:00:00Z"/>
        <d v="2003-11-08T00:00:00Z"/>
        <d v="2006-01-03T00:00:00Z"/>
        <d v="2006-01-22T00:00:00Z"/>
        <d v="2006-01-30T00:00:00Z"/>
        <d v="2006-01-31T00:00:00Z"/>
        <d v="2006-02-04T00:00:00Z"/>
        <d v="2006-02-07T00:00:00Z"/>
        <d v="2006-02-09T00:00:00Z"/>
        <d v="2006-02-10T00:00:00Z"/>
        <d v="2006-02-15T00:00:00Z"/>
        <d v="2006-02-26T00:00:00Z"/>
        <d v="2006-05-07T00:00:00Z"/>
        <d v="2006-08-30T00:00:00Z"/>
        <d v="2006-09-15T00:00:00Z"/>
        <d v="2006-11-11T00:00:00Z"/>
        <d v="2006-12-01T00:00:00Z"/>
        <d v="2006-12-04T00:00:00Z"/>
        <d v="2006-12-08T00:00:00Z"/>
        <d v="2006-12-11T00:00:00Z"/>
        <d v="2006-12-13T00:00:00Z"/>
        <s v="05/12/2006 08/12/2006"/>
        <n v="2007.0"/>
        <d v="2007-04-21T00:00:00Z"/>
        <d v="2007-05-03T00:00:00Z"/>
        <d v="2007-05-04T00:00:00Z"/>
        <d v="2007-05-09T00:00:00Z"/>
        <d v="2007-07-09T00:00:00Z"/>
        <d v="2007-07-26T00:00:00Z"/>
        <d v="2007-07-30T00:00:00Z"/>
        <d v="2007-08-08T00:00:00Z"/>
        <d v="2007-10-25T00:00:00Z"/>
        <d v="2007-10-29T00:00:00Z"/>
        <d v="2007-11-14T00:00:00Z"/>
        <d v="2007-11-21T00:00:00Z"/>
        <d v="2007-12-15T00:00:00Z"/>
        <d v="2007-12-23T00:00:00Z"/>
        <s v="25/07/2007 26/07/2007"/>
        <n v="2008.0"/>
        <d v="2008-01-06T00:00:00Z"/>
        <d v="2008-01-08T00:00:00Z"/>
        <d v="2008-01-13T00:00:00Z"/>
        <d v="2008-01-14T00:00:00Z"/>
        <d v="2008-01-17T00:00:00Z"/>
        <d v="2008-01-20T00:00:00Z"/>
        <d v="2008-02-08T00:00:00Z"/>
        <d v="2008-02-11T00:00:00Z"/>
        <d v="2008-02-13T00:00:00Z"/>
        <d v="2008-02-14T00:00:00Z"/>
        <d v="2008-02-16T00:00:00Z"/>
        <d v="2008-02-22T00:00:00Z"/>
        <d v="2008-02-23T00:00:00Z"/>
        <d v="2008-02-24T00:00:00Z"/>
        <d v="2008-03-17T00:00:00Z"/>
        <d v="2008-03-19T00:00:00Z"/>
        <d v="2008-03-20T00:00:00Z"/>
        <d v="2008-05-01T00:00:00Z"/>
        <d v="2008-05-02T00:00:00Z"/>
        <d v="2008-05-05T00:00:00Z"/>
        <d v="2008-05-06T00:00:00Z"/>
        <d v="2008-05-13T00:00:00Z"/>
        <d v="2008-05-14T00:00:00Z"/>
        <d v="2008-06-10T00:00:00Z"/>
        <d v="2008-06-11T00:00:00Z"/>
        <d v="2008-06-16T00:00:00Z"/>
        <d v="2008-07-22T00:00:00Z"/>
        <d v="2008-09-26T00:00:00Z"/>
        <d v="2008-10-22T00:00:00Z"/>
        <d v="2008-10-24T00:00:00Z"/>
        <d v="2008-11-09T00:00:00Z"/>
        <d v="2008-11-13T00:00:00Z"/>
        <d v="2008-12-05T00:00:00Z"/>
        <d v="2008-12-06T00:00:00Z"/>
        <s v="18/05/2008 23/05/2008"/>
        <s v="24/05/2008 25/05/2008"/>
        <d v="2009-01-28T00:00:00Z"/>
        <d v="2009-05-17T00:00:00Z"/>
        <d v="2009-05-31T00:00:00Z"/>
        <d v="2009-06-12T00:00:00Z"/>
        <d v="2009-09-26T00:00:00Z"/>
        <d v="2010-01-14T00:00:00Z"/>
        <d v="2010-01-21T00:00:00Z"/>
        <d v="2010-01-25T00:00:00Z"/>
        <d v="2010-01-26T00:00:00Z"/>
        <d v="2010-02-05T00:00:00Z"/>
        <d v="2010-02-09T00:00:00Z"/>
        <d v="2010-02-10T00:00:00Z"/>
        <d v="2010-02-11T00:00:00Z"/>
        <d v="2010-02-17T00:00:00Z"/>
        <d v="2010-02-24T00:00:00Z"/>
        <d v="2010-03-06T00:00:00Z"/>
        <d v="2010-04-20T00:00:00Z"/>
        <d v="2010-05-19T00:00:00Z"/>
        <d v="2010-10-20T00:00:00Z"/>
        <d v="2011-06-25T00:00:00Z"/>
        <s v="5/12/2009, 21/06/2017"/>
        <n v="2002.0"/>
        <d v="2007-12-01T00:00:00Z"/>
        <s v="19/11/2016"/>
        <s v="28/03/2016"/>
        <s v="19/04/2016"/>
        <d v="2016-03-23T00:00:00Z"/>
        <d v="2016-03-27T00:00:00Z"/>
        <s v="29/03/2016"/>
        <s v="10/06/2016"/>
        <s v="17/07/2016"/>
        <s v="29/12/2016"/>
        <s v="12/09/2016"/>
        <s v="10/11/2016"/>
        <s v="16/01/2017"/>
        <s v="18/01/2017"/>
        <n v="1985.0"/>
        <d v="1996-07-01T00:00:00Z"/>
        <d v="1999-02-19T00:00:00Z"/>
        <n v="2000.0"/>
        <n v="2017.0"/>
        <d v="2017-04-28T00:00:00Z"/>
        <d v="2006-07-01T00:00:00Z"/>
        <d v="2012-02-03T00:00:00Z"/>
        <d v="2012-04-13T00:00:00Z"/>
        <d v="2012-05-10T00:00:00Z"/>
        <d v="2012-06-19T00:00:00Z"/>
        <d v="2012-09-04T00:00:00Z"/>
        <d v="2013-01-28T00:00:00Z"/>
        <d v="2013-02-11T00:00:00Z"/>
        <d v="2013-03-19T00:00:00Z"/>
        <d v="2013-04-12T00:00:00Z"/>
        <d v="2013-04-13T00:00:00Z"/>
        <d v="2013-05-05T00:00:00Z"/>
        <d v="2013-05-09T00:00:00Z"/>
        <d v="2013-05-11T00:00:00Z"/>
        <d v="2013-05-12T00:00:00Z"/>
        <d v="2013-06-03T00:00:00Z"/>
        <d v="2013-11-23T00:00:00Z"/>
        <d v="2013-12-19T00:00:00Z"/>
        <d v="2014-01-06T00:00:00Z"/>
        <d v="2014-05-31T00:00:00Z"/>
        <d v="2014-06-13T00:00:00Z"/>
        <d v="2014-08-05T00:00:00Z"/>
        <d v="2014-09-19T00:00:00Z"/>
        <d v="2015-02-18T00:00:00Z"/>
        <d v="2015-02-20T00:00:00Z"/>
        <d v="2015-03-02T00:00:00Z"/>
        <d v="2015-03-18T00:00:00Z"/>
        <d v="2015-05-06T00:00:00Z"/>
        <d v="2015-05-11T00:00:00Z"/>
        <d v="2015-05-26T00:00:00Z"/>
        <s v="22/10/2015"/>
        <d v="2015-11-09T00:00:00Z"/>
      </sharedItems>
    </cacheField>
    <cacheField name="Cuando ocurrió?">
      <sharedItems containsDate="1" containsMixedTypes="1">
        <d v="2000-07-01T00:00:00Z"/>
        <s v="."/>
        <d v="2014-04-01T00:00:00Z"/>
        <d v="2014-03-01T00:00:00Z"/>
        <d v="2011-06-01T00:00:00Z"/>
        <d v="2018-03-01T00:00:00Z"/>
        <d v="2014-05-01T00:00:00Z"/>
        <d v="2010-06-01T00:00:00Z"/>
        <d v="2020-05-11T00:00:00Z"/>
        <d v="2016-05-01T00:00:00Z"/>
        <d v="2019-09-11T00:00:00Z"/>
        <d v="2014-09-01T00:00:00Z"/>
        <d v="2018-05-01T00:00:00Z"/>
        <d v="2013-05-01T00:00:00Z"/>
        <d v="2009-03-01T00:00:00Z"/>
        <d v="2014-06-01T00:00:00Z"/>
        <d v="2016-03-01T00:00:00Z"/>
        <d v="2016-04-01T00:00:00Z"/>
        <d v="2018-02-01T00:00:00Z"/>
        <d v="2010-10-01T00:00:00Z"/>
        <s v="19/05/2021"/>
        <d v="2016-09-01T00:00:00Z"/>
        <d v="2013-11-01T00:00:00Z"/>
        <d v="2017-04-01T00:00:00Z"/>
        <d v="2012-05-01T00:00:00Z"/>
        <d v="2016-07-01T00:00:00Z"/>
        <d v="2012-06-01T00:00:00Z"/>
        <s v="30/04/2020"/>
        <d v="2010-01-01T00:00:00Z"/>
        <d v="2017-03-01T00:00:00Z"/>
        <d v="2018-01-01T00:00:00Z"/>
        <d v="2009-12-01T00:00:00Z"/>
        <d v="2012-10-01T00:00:00Z"/>
        <d v="2016-08-01T00:00:00Z"/>
        <d v="2015-09-01T00:00:00Z"/>
        <s v="27/01/2023"/>
        <d v="2023-02-11T00:00:00Z"/>
        <s v="18/07/2021"/>
        <s v="14/02/2021"/>
        <d v="2007-04-01T00:00:00Z"/>
        <s v="18/02/2023"/>
        <d v="2020-02-01T00:00:00Z"/>
        <s v="29/06/2020"/>
        <s v="27/10/2022"/>
        <d v="2008-05-01T00:00:00Z"/>
        <s v="30/10/2022"/>
        <d v="2015-03-01T00:00:00Z"/>
        <d v="2015-04-01T00:00:00Z"/>
        <d v="2006-12-01T00:00:00Z"/>
        <d v="2010-04-01T00:00:00Z"/>
        <d v="2018-04-01T00:00:00Z"/>
        <d v="2009-04-01T00:00:00Z"/>
        <d v="2016-11-01T00:00:00Z"/>
        <d v="2017-01-01T00:00:00Z"/>
        <d v="2023-03-04T00:00:00Z"/>
        <s v="22/11/2022"/>
        <d v="2010-11-01T00:00:00Z"/>
        <s v="17/02/2020"/>
        <d v="2007-05-01T00:00:00Z"/>
        <d v="2020-01-09T00:00:00Z"/>
        <d v="2010-07-01T00:00:00Z"/>
        <d v="2017-05-01T00:00:00Z"/>
        <d v="2016-12-01T00:00:00Z"/>
        <d v="2011-05-01T00:00:00Z"/>
        <d v="2008-02-01T00:00:00Z"/>
        <d v="2021-02-05T00:00:00Z"/>
        <s v="15/03/2021"/>
        <s v="26/11/2022"/>
        <s v="25/02/2023"/>
        <d v="2015-11-01T00:00:00Z"/>
        <d v="2015-08-01T00:00:00Z"/>
        <d v="2010-03-01T00:00:00Z"/>
        <d v="2016-02-01T00:00:00Z"/>
        <s v="14/01/2021"/>
        <s v="26/11/2019"/>
        <d v="2009-09-01T00:00:00Z"/>
        <d v="2007-10-01T00:00:00Z"/>
        <d v="2010-05-01T00:00:00Z"/>
        <d v="2023-01-05T00:00:00Z"/>
        <d v="2009-01-01T00:00:00Z"/>
        <d v="2006-11-01T00:00:00Z"/>
        <d v="2010-08-01T00:00:00Z"/>
        <d v="2015-01-01T00:00:00Z"/>
        <s v="14/11/2021"/>
        <s v="29/01/2023"/>
        <s v="17/04/2020"/>
        <s v="29/01/2021"/>
        <d v="2017-09-01T00:00:00Z"/>
        <d v="2017-02-01T00:00:00Z"/>
        <d v="2021-09-09T00:00:00Z"/>
        <s v="18/03/2022"/>
        <s v="27/08/2022"/>
        <s v="30/08/2022"/>
        <d v="2001-07-01T00:00:00Z"/>
        <d v="2022-03-02T00:00:00Z"/>
        <d v="2010-02-01T00:00:00Z"/>
        <d v="2021-04-04T00:00:00Z"/>
        <d v="2011-07-01T00:00:00Z"/>
        <d v="2014-01-01T00:00:00Z"/>
        <d v="2017-11-01T00:00:00Z"/>
        <d v="2014-11-01T00:00:00Z"/>
        <d v="2009-05-01T00:00:00Z"/>
        <d v="2014-07-01T00:00:00Z"/>
        <d v="2006-02-01T00:00:00Z"/>
        <d v="2014-02-01T00:00:00Z"/>
        <d v="2006-05-01T00:00:00Z"/>
        <d v="2006-03-01T00:00:00Z"/>
        <d v="2012-01-01T00:00:00Z"/>
        <d v="2014-12-01T00:00:00Z"/>
        <d v="2011-08-01T00:00:00Z"/>
        <d v="2016-01-01T00:00:00Z"/>
        <d v="2016-10-01T00:00:00Z"/>
        <d v="2013-04-01T00:00:00Z"/>
        <d v="2015-06-01T00:00:00Z"/>
        <d v="2008-09-01T00:00:00Z"/>
        <d v="1996-07-01T00:00:00Z"/>
        <d v="2009-10-01T00:00:00Z"/>
        <d v="2011-09-01T00:00:00Z"/>
        <d v="2008-04-01T00:00:00Z"/>
        <d v="2010-09-01T00:00:00Z"/>
        <s v="16/09/2022"/>
        <n v="1995.0"/>
        <d v="2016-06-01T00:00:00Z"/>
        <d v="2007-11-01T00:00:00Z"/>
        <d v="2007-08-01T00:00:00Z"/>
        <d v="2020-04-03T00:00:00Z"/>
        <s v="15/10/2022"/>
        <d v="2017-08-01T00:00:00Z"/>
        <d v="1987-07-01T00:00:00Z"/>
        <d v="2017-06-01T00:00:00Z"/>
        <d v="2017-07-01T00:00:00Z"/>
        <d v="2017-10-01T00:00:00Z"/>
        <d v="2017-12-01T00:00:00Z"/>
        <d v="2006-07-01T00:00:00Z"/>
        <d v="2008-11-01T00:00:00Z"/>
        <d v="2008-10-01T00:00:00Z"/>
        <d v="2008-06-01T00:00:00Z"/>
        <d v="2008-07-01T00:00:00Z"/>
        <d v="2003-11-01T00:00:00Z"/>
        <d v="2006-01-01T00:00:00Z"/>
        <d v="2006-08-01T00:00:00Z"/>
        <d v="2006-09-01T00:00:00Z"/>
        <d v="2007-07-01T00:00:00Z"/>
        <d v="2007-12-01T00:00:00Z"/>
        <d v="2008-01-01T00:00:00Z"/>
        <d v="2008-03-01T00:00:00Z"/>
        <d v="2008-12-01T00:00:00Z"/>
        <d v="2009-06-01T00:00:00Z"/>
        <d v="2002-09-01T00:00:00Z"/>
        <d v="1985-07-01T00:00:00Z"/>
        <d v="1995-01-01T00:00:00Z"/>
        <d v="1995-07-01T00:00:00Z"/>
        <d v="1995-06-17T00:00:00Z"/>
        <d v="1999-02-01T00:00:00Z"/>
        <d v="2012-02-01T00:00:00Z"/>
        <d v="2012-04-01T00:00:00Z"/>
        <d v="2012-09-01T00:00:00Z"/>
        <d v="2013-01-01T00:00:00Z"/>
        <d v="2013-03-01T00:00:00Z"/>
        <d v="2013-06-01T00:00:00Z"/>
        <d v="2013-12-01T00:00:00Z"/>
        <d v="2014-08-01T00:00:00Z"/>
        <d v="2015-07-01T00:00:00Z"/>
        <d v="2015-02-01T00:00:00Z"/>
        <d v="2015-05-01T00:00:00Z"/>
        <d v="2015-10-01T00:00:00Z"/>
      </sharedItems>
    </cacheField>
    <cacheField name="Año de occurrencia">
      <sharedItems containsMixedTypes="1" containsNumber="1" containsInteger="1">
        <s v="2000"/>
        <s v="."/>
        <s v="2014"/>
        <s v="2011"/>
        <s v="2018"/>
        <s v="2010"/>
        <n v="2020.0"/>
        <s v="2016"/>
        <s v="2019"/>
        <s v="2013"/>
        <s v="2009"/>
        <n v="2021.0"/>
        <s v="2017"/>
        <s v="2012"/>
        <s v="2015"/>
        <n v="2023.0"/>
        <s v="2007"/>
        <n v="2022.0"/>
        <s v="2008"/>
        <s v="2006"/>
        <n v="2019.0"/>
        <s v="2001"/>
        <s v="1996"/>
        <n v="1995.0"/>
        <s v="1987"/>
        <s v="2003"/>
        <s v="2002"/>
        <s v="1985"/>
        <s v="1995"/>
        <s v="1999"/>
      </sharedItems>
    </cacheField>
    <cacheField name="Tipo de impacto" numFmtId="0">
      <sharedItems containsBlank="1">
        <s v="Derrame de crudo"/>
        <s v="Árboles talados"/>
        <s v="Botadero"/>
        <s v="otro"/>
        <s v="Derrame nuevo de petróleo"/>
        <s v="Derrame antiguo de petróleo"/>
        <m/>
        <s v="derrame de diesel"/>
        <s v="Peces muertos"/>
        <s v="agua producida"/>
        <s v="Derrame de agua de producción"/>
        <s v="fuga"/>
        <s v="Derrame de agua de formación"/>
        <s v="colpa artificial"/>
        <s v="Crudo mezclado con agua"/>
        <s v="Depósito de material"/>
        <s v="Piscina de crudo"/>
        <s v="Descarga de agua"/>
        <s v="vertedero, antiguo derrame de petróleo"/>
        <s v="Fuga de agua de formación"/>
        <s v="Lodos de perforación"/>
        <s v="aguas de producción"/>
      </sharedItems>
    </cacheField>
    <cacheField name="Fuente de impacto" numFmtId="0">
      <sharedItems containsBlank="1">
        <s v="Batería"/>
        <s v="."/>
        <s v="oleoducto"/>
        <s v="Pozo"/>
        <s v="Botadero"/>
        <s v="Tubería"/>
        <s v="ducto"/>
        <m/>
        <s v="Sump Tank"/>
        <s v="plátaforma"/>
        <s v="Tuberia"/>
        <s v="plataforma"/>
      </sharedItems>
    </cacheField>
    <cacheField name="Impacto nuevo o antiguo" numFmtId="0">
      <sharedItems>
        <s v="Antiguo"/>
        <s v="Nuevo"/>
        <s v="."/>
        <s v="Operacional"/>
      </sharedItems>
    </cacheField>
    <cacheField name="Lote" numFmtId="0">
      <sharedItems>
        <s v="Lote 1AB/192"/>
        <s v="Lote 101"/>
        <s v="Lote 8"/>
        <s v="ONP"/>
        <s v="."/>
        <s v="Lote 143"/>
      </sharedItems>
    </cacheField>
    <cacheField name="Empresa involucrada" numFmtId="0">
      <sharedItems>
        <s v="Pluspetrol Norte"/>
        <s v="Frontera Energy"/>
        <s v="."/>
        <s v="PlusPetrol Norte S.A"/>
        <s v="Occidental Petroleum"/>
        <s v="Pacific Stratus Energy del Perú, S.A. / Petroperu S.A."/>
        <s v="Perupetro"/>
        <s v="Pacific Stratus Energy del Perú, S.A."/>
        <s v="Occidental Petroleum, Pluspetrol Norte SA"/>
        <s v="Talisman"/>
        <s v="Occidental Petroleum Corporation (OXY)"/>
        <s v="Pacific Stratus Energy del Perú, S.A./ Pluspetrol"/>
        <s v="PetroPerú, S.A"/>
        <s v="Petroperu"/>
        <s v="PetroPerú, S.A, PlusPetrol Norte S.A"/>
      </sharedItems>
    </cacheField>
    <cacheField name="Descripción detallada" numFmtId="0">
      <sharedItems containsBlank="1">
        <s v="Contaminacion de pozo crudo en cocha y aguajal. Afecta caza y pesca. Ramar de Q..Rí"/>
        <s v="Tierra con petroleo"/>
        <s v="Tala de arboles para hacer oleoducto tobiria Ramar norte"/>
        <s v="Tierra removida, tala arboles por petroleo escondido afecta cocha, colpa y aguajal cerca de Rama de capahuari yacu"/>
        <s v="Hay barriles antiguos de metal, residuos plásticos y otros restos botados. El agua se ve contaminada con crudo en la superficie, visiblemente notable. Esta quebrada fluye hacia el río Capahuari."/>
        <s v=" Tubería de metal abandonada en el bosque."/>
        <s v="Pasivo ambiental/ Sitio PAC"/>
        <s v="Evidencia de crudo en el suelo de los tiempos de Oxy. "/>
        <s v="Tierra removida y contaminacion y tala debido a plátaforma. Queman petroleo. Afecta cocha, colpa y aguajal"/>
        <s v="Hay barriles de metal y plástico botados y pedazos de tubería y otros restos."/>
        <s v="Evidencia de crudo en el suelo. "/>
        <s v="Anteriormente este sitio ha sido lugar de dos otros derrames por lo menos que no fueron adecuadamente remediados. La comunidad caza en el área e incluso toma el agua. "/>
        <s v="El incidente afecta al territorio de la Comunidad Nativa Titiyacu. Los registros muestran una válvula que bota crudo directamente al medioambiente. El crudo cubre una área significativa y migra hacia una quebrada que eventualmente termina en la quebrada C"/>
        <s v="Derrame de hidrocarburos en capahuari Norte"/>
        <s v="Derrame antiguo y botadero en el territorio de la comunidad Titiyacu. Actualmente es una colpa activa."/>
        <s v="Al llegar, la empresa ya ha empezado con su plan de contingencia. Se ve un estimado de 150 bolsas de crudo, y todavía trazas de crudo en la quebrada que desemboca en rio Capahuari. Afectación de 1,4 hectareas, 450 metros desde la fuente"/>
        <s v="Tubería de metal botada."/>
        <s v="Se rebalsó el sump tank."/>
        <s v="Área contaminada por un derrame de crudo en la parte de atrás del pozo 5. Según los apuntes escritos, el suelo se ha movido para hacer perforaciones."/>
        <s v="El propietario de la empresa es Petroleos del Perú-Petroperu S,A."/>
        <s v="Antiguo pozo de crudo de los tiempos de Oxy y Pluspetrol. "/>
        <s v=" El safe tank vierte a una zona, que cuando rebalsa alimenta la colpa. La fauna ha convertido una zona contaminada en colpa"/>
        <s v="Una colpa contaminada. Es un lugar importante para la alimentación de varias especies, entre ellas la sachavaca. "/>
        <s v="Este evento fue prooleoducto de una rotura de tubo &quot;turbo&quot; que abastecía a las avionetas y helicopteros. El petroleo corrió por Panpallina Yacu, llegando al final al río Pastaza."/>
        <s v="Crudo antiguo enterrado 20-30cm debajo de la superficie. El área suele ser usada por la comunidad."/>
        <s v="Afectó la cocha Shanshococha y los riachuelos de Shirunchi y Anapaza."/>
        <s v="Se ve tierras removidas y crudo. Afecta al río Pastaza. Los pobladores han construido sus casas en la zona contaminada. "/>
        <s v="Pruebas contundentes de antiguo petróleo de los tiempos de Oxy dentro de un agujero de 1,5m de profundidad hecho mientras se construía un pozo de agua. El lugar está en medio de un asentamiento. Es probable que toda la zona esté afectada."/>
        <s v="."/>
        <s v="S0167, Muestreo OEFA, a ±3m de profundidad olor fuerte a hidrocarburos"/>
        <s v="El monitor cuenta que hubo un derrame hace 10 años en los tiempos de Pluspetrol que afectó a la zona. Hoy se puede encontrar crudo a unos 5 cm de profundidad. "/>
        <s v="Hay cuatro cilindros con crudo derramado y un botadero. La cocha Uspayacu y la quebrada Anapaza han sido afectados por el derrame en el territorio de Alianza Capahuari. Afecta también a la zona de caza y pesca de Loboyaco. El río está abajo de la quebrada"/>
        <s v="La comunidad está cultivando por encima de un botadero de los tiempos de Oxy. Hay residuos de metal enterrados y una instalación petrolera abandonada. Los registros muestran, entre otras cosas, barriles, pedazos de tubería, llantas, etc. Afectó a un aguaj"/>
        <s v="Unas obras en Nuevo Andoas encontraron hidrocarburos 30cm de los tiempos de Oxy. Su fuente es desconocida. Según el monitor, está afectando a una colpa, una cocha y un aguajal. La empresa está quemando el crudo. La contaminación llega al río Pastaza. "/>
        <s v="Unos 50 cilindros de metal botados en el bosque. "/>
        <s v="Afecta a la quebrada Ismacaño cerca de las instalaciones de Petroperu."/>
        <s v="No hay derrame, pero se ha perforado un hueco con taladro de 4 pulgadas, el hueco chorrea, le han puesto un palito."/>
        <s v="Evidencia de crudo enterrado."/>
        <s v="Crudo saliendo del suelo."/>
        <s v="Una colpa contaminada. Hay pedazos de tubería de metal que aún contienen crudo y están contaminando el área desde que fue abandonada."/>
        <s v="Una gran cantidad de crudo se derramó en los tiempos de Oxy. Aún es visible y llega hasta 2.5m de profundidad. A unos 20-30 m de distancia, hay dos oleoductos. "/>
        <s v=" Hay evidencia contundente de crudo de los tiempos de Oxy en el suelo, distribuido por una zona amplia. Abarca una profundidad que llega hasta 50 cm. Además, hay un botadero."/>
        <s v="En este sitio se ha botado residuos tóxicos, tanto orgánico como inorgánico. Esto ha cambiado cómo crecen la flora y los árboles. Aún hay contaminación y afecta a un aguajal y las zonas de caza y pesca de varias comunidades. "/>
        <s v="Residuos de metal y plástico como pedazos de tubería, jeringas, etc. de los tiempos de bosque en el bosque. Hay una instalación abandonada. (-2.775354524775755, -76.44823757737052)."/>
        <s v="El derrame de petróleo afectó a un riachuelo y una quebrada. Proviene de un oleoducto antiguo. El evento se dio dentro de las instalaciones de Frontera Energy (ex-Pacific Stratus Energy del Perú)."/>
        <s v="Trazas de crudo, contaminación de suelo, contaminación de cuerpo de agua"/>
        <s v="Durante la supervisión de OEFA, se encontraron barriles antiguos, pedazos de tubería, hierro y otros residuos enterrados cerca del pozo 32. La empresa empezó a limpiar la zona con maquinaria pesada, después de una denuncia administrativa de FEDIQUEP. Segú"/>
        <s v="Evidencia de crudo antiguo en el suelo. "/>
        <s v="Desde 1972 este sitio ha sido un botadero por la empresa Oxy. Hay metales, motores, vehiculos, tubería y otros restos abandonados en el suelo y enterrados también. El depósito ha modificado cómo crecen la cesped los árboles y otra flora. Se ve tierras rem"/>
        <s v="Según el informe de OEFA, miembros de FEDIQUEP informaron que la empresa está utilizado tierra para encubrir un sitio contaminado en Shipiro Cocha para evitar remediarlo."/>
        <s v="Un derrame de los 18, 19 y 20 afectó a Chancho Cocha, Piripiri Cocha y un aguajal. La contaminación fluye hacia la quebrada Anapaza."/>
        <s v="Aún hay hidrocarburos en el entorno. Hay canteras, crudo ocultado por árboles talados. Afecta a un aguajal y zonas de pesca y caza de varias comunidades. En los tiempos de Oxy, los pobladores advirtieron de la presencia de contaminación. Afectó a la cocha"/>
        <s v="Depósito de hidrocarburos en la cocha Shanshococha. La cocha Shanshococha fue remediado hace 9-10 años en el tiempo de Pluspetrol. Aún se encuentra contaminada y afecta a la cocha aunque no es visible. Esta cocha es tributaria de Shanshococha. Afectó a mu"/>
        <s v="Un derrame antiguo de una hectárea. No se ha hecho ningún trabajo de remediación. "/>
        <s v="Evidencia de crudo en el fondo de una colcha."/>
        <s v="Esta cocha contiene crudo, metales pesados e hidrocarburos, etc. desde hace años. Está visiblemente afectada la Shirunchicocha cocha. El OEFA está haciendo un análisis integral. Se encuentra afectando la tierra, los territorios de caza y pesca de Shirunch"/>
        <s v="Evidencia de crudo en el fondo de la colcha. Podría haber sido afectada por 1 o 2 eventos o podría ser 2 cochas afectadas por derrames distintos del mismo oleoducto. (1:-2.7884420142872100, -76.43310684395480; y 2: -2.7908308966245507, -76.43212933289603;"/>
        <s v="Evidencia de crudo en el suelo. El evento se dio según las siguientes coordenadas:  -2.791788849431106, -76.43273312681575 / 340744, 9691324 and -2.791553787043049, -76.43266088576635."/>
        <s v="Instalaciones afectadas por corosión donde muchos derrames se han dado. Toda esta contaminación ha afectado a la cocha Paschin (ubicada al frente del campamento militar Otorongo) "/>
        <s v="pequeã fuga hidrocarburos capahuari Sur, territorio de Los Jardines"/>
        <s v="Afecta a la quebrada Anapaza, las zonas de pesca y de caza de la comunidad. Hay evidencia de árboles talados y suelo contaminado. Es un sitio distinto a PAS201606 y PAS201607."/>
        <s v="Almacenamiento de crudo de tiempos de Occidental y PlusPetrol. Se ha almacenado ahí por decadas sin remediación y no ha habido ningún cambio desde el 2011 cuando los monitores visitaron el sitio. Además, hay presencia de un botadero y de crudo ocultado. A"/>
        <s v="No afecta a ninguna comunidad en particular. No ha cambiado, es un punto la cocha piri piri cocha."/>
        <s v="El sitio normalmente es afectado por derrames originando en una instalación cercana. El crudo fluye hacia la cocha. "/>
        <s v="La zona ha sido afectada por al menos 3 botaderos antiguos distintos.Hay miles de residuos enterrados. El monitor contó que la empresa también ha botado prooleoductos químicos en el área. Se nota tierras removidas y una cantera. Afectó al río Shippyn, la "/>
        <s v="barriles de metal abandonados que contienen prooleoductos peligrosos como crudo y otros quimicos."/>
        <s v=" Según el ODK, hay tierras removidas. Hay contaminación visible y un botadero. Han quemado y ocultado el crudo. Afecta a un aguajal."/>
        <s v=" Un evento antiguo que afectó a la colcha Ismacaño. Se nota crudo en la superficie del agua. También, hay evidencia de tierras removidas y un botadero. Afectó a una colpa. La empresa ha ocultado la contaminación."/>
        <s v="Los registros muestran un tubo que bota una mezcla de agua de producción y crudo directamente a la quebrada Ushupayacu. Esta mezcla termina en la quebrada Capahuari. El video también muestra crudo saliendo del suelo. Cuando llueve, el crudo migra hacia ri"/>
        <s v="La empresa no instaló barreras para evitar que el crudo fluya aguas abajo. "/>
        <s v="El crudo derramado afectó a la quebrada ubicada en la parte del fondo de Minicentral Eléctrica of Capahuari Sur. No se encuentra información detallada en el informe de OEFA. Miembros de FEDIQUEP participaron en la expedición de supervisión."/>
        <s v="Un derrame de diésel afectó a un afluente del río Capahuari a través de la quebrada Ushupayacu. El incidente ocurrió en diciembre y una segunda visita en marzo evidenció la presencia de contaminación aún."/>
        <s v="El sitio contaminado proviene de un Reporte Público 1470-2012 que identificó una gran cantidad de sitios impactados en el área del río Pastaza. En este caso hay evidencia que aún hay crudo en el suelo."/>
        <s v="Hay evidencia de un derrame antiguo. Hay barriles de metal y residuos botados. El video muestra un tubo que está botando agua producido en la parte alta de la quebrada Ushpayacu. Los monitores eran Exon, Juan José y Telmo."/>
        <s v="Hay distintos tipos de tubería botados en el bosque. "/>
        <s v="Es un sitio antiguo PAC que no ha sido remediado. En 1997/1998 había una cocha llena de hidrocarburos. Luego la empresa remedió la cocha. Por no haberlo hecho adecuadamente, la cocha se desapareció eventualmente. Aún hay crudo enterrado. El procedimiento "/>
        <s v="En una nota escrita:''En dique primero entre parte este y oeste de la cocha.'' En la temporada de lluvías, el crudo sale y afecta a la cocha. Fluye hacia el río Pastaza. Las zonas de caza y pesca de Yanayaco de muchas comunidades están siendo afectadas."/>
        <s v="Monitores de la etnía Quechua han visitado el área en los tiempos de Pluspetrol con varias instituciones estatales. Nada ha cambiado pero se ha hecho desaparecer la cocha y lo ha llenado con tierras nativas, etc. Hay tierra removida, contaminación y árbol"/>
        <s v="La colcha Shippilay ha sido contaminada por crudo antiguo. Se sale el crudo cuando el monitor agita el fondo de la laguna con un palo. Actualmente, la cocha Shippilay se ha llenado con hidrocarburos, hay tierras removidas y contaminación visible. Afecta a"/>
        <s v="Hay crudo en el fondo de la laguna que viene de la cuenca alta de la quebrada Ushupayacu, donde las empresas han estado botando hidrocarburos y aguas de producción por muchos años. La zona ha sido designada para remediación según el PAC."/>
        <s v="Este sitio supuestamente ya ha sido remediado según el PAC (código CSUR27). Sin embargo, aún hay contaminación visible yendo aguas abajo. Por más de 30 años, el crudo se ha botado directamente al medioambiente."/>
        <s v="Una área grande inundada con crudo. "/>
        <s v="Un oleoducto cerca de la base Andoas se ha roto. El tanque conteniendo crudo se rebalsó. El oleoducto era frágil. La empresa hizo una limpieza en el sitio."/>
        <s v="Sitio contaminado antiguo que afecta al riachuelo Choyacu. Además, se afectó a una colpa"/>
        <s v="El derrame de crudo se dio debido a la oxidación externa de tubería. Según la empresa, el área afectada abarca 150 m2. 15m3 de suelo contaminado fue retirado. El informe de OEFA indica que hay facilidades abandonadas, sin mantenimiento adecuado en el pozo"/>
        <s v="El pozo fue abandonado en 1992 pero las instalaciones aún no han sido retiradas."/>
        <s v="Un derrame grande cerca a la carretera principal que conecta Andoas y Wayuri principal, km 34. El evento se dio en la comunidad de Nazareth, afectándola. Unos 1000 barriles fueron derramados al medio ambiente. El crudo ha corrido por el río Macusari por m"/>
        <s v="Derrame occurido en km 34, afecta quebra 20x20000"/>
        <s v="Peces muertos en la cocha, evidencia de crudo"/>
        <s v="Cocha contaminada con crudo, 20x250"/>
        <s v="Afectación directa a cuerpo de agua (quebrada) y suelo. Peligro de contaminación por cercanía a CC.NN José Olaya, el agua de la quebrada llega a la CC.NN José Olaya y es utilizada por los pobladores. Crudo que sale del ducto"/>
        <m/>
        <s v="Derrame en tubería de el Carmen"/>
        <s v="Derrame en el Carmen, area afectafa 57m2, afectación al suelo"/>
        <s v="Los registros indican un derrame grande con más de 200 m2 de suelo contaminado, afectando bastante a la quebrada Timu Entsa y el río Corrientes. Por ende, una gran área de flora y suelo se ha encubierto con crudo. Las imágenes muestran que los trabajos de"/>
        <s v="Derrame en Huayuri norte"/>
        <s v="320 metros cuadrados de afectación"/>
        <s v="Contaminación de suelo,Trazas de crudo, 160m2 area afectada,"/>
        <s v="Tanque de alamacenimiento que no estuvo bien cubierto y se ha estado llenando con agua de lluvia. Crudo se ha derramado y falta poco para que llegue a la quebrada."/>
        <s v="Derrame que brota de un tanque de la bateria Huayuri"/>
        <s v="Fuga de tubería. El evento afecta a la quebrada Machupichu."/>
        <s v="Derrame en Huayuri, puede afectar a la CC.NN. Jose Olaya"/>
        <s v="Afectó a la comunidad José Olaya."/>
        <s v="Lodos de perforación dejados por la empresa Talisman."/>
        <s v="Contenedores antiguos enterrados y dejados por la empresa Talisman. "/>
        <s v="hay residuos industriales antiguos dejados por la empresa. "/>
        <s v="Aguas de producción saliendo del suelo por restos dejados por la empresa Talisman. "/>
        <s v="El derrame afecta a la quebrada Manchari."/>
        <s v="El evento se dio en el depósito de diésel ubicado en Dorissa 12, que se desbordó. El contenido se derramó dentro del área de dique de contención."/>
        <s v="Un oleoducto antiguo con una fuga que impactó a la quebrada pucacunga yacu."/>
        <s v="Es una expedición de OEFA."/>
        <s v="La contaminación de una cocha debido a un derrame de crudo en el pozo Dorissa 15 resultó en un procedimiento administrativo. Este procedimiento acusó a la empresa de 4 infracciones: 1) abandonando el sump tank del pozo Dorissa 15; 2) no entregar el inform"/>
        <s v="El derrame afectó a la Isla Jibaro y el río Corrientes."/>
        <s v="Hay crudo almacenado desde el tiempo de PlusPetrol en 2013 (hace 3-4 años), lo cual llega a 2 metros de profundidad. Está afectando a la fauna, flora y la comunidad Jerusalén. Las áreas afectadas incluyen el río Chuu entsa, las zonas de caza y pesca de Je"/>
        <s v="Derrame del sump tank del Pozo 9 Dorissa afectando 25 m Largo Ancho 5 m Comunidad Nueva Jerusalén"/>
        <s v="Derrame en el tanque sumidero - pozo 9, 24x 5 metros de área impactada"/>
        <s v="La empresa está remediando la zona. "/>
        <s v="Derrame de petróleo debido al desborde de los pozos 9 y 7 en la Batería Dorissa. Afectó a la comunidad Nueva Jersualén. Es una expedición de OEFA."/>
        <s v="Derrame de hidrocarburos en yacimiento Dorissa, pozo 13"/>
        <s v="Afectó a la comunidad Nueva Jersualén. Es una expedición de OEFA."/>
        <s v="Se ocurrió dentro de las instalaciones de la batería Dorissa 17 debido a la alta presión. Afectó a los suelos naturales y la quebrada Chu entsa."/>
        <s v="Hueco en tubería, derrame de agua de producción cerca de pozo 12-01 de Dorissa"/>
        <s v="El derrame de crudo se dio debido a la oxidación de tubería. Afectó a la quebrada Pucacuro."/>
        <s v="El derrame de crudo occurió debido a una tubería rota. El crudo derramado salió por una superficie desnivelada y se quedó atrapado en una zona de suelo arcilloso."/>
        <s v="Afectó a la quebrada Manchari  y también las áreas de caza y pesca de Jose Olaya. Se encontraron algunos animales y peces muertos. Superficie afectada= 12m x 750 m."/>
        <s v="El derrame afectó a la orilla de Pucacuyacu en el territorio de la comunidad Nueva Jerusalén. "/>
        <s v="El derrame afectó a la orilla de Pucacuyacu en el territorio de la comunidad Nueva Jerusalén."/>
        <s v="Es una expedición de supervisión de OEFA."/>
        <s v="Afectó a la zona de pesca y caza de las comunidad José Olaya y  Huayurí Norte; también afectó a la quebrada Timo entsa."/>
        <s v="Crudo derramado de un camión. "/>
        <s v="Los monitores ambientales informaron que el evento había afectado al medioambiente, encontrando peces muertas. El sitio aún no había sido remediado."/>
        <s v="Un oleoducto abandonado. Es una expedición de OEFA."/>
        <s v="Derrame Nuevo carretera Km 11 Dorissa a. Huayuri, afecta quebrada Libre"/>
        <s v="Fuga de tubería."/>
        <s v="Derrames dejados por Frontera en Forestal; quebrada contaminada"/>
        <s v="Derrames dejados por Frontera en Forestal; suelo contaminado al lado de carretera"/>
        <s v="La primera vez que identificaron el derrame, cuando estaba Frontera Energy, la empresa no lo había reportado, y las comunidades no saben en que fecha ocurrió. Frontera Energy realiza una limpieza, no muy buena, pero el 15 de marzo del 2021 otra vez vuelve"/>
        <s v="Derrames dejados por Frontera en Forestal; suelo contaminado"/>
        <s v="Derrames dejados por Frontera en Forestal; Pozo con piscina de crudo al lado"/>
        <s v="Tanque sumidero, area afectada 50m2, contaminación de suelo y agua,"/>
        <s v="Aún hay crudo antiguo en el suelo y llega a tres metros de profundidad. Este evento se dio en los tiempos de Oxy"/>
        <s v="Nueva ruptura en el Tanque 591 de la Batería Forestal provoca nuevo derrame. El crudo no deja de salir y continúa esparciéndose"/>
        <s v="Derrame en Bateria Forestal, tubería de 6 pulgadas"/>
        <s v="Residuos solidos - latas, fierros, bidones"/>
        <s v="Area afectada 82m2, Latas,Fierros,Baterías,Tubos,Plasticos"/>
        <s v="Un derrame de un pozo."/>
        <s v="Este evento se dio en 2003."/>
        <s v="El derrame se dio debido a la alta presión. Se demoraron 20 días en hacer la limpieza con 12 trabajadores. "/>
        <s v="El evento tuvo un impacto significativo en la quebrada Peñayacu. "/>
        <s v="El evento afectó a la comunidad José Olaya."/>
        <s v="El evento ocurrió debido a la oxidación externa del oleoducto. Afectó a un riachuelo. El área afectada abarca 150m2 de superficie con flora y 200m de un canal natural."/>
        <s v="Colcha contaminada."/>
        <s v="Afectó a la quebrada Huasay y las zonas de caza y pesca de Huasay y Olaya. Se encontraron peces muertos. "/>
        <s v="Derrame de sump tank de batería 1A cerca de 12 de Octubre"/>
        <s v="Charco de agua, no está claro de donde proviene"/>
        <s v="Trazas de crudo en suelo y agua"/>
        <s v="Quiebra en la tubería, el derrame ocurrió sobre una pendiente que se precipita varios metros hasta llegar a una quebrada. La tierra arcillosa cavada presenta evidencias de haberse mezclado con petróleo"/>
        <s v="Afectó a un aguajal."/>
        <s v="Derrame grande que contamina al río Corrientes, afectando varias comunidades rio abajo como Pampa Hermosa, Pucacuro, hasta Lote 8. Información de OEFA menciona que fue en tubo hacia batería Jibarito, y estiman o 23,353 o 75,544 barriles derramados de crud"/>
        <s v="El derrame se produjo por una antigua mordaza de hierro. Afecta a la isla Jibarito."/>
        <s v=" Afecta a la isla Jibaro y el río Corrientes. "/>
        <s v="Derrame de Sump Tank en plátaforma HPS de Jibaro Isla. Según OEFA, se derramaron 920.823 barriles de agua de reinyección conteniendo trazas de crudo.  Afecta la quebrada Pumayacu (7km), y Hugococha. Crudo en sedimentos submergido en el agua, aflora cuando"/>
        <s v="Bidones"/>
        <s v="Se detectó cuando el operador encargado encontró crudo saliendo del antorcha."/>
        <s v="72.87m², contaminación de suelo"/>
        <s v="Afecta al riachuelo de Pungacungayacu que fluye hacia el río Corrientes."/>
        <s v="Un derrame de bastante crudo afectó a la quebrada Pucakungayacu, quebrada Tseku entsa y el río Corrientes. Se dio debido a la oxidación externa de un tubo enterrado proveniente de la Batería Jibarito. Según el informe, la inversión en medidas preventivas "/>
        <s v="El evento afectó a la quebrada Paniyacu Grande."/>
        <s v="El derrame está afectando a la quebrada Tseku entsa, Pucacunga yacu y río Corrientes."/>
        <s v="El evento afectó a la quebrada Paña Yacu. Una gran cantidad de crudo fue derramada, impactando a la colcha aledaña y la zona aledaña. "/>
        <s v="Tubería antigua abandonada en el bosque. "/>
        <s v="barriles y otros materiales abandonados."/>
        <s v="Una gran cantidad de tubos abandonados."/>
        <s v="Se hizo un hueco para almacenar el derrame que hacen los pozos como el viento pozo 6"/>
        <s v="En este sitio se encuentra chatarra, como cajas de maquinas pesadas, aluminio, etc. Area afectada 40x35 metros"/>
        <s v="Suelo con petroleo"/>
        <s v="Lago contaminado"/>
        <s v="Pozo 24 de San Jacinto. Derrame que sale del Cabezal de Pozo cada vez que hace mucho sol, derrame en el Sumptank de Pozo 24 y se llena. Ya se han reportado derrames anteriores, y ya se estaba realizando un trabajo de limpieza y contingencia en el mismo lu"/>
        <s v="Lodo con petroleo crudo"/>
        <s v="Hojarasca y tierra con petroleo"/>
        <s v="Chatarra de tubos de fierro"/>
        <s v="Arboles y lodo con petroleo"/>
        <s v="Botadero"/>
        <s v="Botadero de fierros y otros"/>
        <s v="El bosque ha crecido por encima de un botadero."/>
        <s v="Botadero de fierro y concreto"/>
        <s v="Petroleo flotando en charco"/>
        <s v="Petroleo cubierto con hojarasca"/>
        <s v="Botadero de botellas"/>
        <s v="Quebrada contaminada"/>
        <s v="Chatarra enterrada"/>
        <s v="Quebrada contaminada con petroleo"/>
        <s v="Aguajal contaminado"/>
        <s v="Tanque de concreto"/>
        <s v="Botellas enterradas"/>
        <s v="Plantas contaminadas"/>
        <s v="Tubos expuestos"/>
        <s v="Laguna o cocha contaminada"/>
        <s v="Chatarra de tubos"/>
        <s v="A la fecha hay tres puntos de fuga en base san Jacinto: 1. Tanque de almacenamiento 1405 que la empresa dejo sin cerrar por lo que la lluvia lo ha hecho rebalsar 2. Tubo de 2” que ha hecho pequeño derrame de 20x10 3. Sump tank 1419 que hace no mucho tambi"/>
        <s v="Derrame en Sumptank 1440 al sumptank 1405"/>
        <s v="Tubería antigua botada en el bosque. "/>
        <s v="Tubo debajo del agua"/>
        <s v="La empresa informó que la ocupación de las instalaciones de la empresa por la comunidad 12 de Octubre estaba agravando la expansión del derrame porque los comuneros no permitieron los trabajos iniciales de contención en el momento.  Sin embargo, el origen"/>
        <s v="Tubería antigua abandonada."/>
        <s v="Suelo contaminado"/>
        <s v="Seis meses después del evento, aún hay rastros de crudo en el suelo. Una gran cantidad de crudo salió del oleoducto. En el está escrito &quot;TL08 J1A-SAJ.&quot; Afectó a un aguajal. Los monitores informan que el OEFA aún no ha hecho ninguna visita al sitio (no fue"/>
        <s v="Este sitio tiene una historia de contaminación. El crudo que aún queda se ha acumulado por muchos años, llegando a 3-4 metros de profundidad. Según el monitor ambiental, cada vez que llovía, estos pozos se desbordaban y después el contenido se vertía al m"/>
        <s v="Según la resolución directoral, la empresa no implementó medidas preventivas para evitar el derrame y el plan de contención se implementó tarde. "/>
        <s v="Se dio debido al desborde de un tanque. Las autoridades fueron informadas. "/>
        <s v="Tubos enterrados"/>
        <s v="Derrame grande en San Jacinto que afecta a quebrada Lupuna"/>
        <s v="Charco contaminado"/>
        <s v="Se dio debido la oxidación interna. Una gran cantidad de crudo se derramó. Del punto de la fuga el crudo se dispersó unos 10 metros por una zanja que llega a la quebrada de Piedra Negra y que podría llegar al río Tigre. El apu explica que antes del evento"/>
        <s v="El evento original se dio 19/12/2016 dentro de una zona PAC, en Ramal de Piedra Negra, cerca del pozo 13 en Batería San Jacinto. Al momento de tomar las fotos el OEFA aún no había visitado el sitio. Según el monitor ambiental, cuando la empresa empezó a r"/>
        <s v="Según la empresa, el evento se dio por oxidación interna de la tubería. La quebrada de Piedra Negra fue afectada. La empresa encargada de contener el derrame construyó barreras físicas utilizando materiales naturales como diques y flora. Según el informe "/>
        <s v="El derrame se dio debido a la oxidación interna de la tubería. Sucede el 19/02/2017 en el cruce 1A del oleoducto 8. El 21/02/2017 hubo otro derrame a unos 4 metros más allá del derrame anterior en el mismo oleoducto. Ambos derrames afectaron gravamente a "/>
        <s v="Derrame grande de agua de producción mezclada con crudo, contaminando a la quebrada Seticuyacu. Area afectada: 1159 metros cuadrados de suelo y 800 metros cuadrados de agua."/>
        <s v="400 metros de largo,ancho 3 metros,metraje total 1200 metros; Contaminación de cuerpo agua, Contaminación de suelo, Contaminación de animales"/>
        <s v="Residuos de concreto"/>
        <s v="Botadero de vidrios"/>
        <s v="Área afectada de 50 de largo por 9 ancho,metros cuadrados 450 metros. Cuerpo de agua afectada."/>
        <s v="Afectó a varias comunidades como 12 de octubre, San Juan Bartra y Arenal. Hubo un derrame grande de las instalaciones de la empresa que afectó profundamente al medio ambiente. El crudo derramado corrió por el río Kachiyacu, la quebrada Piedra Negra hasta "/>
        <s v="Chatarra de concreto"/>
        <s v="Botadero de residuos solidos"/>
        <s v="Hojarasca y suelo contaminado"/>
        <s v="Afectó al territorio de la CN Andrés Avelino Cáceres. Es un derrame de tamaño 200m2. El evento se dio dado a una fuga de tubería por oxidación interna. El OEFA no ha visitado el sitio y no se hizo remediación."/>
        <s v="Derrame de crudo en pozo 01, afecta área grande, contaminación de suelo y agua"/>
        <s v="Expedición de OEFA. Hay evidencia de petróleo mientras el equipo de OEFA recolectaba muestras. "/>
        <s v="Un tubo y un barril abandonado."/>
        <s v="Un gran número de bolsas de petróleo recuperado se amontonaron como consecuencia de un vertido de petróleo. El evento tuvo lugar en la comunidad 12 de Octubre."/>
        <s v="Sump Tank del Pozo 1A rebalsa de hidrocarburo impactando un área de 700 m²."/>
        <s v="Es un sitio contaminado antiguamente de las actividades de Pluspetrol y Oxy por muchos años. No se hizo ninguna remediación todavía. El evento afectó a un aguajal, una cocha e impactó a la quebrada Yanayacu. (la carpeta incluye unos ODK que se tomaron del"/>
        <s v="Tubos abandonados."/>
        <s v="El evento fue producto de obras para desenterrar un oleoducto antiguo que aún contenía crudo que fue abandonado (de los tiempos de Oxy).  Gran parte de este crudo se dispersó por la zona, llegando al río principal. "/>
        <s v="El evento se dio cuando un oleoducto antiguo fue desmantelado por el hierro. Afectó al territorio de Andres Avelino Cáceres."/>
        <s v="El hecho tuvo lugar frente a la comunidad de Mariscal Cáceres a raíz de un derrame originado tras el retiro de una antigua tubería. El petróleo se extendió y discurrió por un pequeño afluente del río Tigre."/>
        <s v="Derrame de petróleo de un tanque en las instalaciones Marsical Caceres. Se dio debido a una obra de un comerciante que cortó y se llevó un oleoducto antiguo. El crudo salió por los riachuelos hasta llegar al río Tigre. Los registros muestran bolsas de cru"/>
        <s v="La empresa encargada fue Pluspetrol. Afectó al territorio de comunidad Marsella y la quebrada Llanchama. "/>
        <s v="Este sitio es un sitio PAC y no ha sido remediado. El monitor ambiental informa que el sitio huele a petróleo. "/>
        <s v="Un derrame encontrado por Raúl Sandy mientras cazaba. Cuando el monitor visitó el sitio, los trabajos de remediación estaban en proceso. El evento afectó a la comunidad San Cristobal y el río Corrientes. El monitor ambiental reportó peces muertos en el ár"/>
        <s v="Hay barriles que contienen productos químicos botados en el bosque. Afecta a la comunidad 12 de Octubre. "/>
        <s v="barriles botados en el bosque."/>
        <s v="En 2013, OEFA con organizaciones de comunidades nativas de los ríos Pastaza, Tigre y Marañón hicieron una expedición de supervisión en el Lote 8 para identificar posibles sitios contaminados. Se informó sobre 41 sitios contaminados en Nueva Esperanza, Pav"/>
        <s v="Una cantina de pozo no adecuadamente abandonada. En 2013, OEFA con organizaciones de comunidades nativas de los ríos Pastaza, Tigre y Marañón hicieron una expedición de supervisión en el Lote 8 para identificar posibles sitios contaminados. Se informó sob"/>
        <s v="Una plátaforma abandonada que presenta evidencia de daño ambiental ahí cerca. "/>
        <s v="Según el informe de supervisión, se dio por una pérdida progresiva de presión interna."/>
        <s v="Pozo 25, sitio remediado por Pluspetrol donde los animales están haciendo colpa"/>
        <s v="Botadero de fierros y llantas"/>
        <s v="Restos de plátaforma de concreto"/>
        <s v="Botadero de bidones, restos de container"/>
        <s v="Botadero de llantas"/>
        <s v="plátaforma de concreto y botadero"/>
        <s v="Restos de fierros de tractores"/>
        <s v="Fuga de crudo de tubería y pozo abandonado, numero 92. Afecta la quebrada Nayanmaca"/>
        <s v="Derrame de crudo antiguo en Pozo 74, lo cual resultó en que animales están haciendo colpa."/>
        <s v="Una base abandonada que antes se usaba para actividades de transporte. "/>
        <s v="Hay metales y otros residuos acumulados."/>
        <s v="Pozo antiguo abandonado que, con los años, se ha convertido en una colpa contaminado por petróleo"/>
        <s v="Botadero de tubos y filtros"/>
        <s v="Crudo antiguo se puede encontrar en el río pequeño y un aguajal. "/>
        <s v="Contenedores aún con liquidos tóxicos peligrosos adentro."/>
        <s v="Afectó a Arturo Caño, afluente del río Corrientes 3 km aguas abajo. Ocurrió hace 15 años (aprox. 2013) y el sitio no ha sido remediado. La empresa encargada de la limpieza enterró el crudo. El lugar se ha convertido en un salegar/colpa contaminado por pet"/>
        <s v="5 días después del evento, el OEFA informó sobre la presencia de crudo sobre toda la quebrada Caño Carmen, del punto de la fuga hasta donde el riachuelo desemboca en el río Corrientes. Se reportó una extensión de 252,8 m2 de suelo y flora impactado. Los m"/>
        <s v="Derrame antiguo (6 meses atras) que sigue contaminando a la quebrada barrilana, la cual fluye hacia el rio Corrientes."/>
        <s v="Es un botadero antiguo donde la empresa oxi botaban todo los materiales plásticos y metales y se encuentran hasta ahora impactando"/>
        <s v="Esto Baradero se encuentran en canto de la carretera impactando el medio ambiente y nuestra salud"/>
        <s v="Este es un lugar que escabaron tipo un cajón grande donde echaban toda la basura son dos cajón en el mismo punto y se encuentran hasta hoy en el mismo lugar."/>
        <s v="Botadero de fierros y tubos"/>
        <s v="Botadero de chatarra (plastico, tubos, bidones) de 5x30 metros. Abajo de la chatarra hay crudo embolsado en plastico. La empresa lo ha tapado y dijeron a la comunidad que no hay contaminación."/>
        <s v="Derrame antiguo (2011), Pluspetrol remedió pero no suficiente. Afecta quebrada Camaronyacu."/>
        <s v="Chatarra de fierros"/>
        <s v="Es un botadero antiguo que a simple vista no se nota nada porque se encuentran enterrado que dejó la empresa Pluspetrol hace años y está enterrado"/>
        <s v="Dentro del territorio de la comunidad San Juan Bartra y la área de caza de El Ojeal. Hay varios barriles metales botados en el bosque. Hay una colpa."/>
        <s v="Contaminación al medio ambiente y ala salud de los vivientes. Afecta a la quebrada Montano. Numerado 1.2.4 en reporte de monitoreo San Juan de Bartra"/>
        <s v="En el km 10.500 metros  batería Bartra botadero antiguo  de materiales industriales; 30x100. Chatarra se encuentran tanto en la superficie y como también enterrado en gran cantidad. Afecta Cocha Verde."/>
        <s v="Este lugar ha sido un lugar donde la empresa Oxy botaba todo tipo de materiales y se encuentran en el mismo lugar(bidones condentro y si dentro con quimicas). Afecta quebrada montano y cochas ,saliendo por el río tigre. Hasta la fecha se ve que se están e"/>
        <s v="Este lugar es todo lo que arrojaban el pozo 4-5 el perímetro de suelo contaminado es aproximadamente de 2000 metros de ancho y de largo 2000 metros de ancho aprox."/>
        <s v="Sitio antiguo, botadero de crudo al lado de pozos 4 &amp; 5, donde ahora se encuentra una colpa artificial. Varios animales vienen a comer. El crudo también afecta a la quebrada Bufeo, la cual fluye hacia el rio Tígre. Dificil de estimar el area afectado porq"/>
        <s v="Botadero de tubos"/>
        <s v="Botadero de cilindros, calaminas y botellas"/>
        <s v="Sitio antiguo, afecta suelo y una quebrada"/>
        <s v="Sitios impactados por hidrocarburos"/>
        <s v="Exactamente no se sabe cuánto de extención se encuentra este botadero será un aproximado de 200 x100. Afecta quebrada Montano"/>
        <s v="Se acumularon restos antiguos de la época de Oxy. "/>
        <s v="Chatarra de tubos enterrados"/>
        <s v="Sitio antiguo; colpa artificial. En este sitio comen las Sacha vaca, venado,majas,Sajino, carachupa, maquisapa, etc."/>
        <s v="Es un lugar antiguo de bidones abandonados antiguos se encuentran aproximadamente de 100 x 500 metros. Antes eran algunos con dentro de quimicas se reventaron por el tiempo que tenia"/>
        <s v="Dentro del territorio de la comunidad San Juan Bartra y el área de caza y pesca de Puesto Vaca.  Es un sitio antiguo.  Hay un gran número de viejos bidones y barriles de metal abandonados en el bosque. Se encuentra también una colpa."/>
        <s v="En la misma batería Bartra se encuentra en esta condición hasta hoy en dia. Esta chatarras se encuentran en este lugar algunos enterrados y como también fuera casi no se nota nada porque están dentro del bosque. Este lugar es aproximadamente de 500 largo "/>
        <s v="El botadero contiene varios residuos como viejos bidones metálicos, barriles, tuberías, etc. La vegetación ha crecido y ha ocultado parcialmente la extensión y los daños causados por el botadero. "/>
        <s v="Este lugar este 100 a x 2000 metros de largo es derrame antiguo de hidrocarburos enterrando en este huagal. Contaminación a nuestros animales y la humanidad"/>
        <s v="Se encuentra cerca a la Batería Bartra, en el territorio de la comunidad San Juan Bartra. Hay pruebas sólidas de que el agua contaminada es utilizada habitualmente por animales y seres humanos. Nunca ha sido remediado. El monitor recuerda haber visto petr"/>
        <s v="Sitio antiguo; En este sitio botaban todo el crudo de pozos y oleoductos. Hoy en día se encuentran enterrados , pero cuando le mueves con algún objeto se ve que flotan.  Fuente es un oleoducto de pozo 1 al pozo 5. Area afectada de 150x800 metros. Afecta u"/>
        <s v="Aguajal Montano con contaminación"/>
        <s v="Botadero de fierros"/>
        <s v="Restos de base de Bartra"/>
        <s v="Sitio antiguo; el pozo 1 llenaban en el sump tank y le notaban hacia la bajada que hoy en día se encuentra acumulado en las cochas y donde hay bujurqui, boquichico ,fasaco ,shuyo entre otros especies. Estos derrames comtaminaron a la quebrada Sara yacu, q"/>
        <s v="Sitio antiguo; a 80 metros de pozos 10 &amp; 11 se encuentra una acumulación de crudo que afecta la quebrada Montano"/>
        <s v="Agua contaminada, Afecta aguajal y quebrada Montano"/>
        <s v="Chatarra de cilindros"/>
        <s v="Es una kolpa provocado por las empresa debido al derrame de quimicas y los animales comen y se contamina facilmente. Afecta caza, afecta quebrada Montano y otras,. Este lugar es de 50 de ancho por  400 metros de largo"/>
        <s v="En esta Cocha se acumulaba el derrame de pozo 9, nunca lo han remediado y hasta el día de hoy se encuentran enterrados. Area afectad:  60x150 metros."/>
        <s v="Este derrame causado por la misma batería y pozos. Afecta aguajal Montano"/>
        <s v="Botadero de cilindros"/>
        <s v="Agua contaminada, Afecta aguajal y quebrada Montano, 100x500"/>
        <s v="En este lugar de todo el pozo (6)(7)(8)(3) que  drenaban  se encuentran acumulado en este lugar y cuanto habra por dentro que sigue afectando a muchas quebrada"/>
        <s v="Está en el pozo 13-14 maquina de antiguos que sacaban petróleos. Antiguamente. Este lugar es aproximadamente de ancho 100 largo 250"/>
        <s v="Afecta a la quebrada Sara Yacu, aguajales, cochas y colpas. Hay evidencia de instalaciones abandonadas y crudo antiguo vertido que afecta a la zona desde hace mucho tiempo. Esta contaminación del medio ambiente afecta a la salud de las comunidades cercana"/>
        <s v="Derrame de crudo, suelo contaminado, 50x500. Afecta quebrada Montano. Este derrame está causando desde años  y no hay cuando lo remedien la afectación es continua"/>
        <s v="Sitios impactados por hidrocarburos; presencia de crudo y aceite en suelo"/>
        <s v="El monitor afirma que cuando llueva, los pozos se desborden y el crudo residual se desemboca en el medio ambiente. Cabe destacar que la batería Bartra no se ha operado desde hace muchos años. La contaminación afecta al territorio de San Juan Bartra."/>
        <s v="Residuos antiguos de los tiempos de Oxy, acumulados."/>
        <s v="El 22 de febrero 2017 (código COE201708), después de una denuncia administrativa hecha por Nemesio Díaz Piñola, el OEFA llevó a cabo una expedición de supervisión. El evento ocurrió en el ducto que conecta Batería 4 a Batería 7 Nueva Esperanza. Un área de"/>
        <s v="Suelo contaminado, afecta quebrada montano y aguajal"/>
        <s v="Presencia de crudo"/>
        <s v="Un oleoducto que conecta pozos 15 &amp; 16 con pozo 638, en el medio del oleoducto existe un antiguo derrame, el crudo se ha concentrado y está afectando a cochas y quebradas de pueblo. Está cerca al puesto coconal. Con el tiempol, el crudo se ha enterrado, p"/>
        <s v="El 22 de mayo 2017 (código COE201710) comuneros de la comunidad nativa San José de Nueva Esperanza hicieron una denuncia fornal sobre un derrame occurido 13 km de su comunidad. El derrame fue causado por un corte intencional en la tubería que conecta la B"/>
        <s v="Derrame de crudo en oleoducto de Batería 7 a Batería 4 Capirona, tierra afectada 5x30m"/>
        <s v="Tubo antiguo que aún contiene crudo."/>
        <s v="Se dio debido a la oxidación interna de la tubería. El apu de la comunidad nativa Pucacuro y un miembro de FECONACO con el OEFA visitaron el lugar. Encontraron por lo menos 476 m2 de aguajal y un área de 2,5m por los dos lados del oleoducto completamente "/>
        <s v="Los registros indican un pozo grande de crudo y una &quot;colcha&quot; impactada. La empresa está utilizando maquinaria pesada para encubrir este impacto, enterrando el crudo. "/>
        <s v="El área afectada por un derrame que se dio en 2011. La remediación hecha fue deficiente. "/>
        <s v="El derrame afectó a una laguna y su entorno. "/>
        <s v="La empresa hizo una limpieza del sitio. "/>
        <s v="El evento ocurrió debido a una ruptura en la línea de producción del pozo PAV-1103. Aunque este oleoducto no está en operación, aparentemente el oleoducto se ha roto cuando hubo un intento para bombear crudo nuevamente. El área afectada abarca 157m2, incl"/>
        <s v="Árboles talados encontrados por el oleoducto."/>
        <s v="Un derrame está afectando a la cocha Piuri."/>
        <s v="Se dio debido a la oxidación externa de la tubería. La quebrada Collpayo fue afectada."/>
        <s v="Derrame dentro de la comunidad Nuevo Porvenir. Afecta a la colcha Zungaro Yacu."/>
        <s v="Afecta a la laguna Zungaro Yacu"/>
        <s v="El derrame afecta a un cuerpo de agua."/>
        <s v="El evento ocurrió porque unos individuos externos cortaron con sierra el oleoducto Corrientes-Saramuro. Causó un derrame de crudo de 140 barriles cerca a la comunidad nativa Nueva Reforma. Un plan de contención se activó y se iniciaron trabajos de remedia"/>
        <s v=" Afectó al río y una colpa de aves. El lugar se inunde regularmente durante al época de lluvías. "/>
        <s v="Algunos individuos externos cortaron la tubería para extraer el diésel. "/>
        <s v="Supuestamente, después del evento, la empresa recuperó mucho del crudo y limpió todas las áreas afectados. Sin embargo, según el informe anual de monitoreo FECONACO de 2015, este sitio sigue contaminado."/>
        <s v="Afectó a la comunidad San Cristobal. Remediación incompleta. "/>
        <s v="Se ha encontrado residuos industriales del pasado enterrados. Fue limpiado por la empresa. "/>
        <s v="El derrame afectó a una laguna pequeña. Se ha encontrado peces muertos. Este lugar ha sido remediado anteriormente pero aún sufre impactos con regularidad, siendo necesaria una limpieza profunda. Es una zona PAC. "/>
        <s v="Derrame de crudo. Area de 15X16m tierra y 20 x 500m agua, sitio de remediacion PAC"/>
        <s v="El crudo se está cayendo directamente en el río."/>
        <s v="Se dio debido a la oxidación externa. En 2013, OEFA con organizaciones de comunidades nativas de los ríos Pastaza, Tigre y Marañón se llevaron a cabo una expedición de supervisión en el Lote 8 para identificar posibles sitios contaminados. De los 41 sitio"/>
        <s v="El derrame ocurrió por la rotura de dos oleoductos que corren del Topiplan a Batería 8 cerca a la carretera. Se inició en la válvula Check CK 2GL-3 dentro de la planta topping. El crudo se extendió por los canales de drenaje pluvial, llegando al tanque de"/>
        <s v="El derrame afectó al riachuelo de Pangui Entsa. "/>
        <s v="Encontrado agua cubiertos con crudo y 2 tubos rotos en quebrada Trompeterillo"/>
        <s v=" El sitio se encuentra dentro de una zona PAC que fue anteriormente remediado. Varias comunidades consideran que aún hay contaminación por remediar porque la remediación que se ha hecho no fue adecuada. "/>
        <s v="La empresa remedió una zona que anteriormente había sido deforestada. Aún hay presencia de crudo en el suelo. Es probable que este evento sea lo mismo que el de código CNA201101."/>
        <s v="La empresa está remediando la zona."/>
        <s v="La empresa está remediando la zona. La laguna MSA se ha visto afectada."/>
        <s v="Afectó a la quebrada Bohua negra."/>
        <s v="Tubería entre central electrica y baterías, afectación de 3x8 metros"/>
        <s v=" Afectó a la comunidad San Cristobal"/>
        <s v="Tuberías sueltas"/>
        <s v="Hubo un derrame de crudo en la línea de descarga de la motobomba MB-55. El crudo llegó al río Corrientes. Según la Resolución Directoral, el evento se dio debido a inversión insuficiente en medidas preventivas para proteger contra posibles derrames."/>
        <s v="Según el Reporte Técnico Acusatorio, se dio dado a una falta de mantenimiento básico de las facilidades, lo cual es necesario para evitar posibles derrames. El derrame de diésel afectó a una pequeña colcha en la comunidad San Cristobal."/>
        <s v="Hubo un derrame de diésel del tanque nº10."/>
        <s v="Según la empresa, la embarcación se hundó dado un aumento de flujo en el río por lluvías fuertes. Por ende, hubo una derrame de 800 galones de crudo al agua de la embarcación hundida."/>
        <s v="Derrame en tubería, area afectada de 2400 metros cuadrados, sitio está submergido en agua contenida por barreras de plástico, pero el agua sale poco a poco hacia la cocha y la quebrada Patoyacu"/>
        <s v="El vertido de petróleo se ha producido en el oleoducto que va de la Plataforma 12x a la Batería 2, en el territorio de la comunidad de San Cristóbal"/>
        <s v=" Derrame en la comunidad San Cristobal en el oleoducto que corre de plátaforma 33 a plátaforma 57, en Batería 2. Afectó a un aguajal."/>
        <s v="Afecta San Pedro y Saramuro. El monitor envía fotos y videos de lo que es una contaminación masiva a todo el río Marañón que baja desde la qda. Cuninico"/>
        <s v="Se ha encontrado en una zona de cultivo unos barriles antiguos abandonados que aún contienen crudo."/>
        <s v="Se abrió este procedimiento administrativo después de una denuncia hecha por FECONACO (Carta nº 0184-2015-PRESIDENCIA/FECONACO) advirtiendo sobre dos botaderos antiguos de la época de PetroPerú ubicados en dos chacras perteneciendo a Loida Chuje y Madre A"/>
        <s v="Nuevo derrame en plátaforma 57X por ruptura del oleoducto, la empresa no cumplió con avisar a las autoridades de la comunidad. Area afectada de 6x15 metros"/>
        <s v="Se dio debido a la oxidación interna de la tubería. A pesar de que sí se hizo una expedición de supervisión OEFA, no se abrió un procedimiento administrativo. Afectó a la zona de pesca (aguajales y cochas) de la comunidad San Cristobal, como la cocha Lopu"/>
        <s v="Afectó a un aguajal. En 2013, OEFA con organizaciones de comunidades nativas de los ríos Pastaza, Tigre y Marañón hicieron una expedición de supervisión en el Lote 8 para identificar posibles sitios contaminados. Se informó sobre 41 sitios contaminados en"/>
        <s v="El derrame afecta a un aguajal"/>
        <s v="Hubo un derrame de agua de produción, agua salada en plataforma 12x. Afecta aguajal y tierra. 10x25 metros."/>
        <s v="Un sitio contaminado antiguo no remediado. En 2013, OEFA con organizaciones de comunidades nativas de los ríos Pastaza, Tigre y Marañón hicieron una expedición de supervisión en el Lote 8 para identificar posibles sitios contaminados. Se informó sobre 41 "/>
        <s v="La parte baja de la quebrada Pumayaco fue afectada. Es una zona contaminada sin remediación."/>
        <s v="Una pequeña fuga de liquido de producción en una tubería de 6 pulgadas que viene de plataforma 47 hacia plataforma 33X, fue controlado."/>
        <s v="Agua afecta tierra 3x3 metros"/>
        <s v="hay residuos industriales antiguos abandonados."/>
        <s v="Debido a un derrame antiguo, se contaminaron cuerpos de agua."/>
        <s v="Derrame que ocurrió en el mes de Abril, durante la cuarentena. No se reportó a la comunidad. Extensión de area afectada es de 50x70 metros, en un aguajal, a 200 metros de la plataforma 137. Se ven dos parches en la tubería, por lo que parece que fueron do"/>
        <s v="Hay crudo en el suelo ahí cerca. "/>
        <s v="El derramo empezó en un depósito de borra."/>
        <s v="Afectó a la quebrada Trompeterillo Chico."/>
        <s v="Se ha encontrado bolsas llenas enterradas en la chacra de Loida Chuje Sandi. La empresa hizo una limpieza de los residuos."/>
        <s v="Hay depósitos antiguos de residuos industriales y materiales."/>
        <s v="Derrame en Nueva Alianza, del Chambira. 1200 m2 de impacto, fue la salida de un perno en la válvula."/>
        <s v=" Derrame de diésel, peces muertos encontrados en la zona PAC. "/>
        <s v="Los tapirs suelen visitar el lugar para consumir sal (es una &quot;colpa&quot;). No obstante, la collpa está contaminada de petróleo"/>
        <s v="Un derrame antiguo sin remediar. "/>
        <s v="Un campamento antiguo abandonado en el territorio de la comunidad Nueva Jerusalén."/>
        <s v="El hecho ocurrió hace más de 45 años en los tiempos de Oxy por una rotura de un camión cisterna y el descuido de los trabajadores. Afectó a la quebrada Vender yacu, y a la zona de caza y pesca de Saca runa. Algunos odk se refieren a ese evento ya que fuer"/>
        <s v="Es un vertido enorme. Los daños siguen siendo visibles a pesar de que los trabajadores llevan tres meses retirando el crudo. Han retirado más de 100 bidones, además de bolsas (más de 5000). Un monitor de Antioquia ha tomado fotos, su nombre es Salomon Hua"/>
        <s v="El sitio encuentra cruzando la quebrada Yanayaku. Este derrame abarca un área amplio. Según Venancio, no fue remediado. Este derrame sucedió en 1987 e impactó dos aguajales."/>
        <s v="Hay aún restos de crudo en el suelo desde los tiempos de Oxy."/>
        <s v="Afectó a la quebrada Capahuari. La empresa está ocultando el crudo. "/>
        <s v="Afectó al territorio de la comunidad Los Jardines. La empresa está ocultando el crudo."/>
        <s v=" Afectó a la cocha y hay evidencia de árboles talados. "/>
        <s v="Hay otros impactos como árboles talados y residuos botados. Afectó a la quebrada Shanshococha. El sitio huele a petróleo. "/>
        <s v=" Afectó la cocha Shirunchi y la quebrada Ullpayacu. Aún hay crudo en el suelo, ocultado ahí por la empresa. El sitio no ha sido remediado y aún se puede ver el crudo en la orilla. "/>
        <s v=" Aún hay crudo en el suelo, ocultado ahí por la empresa. El sitio no ha sido remediado y aún está afectando a la cocha Pashincocha y la quebrada Anapaza."/>
        <s v="El evento afectó a la cocha Ushpayaco y la cocha Lagarto. No hay fotos. Este área es utilizada por la comunidad Alianza Capahuari."/>
        <s v="Se dio por un oleoducto roto. Se ve un depósito, una cantera, tierras removidas y contaminación visible. Se encuentra en el territorio de caza de Cotoñabi y el territorio de pesca de Bujurqui Cocha. La cocha Atuntiyo, la quebrada Limón y una colpa son vis"/>
        <s v="Hay crudo saliendo dentro del poblado y también algunos residuos presentes. "/>
        <s v="Derrame antiguo ocultado. "/>
        <s v=" Afecta a la quebrada Ismacaño y las zonas de caza y pesca ahí cerca. Es un sitio distinto a los de PAS201606 y PAS201607."/>
        <s v="Un derrame antiguo que fue quemado. Aún afecta a la quebrada Anapaza y su entorno."/>
        <s v="Dos colpas fueron afectadas por derrames antiguos de los tiempos de Oxy y Pluspetrol."/>
        <s v="Las fotos tomadas por drone muestran crudo en la colcha. "/>
        <s v="Aún hay contaminación y no hay evidencia de trabajos de remediación. El OEFA ha visitado pero no se ha dado ningún resultado. Cabe destacar que la cocha fluye hacia la quebrada Ushapayacu. "/>
        <s v=" La cocha está contaminada con crudo lo cual afecta de manera directa a los medios de vida de la comunidad. Esta cocha fluye directamente a la quebrada Ushpayacu."/>
        <s v="La cocha Esteban está contaminada el el territorio de la comunidad Jerusalén."/>
        <s v=" El derrame impactó a la quebrada Marun entsa en la zona de la comunidad Pampa Hermosa."/>
        <s v="No hay mucha información disponible sobre la ubicación exacta. El derrame se dio en las instalaciones de Pluspetrol y afectó a una quebrada."/>
        <s v="Afectó a la quebrada Huayurí Norte en el área Machu Picchu."/>
        <s v="Gran derrame de petróleo de las instalaciones de la compañía Pacific."/>
        <s v="Hay una gran cantidad de bolsas plásticas llenas de crudo. "/>
        <s v="Mientras algunos trabajadores llevaban a cabo tareas de remediación, un árbol cayó encima de un oleoducto, causando otro derrame. En el mismo lugar, hubo dos derrames el mes anterior, de 19-21/02/2017. "/>
        <s v="En la temporada de lluvías, sube el nivel de agua y el crudo albergado afecta a la cocha Ullpayacu. Afecta también a un aguajal y eventualmente todas las cochas y quebradas que están aguas abajo, hasta el río Pastaza. Afecta al territorio y las zonas de c"/>
        <s v="Afectó a un aguajal y una cocha. El evento hizo daño a árboles, matando peces y lagartos. Aún afecta a la flora y fauna aledaña. En los registros se muestra dos ODK describiendo el mismo evento que ha sido dividido en TAS200707.1 y TAS200707.2. La informa"/>
        <s v="El evento se originó por el desmantelamiento de un oleoducto antiguo enterrado. Durante la visita, los monitores observaron peces muertos y árboles manchados por crudo. Afectó a la quebrada Bancal y los territorios de caza y pesca de Mariscal Caceres."/>
        <s v="La empresa responsable es Pacific. El derrame se dio por la oxidación de la tubería. Afectó a la quebrada Chanchama. Los trabajadores utilizaron un producto absorbente y una barrera para controlar la expansión del derrame. The Apu que estuvo presente fue "/>
        <s v="La fuga se ubica a unos cuatro metros más allá de otro punto de fuga que produjo un derrame en 19/02/2017 (Código de evento anterior: TOE201702/TJO201704)"/>
        <s v="Antiguo pozo con crudo enterrada. En este lugar el hidrocarburos esta aflorando por que en este lugar acampan las caminatas, o ronzocos."/>
        <s v="Es antiguo. Afectó a la Batería Huayari y los suelos y la flora aledaña. Se dio en el territorio de la comunidad José Olaya. "/>
        <s v="Afecta a la comunidad José Olaya."/>
        <s v="El evento afectó a la quebrada Huasahi en la comunidad José Olaya."/>
        <s v="Se dio debido a la oxidación interna del oleoducto. La contaminación afectó a la quebrada Shuyal y un aguajal."/>
        <s v="Los registros muestran una barrera colocada a través de un río para impedir que el petróleo fluyera río abajo. El evento afectó a la Quebrada de Piedra Negra."/>
        <s v="Instalaciones antiguas abandonadas."/>
        <s v="Derrame del oleoducto conectado al pozo 11, en el territorio de la comunidad Pampa Hermosa. "/>
        <s v="Los registros muestran instalaciones abandonadas en Batería 12 de Octubre."/>
        <s v="Aguajal con muchos residuos, mayormente plástico. "/>
        <s v="La empresa está remediando el impacto causado por un derrame en Nazareth ( 20/02/2018). Las fotos muestran el enorme impacto causado por el evento"/>
        <s v="Afectó a la sección que abarca Marsella-Andres Avelino Caceres y también una quebrada y el río Tigre. Según el monitor, la contaminación afectó a 450m2 de suelo y agua. "/>
        <s v=" Derrame de desagüe."/>
        <s v="Oleoducto sostenido por infraestructura no apta."/>
        <s v="Un oleoducto de una instalación de extracción vertiendo agua mezclada con crudo. "/>
        <s v="Se ve crudo en un cuerpo de agua. "/>
        <s v="Fotos de dron muestran zonas amplias deforestadas. "/>
        <s v="El evento se dio el 03/03/2007 en el territorio de la comunidad San Juan Bartra, en Batería Bartra. Afectó a la quebrada Montano y la zona aledaña de la aldea. No se hizo la remediación adecuada."/>
        <s v="Derrame antiguo y botadero en el jardin de Obelio Acho de los tiempos de Oxy"/>
        <s v="Hay un tanque antiguo abandonado lleno de crudo. Afecta a la quebrada Sara Yacu, cochas, colpas y quebradas aledañas."/>
        <s v="Gran cantidad de petróleo derramado. Los trabajadores de la empresa están quemando el crudo derramado. "/>
        <s v="El evento afectó a una quebrada (no hay más información)."/>
        <s v="Unos residuos abadonados en el bosque de actividades de exploración petrolera."/>
        <s v="Instalaciones antiguas."/>
        <s v="Pozo en malas condiciones."/>
        <s v="Afectó a un cuerpo de agua dulce."/>
        <s v="Instalaciones abandonadas.  Los registros muestran un pozo descuidado cubierto por una fina capa de aceite, presumiblemente como resultado de una fuga o un mal sellado."/>
        <s v="Se dio por una rotura de tubería. La empresa encargada es la Pacific. Las autoridades estuvieron presentes."/>
        <s v="El derrame impactó a las comunidades Arenal, 12 de Octubre, Cáceres y San Juan de Bartra. Afectó a un afluente que desemboca en el río Cachiyacu y también a la quebrada de Piedra Negra y el río Tigre. Según los monitores, esta zona ya había sido impactada"/>
        <s v="Residuos de metal enterrados en el bosque de los tiempos de Oxy. "/>
        <s v="Residuos de metal en el bosque de los tiempos de Oxy. "/>
        <s v="Residuos enterrados."/>
        <s v="Mantenimiento deficiente de la tubería, causando oxidación. "/>
        <s v="Es un sitio contaminado conocido por la población. Hay aún contaminación en la laguna donde las comunidades suelen pescar. La comunidad está exigiendo que la empresa haga remediación. Las autoridades comunales visitaron el sitio con los monitores ambienta"/>
        <s v="Peces muertos encontrados en el sitio de remediación. "/>
        <s v="Anteriormente hubo un derrame y fue limpiado. Recuperaron 81 barriles. Se han encontrado varias bolsas de petróleo abandonadas, aparentemente se las han dejado después de la limpieza. "/>
        <s v="Se dio por una tubería rota."/>
        <s v="Se dio por una rotura de un oleoducto antiguo, resultando en un derrame grande afectando a una Quebrada. Hoy en día, animales como el majaz y el venado toman agua contaminada. Los pobladores de la zona informaron a las autoridades, quienes fueron a hablar"/>
        <s v="La válvula se ha roto debido a la alta presión. Se pudo contener el derrame y la empresa mitigó el derrame aislandolo con barreras físicas. La empresa sacó 10-15 barriles de petróleo mezclado con diésel. Sin embargo, el monitor no sabe qué es lo que Corpe"/>
        <s v=" Afectó a un área de 18x40 metros y el río Pungacungayacu, ubicado 400 metros del derrame."/>
        <s v="Crudo derramado de un oleoducto abandonado. Una gran cantidad de crudo fue derramado y llegó a la quebrada Camaron yacu. El derrame afectó al aguajal, de ahí llegó al riachuelo hasta llegar al río Corrientes. Se derramaron unos 4-5 barriles, afectando al "/>
        <s v=" Crudo derramado de un oleoducto abandonado. Tuvo un gran impacto, contaminando cerca a 500 metros de quebrada, llegando a aguas abajo. Afectó a una colca y se ha encontrado peces muertos. &#10;"/>
        <s v="Crudo derramado de un oleoducto roto, afectando a más de 200 metros de la quebrada Cangrejo Yacu. Luego, afectó a la quebrada Sabalillo y el río Corrientes. El OEFA visitó el sitio (ID206 y ID205). El apu mantiene todos los registros documentarios. El sit"/>
        <s v="El incidente se dio debido a la oxidación interna de la tubería, afectando a la quebrada Piedra Negra y algunas cochas. Se denunció por el monitor ambiental que lo encontró. No se ha hecho la remediación."/>
        <s v="Un aumento inesperado de crudo en el área de tratamiento arrastró el crudo hacia los quemadores. Al final, se cayó al foso y llegó al sump tank, lo cual se rebalsó."/>
        <s v="Fuga de un tanque cuyo dueño es Pluspetrol. "/>
        <s v="Hubo un derrame grande dentro de las instalaciones petroleras. El crudo llegó a las zanjas de drenaje de agua y expandió a la zona aledaña. Probablemente haya llegado a cuerpos de agua. "/>
        <s v="El evento ocurrió debido a una falla durante una operación para bombear crudo de la batería 1 a un tanque ubicado en la plátaforma 114. El tanque se desbordó y 0.5 barriles de crudo impactó al suelo natural."/>
        <s v="El derrame se dio al pie del tanque."/>
        <s v="Un riachuelo fue contaminado por la parte arriba con crudo en más de 35 km. El derrame afectó a la quebrada Nayanmacu."/>
        <s v="Esto es un sitio PAC."/>
        <s v="Los trabajos de remediación aún no se inician."/>
        <s v="Hay residuos de las actividades de los trabajadores botados al medioambiente"/>
        <s v="Un riachuelo fue afectado."/>
        <s v="El sitio ha sido remediado."/>
        <s v="Una remediación adecuada no se ha hecho aún. "/>
        <s v="Un tubo enterrado está vertiendo petróleo."/>
        <s v="Barriles barriles que aún contienen petróleo."/>
        <s v="La empresa está quemando el derrame de crudo in situ. "/>
        <s v=" Un tubo vertiendo agua mezclada con crudo. "/>
        <s v="La remediación no se ha hecho adecuadamente."/>
        <s v="Suelo contaminado por crudo. La empresa está remediando el sitio."/>
        <s v="Un tubo roto es el origen del derrame. Este evento ocurrió en un riachuelo pequeño que pertenece a la quebrada Pucacungayacu. Según el informe, unas barreras de contención se armaron sobre el riachuelo. Se quemó el crudo por los trabajadores encargados de"/>
        <s v="Los aves comen del suelo contaminado cerca al pozo. "/>
        <s v="La empresa está remediando un derrame que afecta a una superficie grande. "/>
        <s v="Remediación incompleta. Suelo aún contaminado."/>
        <s v="Crudo antiguo vertido en la comunidad José Olaya."/>
        <s v="Este evento ocurrió porque un árbol se cayó por encima de un tubo. Eso le afectó a un área que abarca una ladera con flora y una pequeña quebrada. Impactó un río, cubriendolo con una capa de crudo. "/>
        <s v="Remediación incompleta."/>
        <s v="Una laguna fue contaminada por multiples derrames."/>
        <s v="La empresa cambió un tubo antiguo y roto pero no ha remediado la zona. "/>
        <s v="El agua de producción es botada directamente al río, afectando a la comunidad de San Cristobal."/>
        <s v="El sitio no ha sido remediado."/>
        <s v="El sitio no ha sido remediado. La laguna ha sido contaminada."/>
        <s v="El sitio no ha sido remediado. La laguna sigue contaminada."/>
        <s v="Una sustancia quimica de color amarillo ha sido botada."/>
        <s v="La foto muestra un pozo natural completamente lleno de crudo."/>
        <s v="El derrame afecta al río."/>
        <s v="Crudo derramado de barriles. "/>
        <s v="Agua contaminada debido a un derrame de crudo."/>
        <s v="Agua contaminada debido a un derrame de crudo. Superficie afectada: 7m2x55m2."/>
        <s v="Crudo y otros productos quimicos derramados al medioambiente. "/>
        <s v="Hay un murciélago muerto en el tanque. "/>
        <s v="Hay un oleoducto que aún contiene crudo. Por el alto nivel de contaminación, algunos árboles han muerto. "/>
        <s v="Múltiples barriles antiguos que aún contienen crudo. "/>
        <s v="Hubo un derrame grande cerca de las instalaciones petroleras (no se puede identificar desde las fotos la ubicación exacta). Las fotos muestran un pozo grande de crudo que aún está saliendo. Muestra que el crudo sale por las zanjas y probablemente haya lle"/>
        <s v="El evento ocurrió debido a un exceso de presión sobre los equipos de tratamiento de crudo. El crudo derramado salió hacia las descargas de agua de la batería Jibarito, afectado a la quebrada Tseku entsa y quebrada Pucacunga yacu."/>
        <s v="La empresa está remediando la zona. Un video muestra un ave completamente bañado por crudo."/>
        <s v="La laguna está contaminada."/>
        <s v="El suelo y el agua afectados por contaminación."/>
        <s v="Suelo contaminado por crudo."/>
        <s v="La empresa ha remediado la zona."/>
        <s v="Quebrada impactada."/>
        <s v="Un pozo de crudo se desbordó, afectando a la zona aledaña. "/>
        <s v="La reparación no se ha hecho adecuadamente. Han habido varias fugas."/>
        <s v="Los registros muestran una fuga de crudo de un tubo hacia el medioambiente. Hay mucha evidencia de un impacto negativo en el pequeño riachuelo de agua dulce."/>
        <s v="Tubería rota."/>
        <s v="El derrame afectó al río Corrientes. "/>
        <s v="El derrame de diésel fue prooleoducto de una falla mecánica en las instalaciones. El derrame afectó al río. "/>
        <s v="El derrame de crudo fue causado por un exceso de presión en la línea de bomba Huayurí-Jibarito. El crudo salió hacia el derecho de via. No hay información sobre el impacto ambiental de este evento."/>
        <s v="Los registros muestran una cantidad significativa de restos como barriles de metal y plástico y otros residuos, algunos aún conteniendo petróleo. El monitor dice que las empresas han ocultado los derrames cubriendolos con tierra."/>
        <s v="Tubo antiguo que aún contiene crudo. El suelo justamente debajo está impactado. "/>
        <s v="Los registros muestran instalaciones abandonadas (tubería) y residuos solidos botados ahí cerca.  "/>
        <s v="Un pozo antiguo y unos materiales de producción petrolera abandonados en pleno bosque. "/>
        <s v="Hay pedazos de tubería antigua abandonados por ambos lados de la tubería recién instalada."/>
        <s v="Instalación externa para la electricidad adecuadamente asegurada. "/>
        <s v="barriles antiguos abandonados"/>
        <s v="barriles antiguos de metal y plástico aún con petróleo."/>
        <s v="Pedazo de tubería abandonado con evidencia de petróleo adentro y un barril de metal."/>
        <s v="Hay pozos antiguos y abandonados con evidencia de derrames antiguos."/>
        <s v="Es el mismo derrame que el de código PJP2010_06 de fecha 12/12/2010. Hay evidencia de contaminación en el suelo y de petróleo contaminando a la quebrada Ushupayacu. Los registros muestran fosas profundas donde la empresa oculta el crudo."/>
        <s v="Tubería antigua botada. "/>
        <s v="Alambre metálico abandonado."/>
        <s v="Unos barriles parcialmente enterrados y completamente abandonados."/>
        <s v="barriles y tubería antigua abandonados."/>
        <s v="barriles abandonados."/>
        <s v="Tubería e instalaciones antiguas abandonadas. "/>
        <s v="Tubería, barriles e instalaciones antiguas abandonadas. "/>
        <s v="Hay evidencia de crudo en el suelo."/>
        <s v="Hay evidencia de hidrocarburos en una laguna y los registros muestran un pez muerto."/>
        <s v="barriles y tubería abandonados."/>
        <s v="Pedazos de tubería abandonados."/>
        <s v="Hay barriles de metal y plástico botados en el medioambiente de la industria petrolera."/>
        <s v="El video muestra una gran cantidad de barriles antiguos botados en el bosque."/>
        <s v="Los registros muestran una gran cantidad de tubos antiguos, barriles y otras instalaciones abandonados en el bosque."/>
        <s v="Hay barriles antiguos llenos de cemento que han sido abandonados en el bosque."/>
        <s v="El sitio tiene hartos residuos de metal y plástico."/>
        <s v="Hay barriles, tubería, etc. botados en el bosque. La empresa no ha limpiado la zona y ya está creciendo flora por encima."/>
        <s v="Crudo antiguo enterrado."/>
        <s v="El derrame afecta a un río. "/>
        <s v="Por el lado izquiero hay una válvula botando aguas de producción. Este agua contaminada fluye hacia el río Capahuari."/>
        <s v="barriles que aún contienen crudo. "/>
        <s v="Un poblador contó que hubo un derrame significativo en los tiempos de Oxy, afectando a la zona, particularmente a la quebrada Chinguito."/>
        <s v="Se dio en la comunidad José Olaya, afectando a la quebrada Machu Pichu."/>
        <s v="Un tubo antiguo se ha roto en plena aguajal y de ahí el crudo se ha expandido por una pequeña quebrada. De ahí ha llegado a la quebrada Lupuniya. Hoy el crudo forma una capa densa que cubre la superficie y afecta a la flora y fauna. El OEFA visitó al siti"/>
        <s v="El derrame probablemente haya sido prooleoducto de una rotura de soldadura. Afectó al territorio de la comunidad Bretaña, la quebrada Aguablanca aguas abajas de Machari y el río Tigre y un aguajal. La zona de impacto constituye unos 300 m2. Se informó que"/>
        <s v="El mismo evento se dio en 19/02/1999 y afectó a la comunidad José Olaya."/>
        <s v="Derrame de agua de formación, al parecer, posiblemente mezclado con crudo. Sale de un punto en la tubería que ya tiene grapa, con fecha de soldeo 23-09-2019."/>
        <s v="Sucedió debido a una rotura en una o dos tuberías. El derrame afectó de manera significativa a la zona aledaña. "/>
        <s v=" Área deforestada con bastante residuos botados o enterrados. Este botadero afecta a la quebrada Cetico, en Batería Shiviyacu."/>
        <s v="El monitor dijo que este lugar era un botadero donde la empresa enterraba materiales provenientes de sus actividades, enterrado 5 metros bajo la superficie del suelo. Se detecta presencia de algunas sustancias químicas peligrosas, siendo afectada la quebr"/>
        <s v="Bolsas llenas de crudo recogidas por trabajadores de la empresa. "/>
        <s v="Varios barriles abandonados."/>
        <s v="Instalaciones antiguas abandonadas (tubería, cables, etc). Hay evidencia de contaminación química. "/>
        <s v="Suelo y agua contaminados."/>
        <s v="barril antiguo abandonado."/>
        <s v="El video muestra el esqueleto de una sachavaca que murió debido a la contaminación, según el monitor. "/>
        <s v="Sitio con agua contaminada y se ve crudo en la superficie del agua. Cuando se sacude en el fondo del cuerpo de agua, el crudo sale. "/>
        <s v="El video muestra un campamento temporal de personas de Andoas que han migrado por la contaminación de las empresas petroleras a sus territorios y zonas de caza y pesca. Toman directamente del agua contaminada de la cocha. "/>
        <s v="Los comuneros indican que hay instalaciones (pozos, tubos, etc) abandonadas en el bosque. Las empresas han estado botando residuos tóxicos directamente a los aguajales durante años, hasta 2009. La comunidad está reclamando la limpieza de la zona. Se evide"/>
        <s v="Varios comuneros han recoletado agua y peces muertos de una colcha contaminada. "/>
        <s v="Una colcha afectada por crudo antiguo. "/>
        <s v="Crudo antiguo saliendo después de ser sacudido con un palo. "/>
        <s v="Un vehículo botado. "/>
        <s v="Cerca a la quebrada que fluye a la quebrada Piedra negra. Esta información proviene de un análisis de campo de OEFA hecho después del derrame. Afecta a una fuente de agua. Hay una gran cantidad de bolsas plásticas llenas de crudo acumulándose. Hay mucha e"/>
        <s v="Afectó a un aguajal, a la Quebrada capahuari y la Quebrada shippilay que fluye hacia el río Pastaza. Afecta a las zonas de caza y pesca de la Quebrada capahuari y Quebrada shippilay. Fue contaminada por Pluspetrol. La empresa sostiene que el sitio fue rem"/>
        <s v="El monitor cuenta que sus territorios de caza y pesca han sido contaminados por la extracción de petróleo, lo cual les obliga a mudarse para poder conseguir insumos y comida."/>
        <s v="Afectó a la comunidad de Jerusalén."/>
        <s v="Hay barriles y pedazos de tubería entre otros residuos enterrados de los tiempos de Oxy. El sitio actualmente es una colpa."/>
        <s v="Los registros muestran unas instalaciones abandonadas y una falta de implementación de medidas preventivas básicas. "/>
        <s v="Se dio por una rotura en la tubería. Este evento afectó a una zona amplia y el petróleo llegó al río. La empresa puso un abrazadera (un perno) en la fisura."/>
        <s v="Los registros muestra una gran cantidad de bolsas plásticas llenas de crudo acumuladas. Cuando se tomaron las fotos, aún había petróleo en el suelo. Hay evidencia de un impacto directo en la fauna. "/>
        <s v="La quebrada Yanayacu fue afectada por un derrame hace 30 años. La empresa excavó un tajo y lo llenó con el crudo. Este tajo aún existe pero está cubierto por plantas. La empresa nunca lo remedió y se ha convertido en una fuente de contaminación que está a"/>
        <s v="Los pozos 12 y 14 no están adecuadamente tapados y hay fugas de gas. Está en riesgo de colapsar. El monitor les informó a los apus y el OEFA fue informado. Un equipo visitó a Bartra el 7 de junio 2016 pero no hay más información sobre la visita."/>
        <s v="El crudo se ha acumulado debajo del suelo y contamina a los riachuelos."/>
        <s v="Hay un botadero que contiene barriles antiguos y otros restos de las actividades de extracción de Oxy (Occidental Petroleum). Afecta a la quebrada Montano."/>
        <s v="En un área privada los residentes dicen que existe un depósito con chatarra, fierros y plásticos y barriles con químicos. Esta información proviene de ex-trabajadores de Oxy."/>
        <s v="Con los años, hay otros derrames que ya han impactado a la zona. Sin embargo, nunca ha sido remediado. Hay un ducto abandonado por el otro lado del pueblo. Hubo un gran derrame y el crudo afectó a las quebradas y cuerpos de agua aledaños. OEFA todavía no "/>
        <s v="En los tiempos de Oxy, lodos de perforación de los pozos 22 y 27 fueron vertidos en la quebrada Cucuyacu que fluye hacia la quebrada de Piedra Negra. Estos charcos aún existen y los animales los usan como una fuente de sal. Esta información proviene de Jh"/>
        <s v="La empresa responsible es Oxy y en los tiempos de Oxy, la empresa solía botar crudo directamente al medioambiente. Los restos del crudo llegan hasta 1.2 metros de profundidad, 40 metros de ancho y 1 km de distancia. Fue visitado por Sr. Baskut de las Naci"/>
        <s v="Rotura de tubería como consecuencia de corrosión interna y falta de mantenimiento."/>
        <s v="Afectó a la quebrada Ogo."/>
        <s v="El derrame afectó a la Quebrada de Piedra Negra y el río Tigre."/>
        <s v=" Se ha impactado a la quebrada Poroto desde hace muchos años. Este derrame antiguo se dio en 2000 y no se remedió. OEFA nunca visitó el sitio. Tiene un impacto directo en la comunidad Arenales porque el crudo está contaminando fuentes de agua dulce, el su"/>
        <s v="Un rango de residuos han sido enterrados, incluidos vehículos y residuos hospitalarios. Incluye un área de 200m por 500m. En 2015, el sitio fue remediado de manera superficial por Pluspetrol pero aún alberga cantidades de materiales dañinos. "/>
        <s v="Una &quot;colpa&quot; contaminada prooleoducto de derrames de los tiempos de Oxy y Pluspetrol."/>
        <s v="Un botadero antiguo en una &quot;colpa.&quot; El área total incluye más de 800 x 800m de superficie."/>
        <s v="La colcha ha sido contaminada."/>
        <s v="Tubería antigua enterrada. "/>
        <s v="Vehículos antiguos abandonados en el bosque. "/>
        <s v="Varios barriles botados."/>
        <s v=" El derrame antiguo afecta a una colca (salegar) utilizado por animales."/>
        <s v="Superficie de agua con crudo."/>
        <s v="Orilla contaminada."/>
        <s v="Derrame de un tanque de almacenamiento antiguo."/>
        <s v="Este procedimiento administrativo es prooleoducto de una reunión entre el OEFA y miembros de FECONACO para identificar posibles sitios contaminados dentro de la cuenca del río Corrientes, particularmente los que se encuentran cerca al 'Derecho de Vía del "/>
        <s v="La FEDIQUEP hizo una denuncia formal advirtiendo al OEFA sobre el derrame de crudo."/>
        <s v="Un tanque de Pluspetrol se ha llenado con crudo. "/>
        <s v="Hay evidencia de una zona contaminada por un derrame antiguo. El crudo permanece en el fondo del cuerpo de agua, lo cual sale cuando se sacude el lodo. "/>
        <s v="Instalaciones abandonadas."/>
        <s v="Los registros muestran unos trabajadores remediando un sitio impactado y también una cantidad de bolsas plásticas llenas de crudo. "/>
        <s v="Se sabe que Pluspetrol contrató a una empresa comunal para remediar al derrame. Sin embargo, no queda claro si el OEFA haya visitado o haya tomado muestras en el sitio impactado."/>
        <s v="Se mezcló accidentalmente crudo con agua durante un trabajo de limpieza del sump tank y bulk drums. "/>
        <s v="Remediando el sitio."/>
        <s v="Un sitio muy impactado. Hay un depósito grande cerca a las instalaciones que permiten ver los efectos de la contaminación del suelo. "/>
        <s v="Afectó a una cocha y las áreas de caza y pesca de la comunidad José Olaya."/>
        <s v="El crudo permanece en la cocha. Cuando el monitor sacude el fondo de la cocha, sale crudo. "/>
        <s v="Un depósito mostrando crudo antiguo almacenado en el suelo. "/>
        <s v="Una gran cantidad de plástico y otros materiales visibles en la zona. Un botadero activo. "/>
      </sharedItems>
    </cacheField>
    <cacheField name="Descripción detallada de ubicación" numFmtId="0">
      <sharedItems containsBlank="1">
        <s v="Batería Capahuari Norte, comunidad Titiyacu"/>
        <s v="12 de octubre"/>
        <s v="oleoducto tobiria Ramar norte en comunidad Paniyacu"/>
        <s v="Pozo 2, Batería Capahuari Norte."/>
        <s v="parte trasera de Batería Capahuari Norte, a 500 m de los pozos 10 y 12."/>
        <s v="Batería Capahuari Norte."/>
        <s v="Titiyacu."/>
        <s v="Frente al pozo 6 y 8, Batería Capahuari norte."/>
        <s v="A 50m de la entrada de los pozos 6 y 8, en Batería Capahuari Norte."/>
        <s v="Batería capahuari norte"/>
        <s v="En el territorio de la comunidad de Titiyacu "/>
        <s v="Plátaforma Capahuari norte"/>
        <s v="pozo 9, Batería Capahuari Norte."/>
        <s v="Batería Capahuari Norte, a 500 m del pozo 9."/>
        <s v="pozo 5, camino de Comunidad Titiyacu a Batería Capahuari Norte."/>
        <s v="Km No. 12 del oleoducto Norperuano-Ramal Norte (ORN), a 3 km de la comunidad Titiyacu en el distrito de Andoas."/>
        <s v="En el territorio de la comunidad Titiyacu, Batería Capahuari Norte."/>
        <s v="derrames del Pozo 1 de Capahuari Norte, al km 14 de la carretera a Capahuari Norte."/>
        <s v="Pozo 3, Batería Capahuari Norte."/>
        <s v="Andoas, Batería Capahuari sur, Lote 9 (dentro del aeródromo de Andoas)"/>
        <m/>
        <s v="Territorio de la comunidad Los Jardines (Batería capahuari sur)"/>
        <s v="En el pueblo de Nuevo Andoas, a 50m del río Pastaza y frente a la estación ccnn. Nuevo Andoas."/>
        <s v="En el territorio de Nuevo Andoas."/>
        <s v="Capahuarí KM4+300"/>
        <s v="En el territorio de Nuevo Andoas. Ese punto está a 5 m de 2 tanques, utilizados para abastecer de combustible a las aeronaves."/>
        <s v="Cocha Ushpayacu y quebrada Anapaza de la comunidad Alianza Capahuari."/>
        <s v="En la ''chacra&quot; frente a PetroPerú, en territorio de la comunidad Nuevo Andoas."/>
        <s v="Base principal de Frontera Energy, Nuevo Andoas."/>
        <s v="A 600 m de la carretera, km 4. Batería Capahuari Norte."/>
        <s v="A 200 m del asentamiento Nuevo Andoas."/>
        <s v="Batería Capahuari sur"/>
        <s v="Km 2+300 Capahuari Norte, colindancia Porvenir-Titiyacu"/>
        <s v="Tambo x1x, vía Capahuari Norte, km 2."/>
        <s v="Quebrada Isma Caño, en el territorio de Nuevo Andoas. El punto se encuentra a 5m del oleoducto que va desde Frontera hasta el punto de recolección. Las coordenadas dadas fueron tomadas en el punto donde se realizó el video."/>
        <s v="Carretera km no. 02, hacia Capahuari Norte (Batería Capahuari Sur)."/>
        <s v="Carretera Bahía los Jardines, a 200 m de Los Jardines. El sitio está en Esma Caño."/>
        <s v="Batería Capahuari Sur."/>
        <s v="Tramo tubería Capahuari norte, Cerca a pozo 32; cerca a un aguajal con quebrada que fluye hacia la quebrada Anapaza"/>
        <s v="Cerca del pozo 32, Batería Capahuari sur."/>
        <s v="Pozo 32. El lugar se llama ''el Cementerio de Chatarra'' (Nuevo Andoás, Batería Capahuari Sur)."/>
        <s v="Shipiro Cocha"/>
        <s v="Pozos 18, 19 y 20"/>
        <s v="Comunidad Nuevo Andoas (Batería Capahuari Sur)."/>
        <s v="En el territorio de Nuevo Andoas, Batería Capahuari sur."/>
        <s v="Batería Capahuari sur, por el km 7 a Andoas, a 150 metros de la carretera."/>
        <s v="Ramal de shirunchicocha."/>
        <s v="En el territorio de la comunidad Nuevo Andoas."/>
        <s v="Batería Capahuari sur., pozo 35."/>
        <s v="En el territorio de la comunidad Nuevo Andoas (Batería Capahuari Sur)."/>
        <s v="Territorio de la Comunidad Los Jardines "/>
        <s v="Alrededores de Planta Central de Producción, km 16 vía principal, Batería Capahuari sur. Desde Andoas hasta el punto Piripiri cocha."/>
        <s v="Capahuari sur."/>
        <s v="Territorio de la comunidad de Chipilay, km no. 7 al lado derecho de la carretera. Nuevo Andoás. Batería Capahuari Sur."/>
        <s v="Batería Capahuari sur, en territorio Nuevo Andoas."/>
        <s v="Base principal de Andoas, en el territorio de la comunidad Nuevo Andoas. Batería Capahuari Sur."/>
        <s v="La quebrada Ushupayacu."/>
        <s v="Batería Capahuari sur, quebrada Ushupayacu. La población más cercana es Alianza Capahuari."/>
        <s v="En la Minicentral Eléctrica de Capahuari Sur."/>
        <s v="Cerca de laboratorio Batería Capahuari sur, carretera principal km 4. La población más cercana es Alianza Capahuari."/>
        <s v="Código CSUR09, en la Batería Capahuari Sur. Se ubica entre la zanja de drenaje de seguridad básica y el oleoducto."/>
        <s v="Batería Capahuari sur, Andoas, Lote 1."/>
        <s v="carretera principal, km 17+200m. El sitio está a 30 m de la carretera."/>
        <s v="Código: SL-CPS2-J. Se ubica en el oleoducto principal que va a Wayuri, Shiviyacu donde se juntan dos oleoductos, el de lado derecho va a Tambo (Batería Capahuari Sur) y el otro sigue recto."/>
        <s v="Colcha Ushupayacu (Shipilay), en territorio de la comunidad Alianza Capahuari."/>
        <s v="Quebrada capahuariyacu, en el territorio de la comunidad Nuevo Andoas, Batería Capahuari Sur."/>
        <s v="En el territorio de la comunidad Los Jardines (Batería Capahuari Sur)"/>
        <s v="quebrada Ushupayacu, Batería Capahuari sur, que fluye por la quebrada Shipilay y fluye hacia el río Pastaza. PAC código CAPS27."/>
        <s v="El crudo proviene de las quebradas Ushupayacu y Shipilay."/>
        <s v="Batería Capahuari sur, en el territorio de Alianza Capahuari. Se ubica cerca a la boca de la quebrada Capahuari, aguas abajo del punto de salida de aguas de producción en Capahuari Norte y Capahuari Sur."/>
        <s v="Base Andoas, en el territorio de la comunidad Nuevo Andoas."/>
        <s v="En el territorio de la comunidad Alianza Capahuari, cerca de &quot;Batería&quot; Tambo x."/>
        <s v="el oleoducto proveniente de Tambo Sur, pozo 1X."/>
        <s v="Pozo 4 Tambo x.1x."/>
        <s v="Oleoducto Shiviyacu-Huayurí-Estación de Acopio-Capahuari Sur, km 34."/>
        <s v="km 34 oleoducto Huayari hacia Andoas"/>
        <s v="tubería  Dorissa-Andoas"/>
        <s v="tubería Huayuri Andoas"/>
        <s v="Huayuri Carretera Principal km 48"/>
        <s v="km 48, Parte de CC.NN. Nueva Jereusalen y parte de CC.NN. Jose Olaya."/>
        <s v="Tubería el Carmen"/>
        <s v="Pozos 1605 y 1607 en el área de la comunidad José Olaya."/>
        <s v="Batería Huayurí Norte."/>
        <s v="CC.NN. Jose Olaya"/>
        <s v="Carretera Huayuri Norte KM 2+500, comunidad cercana es José Olaya"/>
        <s v="KM 53 de la carretera, comunidad cercana José Olaya"/>
        <s v="Huayurí"/>
        <s v="a 7km de la CC.NN. José Olaya"/>
        <s v="Batería Huayurí."/>
        <s v="Bateria Huayuri, a 7km de la CC.NN. José Olaya"/>
        <s v="Base Huayurí CN."/>
        <s v="Lote 101."/>
        <s v="el sitio del botadero se encontró dentro del territorio de la Comunidad San Cristóbal."/>
        <s v="Batería Carmen."/>
        <s v="Tanque de diesel en Batería Dorissa 12. /Batería Dosrissa, tanque 10."/>
        <s v="Batería Dorissa."/>
        <s v="En el territorio de la comunidad Nueva Jerusalén."/>
        <s v="Batería Dorissa, Pozo 15."/>
        <s v="en los pozos petroleros 1x, 02, 03, km 19, carretera Dorissa."/>
        <s v="pozos 02, 03 y 04- km 19, Batería Dorissa."/>
        <s v="Sump Tank del Pozo 9 Dorissa"/>
        <s v="A 1 hora en moto de la comunidad Nueva Jerusalen"/>
        <s v="Pozos 9 y 7 de la Batería Dorissa."/>
        <s v="Pozo cerrado #13 de yacimiento Dorissa"/>
        <s v="Cerca de la Plátaforma del pozo 18, en Batería Dorissa."/>
        <s v="Batería Dorissa 14."/>
        <s v="Cerca del pozo 20 (inoperativo), en la Batería Dorissa."/>
        <s v="Pozo 12-01 Dorissa"/>
        <s v="Pozo D-17/Batería Dorissa."/>
        <s v="Línea de flujo del pozo Dorissa 18./ Batería Dorissa."/>
        <s v="En el Km 70, Batería Shiviyacu, cerca de Quebrada Manchari."/>
        <s v="Batería Dorissa, km 16."/>
        <s v="En territorio de la comunidad Nueva Jerusalén."/>
        <s v="En el pozo 1x km 3 Huayuri Norte."/>
        <s v="Pozo 18, km 5. Batería Shiviyacu."/>
        <s v="Nueva Jerusalén"/>
        <s v="Batería Shiviyacu."/>
        <s v="Forestal, José Olaya"/>
        <s v="Shiíyacu 12km + 25 km de la comunidad. Hay carretera de José Olaya a Shiviyacu, y también hay carretera hasta el Yacimiento pozo 10 que está contaminado."/>
        <s v="Pozo 5 de Forestal, comunidad José Olaya"/>
        <s v="Pozo 15, cerca del km 19 de carretera. Cerca de &quot;Esteban Cocha&quot;."/>
        <s v="Tanque 591, Bateria Forestal, territorio de la CC.NN. Jose Olaya"/>
        <s v="Forestal, comunidad José Olaya"/>
        <s v="BOE FORE 03 comunidad cercana José olaya"/>
        <s v="Batería Forestal."/>
        <s v="Ocurrió cerca de la vía Jerusalén a Jibarito, alrededor del km 19."/>
        <s v="Pozo 6. Ocurrió a unos 200 metros de la vía Shiviyacu-Forestal, en el km 3,5."/>
        <s v="En la carretera principal Huayuri-Jibarito, Km 19+100, en Yacimiento Jibarito. Carretera Jerusalén a Jibarito, km 19."/>
        <s v="Floyente de machari, Tanque de sumidero del pozo 19, en bateria Shiviyacu. Carretera de Bateria Shiviyacu a Bateria Forestal, en el km 1. Afectó el territorio de la comunidad José Olaya. "/>
        <s v="Batería Shiviyacu. En el km 6+800 de la carretera Shiviyacu-Forestal (a la entrada al pozo Shiv-27)."/>
        <s v="Pozo 6 de Batería Shiviyacu y Forestal, por el km 5, en territorio de la comunidad José Olaya."/>
        <s v="Información de un cuaderno. No. 280"/>
        <s v="1A, Doce de Octubre"/>
        <s v="Información de un cuaderno. No. 279"/>
        <s v="Información de un cuaderno.No. 278."/>
        <s v="Información de un cuaderno. No. 281."/>
        <s v="Información de un cuaderno. No. 277."/>
        <s v="Información de un cuaderno. No. 282"/>
        <s v="Información de un cuaderno. No. 283"/>
        <s v="Información de un cuaderno. No. 276."/>
        <s v="Información de un cuaderno. No. 275."/>
        <s v="Información de un cuaderno. No. 274."/>
        <s v="Información de un cuaderno. No. 289"/>
        <s v="Información de un cuaderno. No. 288"/>
        <s v="Información de un cuaderno. No. 290"/>
        <s v="Información de un cuaderno. No. 287"/>
        <s v="Información de un cuaderno. No. 291"/>
        <s v="Información de un cuaderno. No. 286"/>
        <s v="Isla Jíbaro, Antioquía"/>
        <s v="Batería Jibarito."/>
        <s v="Batería jibarito"/>
        <s v="Batería Jibarito (Sección 9 de la línea principal 8'' en los pozos de Isla Jíbarito)."/>
        <s v="Cerca de Jibarito, Antioquia"/>
        <s v="CC.NN. Antioquia"/>
        <s v="Batería Jibarito, pozo 9."/>
        <s v="Línea de producción de pozos 1101,1102, 10 y 13 (secciones no. 49)"/>
        <s v="Isla Jibarito"/>
        <s v="Pozo 6, 12 de Octubre"/>
        <s v="Batería San Jacinto"/>
        <s v="Pozo 24 San Jacinto"/>
        <s v="Dorcas km 150 + 900 margen izquierdo San Jacinto - 12 de octubre. Se trata de un antiguo botadero llamado Dorcas, en Batería San Jacinto."/>
        <s v="CC.NN. Doce de octubre"/>
        <s v="San Jacinto"/>
        <s v="Tanque 1450. Zona industrial de la Batería San Jacinto. 30m x 15m."/>
        <s v="Línea 8-pozo 1A (junta 236) Batería San Jacinto. Batería Shiviyacu "/>
        <s v="Antiguo derrame de petróleo en el pozo 2-4, San Jacinto."/>
        <s v="Tanque colector 1421 del Yacimiento San Jacinto."/>
        <s v="Tuvo lugar en la parte trasera del pozo 1."/>
        <s v="del campamento san Jacinto a 100 metros es en la misma carretera de la línea de tuberías que van al pozo 01"/>
        <s v="Línea de Shiviyacu a Batería San Jacinto, en Batería San Jacinto."/>
        <s v="Ramal de Piedra Negra, cerca del pozo 13 en Batería San Jacinto"/>
        <s v="Tramo oleoducto no. 495 Shiviyacu- Yacimiento San Jacinto. El evento tuvo lugar a 500m de Batería San Jacinto. Ramal de Piedra Negra, de la quebrada Piedra Negra. Batería Shiviyacu. Las coordenadas dadas se tomaron 50 m río abajo desde la ubicación exacta"/>
        <s v="Línea 8-pozo 1A (junta 70) Batería San Jacinto. Quebrada Chanchama. Sucede el 19/02/2017 en el cruce 1A del oleoducto 8. El 21/02/2017 hubo otro derrame a unos 4 metros más allá del derrame anterior en el mismo oleoducto."/>
        <s v="Pozo 01 san jacinto"/>
        <s v="JT - 1A T Marsella Tubería de 08 pulgadas, ccnn 12 de octubre quebrada llanchamilla"/>
        <s v="Km 13 de 1A, número de tubería JT 710 CC.NN. 12 de Octubre"/>
        <s v="En las instalaciones de la planta de producción de petróleo de San Jacinto."/>
        <s v="Pozo 2-4 en Batería San Jacinto. La ubicación exacta es el km 46 de la carretera San Jacinto."/>
        <s v="Yacimiento San Jacinto- Línea de Flujo B de los pozos SANJ-10 y SANJ-1 unión 108."/>
        <s v="Sumptank pozo 1A"/>
        <s v="Del pozo 11-12 al 10, km 7, tubería 1A Batería San Jacinto. En el territorio de comunidad Marsella y 12 de Octubre."/>
        <s v="Las coordenadas dadas fueron tomadas de una de las fotografías disponibles."/>
        <s v="La ubicación exacta es en el cruce, en el km 155 de la carretera general Andoas-San Jacinto dirección Marsella, km 4."/>
        <s v="Comunidad de Mariscal Cáceres"/>
        <s v="Instalaciones de Mariscal Cáceres"/>
        <s v="Pozo 27, km 145. De San Jacinto a Shiviyacu."/>
        <s v="Batería1. Cerca de Quebrada Pumayacu, oleoducto Corrientes -Saramuro, km 5+890."/>
        <s v="Batería 1. Km 305 + 2,3. Cocha Negra."/>
        <s v="Cerca de la cocha Wayranga, Batería San Jacinto."/>
        <s v="Código del sitio: S1. Un almacén abandonado ''Almacén Químico-Maurocaño&quot; en Yacimiento Valencia-Nueva Esperanza."/>
        <s v="código de sitio: S2. Unos 30 metros de S1, en Yacimiento Valencia-Nueva Esperanza."/>
        <s v="comunidad Belén de Plantanoyacu."/>
        <s v="Código de sitio: S5. Se ubica 100 metros al norte del pozo 25X, en Yacimiento Valencia-Nueva Esperanza."/>
        <s v="El pozo 41D de Plátaforma 25, en Batería 6."/>
        <s v="código de sitio: S6. Se ubica 70 metros al este del pozo 25X, donde la quebrada Mazatoyacu fluye hacia el río Plantanoyacu, en Yacimiento Valencia-Nueva Esperanza."/>
        <s v="Pozo 25, comunidad más cercana a Belén"/>
        <s v="Bahía de Bartra"/>
        <s v="Batería Bartra, en el territorio de la comunidad de San Juan Bartra."/>
        <s v="Pozo 92; comunidad más cercana es Nueva Esperanza"/>
        <s v="código de sitio: S4. Se ubica 60 metros al norte del pozo 92D, en Yacimiento Valencia-Nueva Esperanza."/>
        <s v="código de sitio: S3. Se ubica a unos 200 metros al noreste de la Batería 7, donde la quebrada Colcayacu fluye hacia la cocha Nayanmaca, en Yacimiento Valencia-Nueva Esperanza."/>
        <s v="Pozo 74; comunidad más cercana es Nueva Esperanza"/>
        <s v="Pozo 25X, batería 7, CN Nueva Esperanza."/>
        <s v="Bate 7, en Comunidad Nueva Valencia."/>
        <s v="Ubicado a 300 metros de la carretera principal, en el km 10."/>
        <s v="En la Comunidad San José de Nueva Esperanza"/>
        <s v="San Juan de Bartra"/>
        <s v="Comunidad Nueva Esperanza."/>
        <s v="Base de Bartra"/>
        <s v="Bate 7 P18- Bahía, cerca de Comunidad Nueva Esperanza."/>
        <s v="En el ducto que va desde Batería 7 hasta Capirona, en territorio de la comunidad San José de Nueva Esperanza."/>
        <s v="Oleoducto de Batería 7 Nueva Esperanza a Batería 4, en la zona de Tunchiplaya. En el km 12+200."/>
        <s v="oleoducto entre batería 7 y 4 Capirona; comunidad mas cercana es Nueva Esperanza"/>
        <s v="Batería Bartra km 18"/>
        <s v="En 18.200 km, pertenece una batería bartra."/>
        <s v="Km 18+150"/>
        <s v="Para llegar al punto es de 10 km desde la comunidad caminando"/>
        <s v="Comunidad más cercana es Nueva Esperanza."/>
        <s v="oleoducto entre batería 7 y Capirona 4; comunidad mas cercana es Nueva Esperanza"/>
        <s v="13 km aproximadamente batería Bartra"/>
        <s v="Batería Bartra, km 10 en la comunidad San Juan Bartra y la área de caza de El Ojeal"/>
        <s v="Km 20 aproximadamente batería bartra en trayecto de Bartra al cruce de San Jacinto"/>
        <s v="n/a"/>
        <s v="Este Botadero se encuentran a un costado de la batería en el km 11 donde puedes en contrar todo tipo de materiales. Se encuentra a un canto de la misma batería Bartra"/>
        <s v="Pozo 4-5 de batería Bartra"/>
        <s v="Estos pozos se encuentra de la comunidad de San Juan, llegando a batería 237;a Bartra en el km 11 aprox.entrando hacia la derecha a km 1 y 600 metros al fondo están los pozos."/>
        <s v="pozo 4 y 5 San Juan de Bartra, kilómetro 6"/>
        <s v="Pozo 4 y 5 San Juan de Bartra"/>
        <s v="Km 20 barteria Bartra se encuentra en el trayecto de Bartra al cruce de San Jacinto"/>
        <s v="Pozos cercanos 4-5 en Batería Bartra."/>
        <s v="Este incidente se encuentra en la mitad del oleoducto que viene del pozo 4 &amp; 5 al batería 237, a 1500 metros de batería 237"/>
        <s v="."/>
        <s v="Batería Bartra en la comunidad San Juan Bartra"/>
        <s v="Batería San Juan de Bartra"/>
        <s v="Batería Bartra (comunidad San Juan Bartra) a unos 12 km de San Juan de Bartra a Batería Bartra."/>
        <s v="Pozo 1-2-12 Bartra"/>
        <s v="Se encuentra aproximadamente a 500 metros del pozo 1."/>
        <s v="Cerca al pozo 11-10 aproximadamente de 300 metros se encuentran este lugar batería Bartra"/>
        <s v="Pozo numero 1 de San Juan de Bartra, se encuentra a 200 metros, antes de llegar a Batería Bartra hacia la derecha, llegando al pozo hacia la derecha se encuentra el SUMP TANK."/>
        <s v="Pozo 9 San Juan de Bartra"/>
        <s v="Este derrame se encuentran a 80 metros del pozo 10 y 11 con batería; a Bartra a 50 metros"/>
        <s v="Pozo 10-11 San Juan de Bartra"/>
        <s v="Pozo n.9 por el norte de Bartra"/>
        <s v="Encontrandose hacia el norte de batería;a Bartra el pozo 9"/>
        <s v="Se encuentran en la misma batería de Bartra a unos metros"/>
        <s v="Pozo 6, 7, 8, bartra"/>
        <s v="San Juan de Bartra; De Batería a Bartra yendo por carretera al doce de octubre, de Bartra a 300 metros entrando hacia la derecha caminando a 400 metros se encuentran estos pozos"/>
        <s v="Pzo 6,7,8 San Juan de Bartra"/>
        <s v="Pozo 13, Batería Bartra. El lugar se encuentra ubicado a 12 km de San Juan hacia Batería Bartra. Para llegar al pozo se necesitan alrededor de 1,5 km."/>
        <s v="Pozo 13-14 batería bartra"/>
        <s v="Pozo 13 y 14 San Juan de Bartra"/>
        <s v="Tanques 13-14 en Batería Bartra"/>
        <s v="Pozos cercanos 12 y 13, en Batería Bartra."/>
        <s v="Ducto Batería 7- Batería 4, km 54+800."/>
        <s v="Pozo 3, Bartra"/>
        <s v="Pozo 15 y 16 San Juan de Bartra"/>
        <s v="Del pozo 15-16 en a batería Bartra en una quebrada afluente de montano"/>
        <s v="Como base siendo la batería; a Bartra haciendo un encuentro de los pozos 3, el pozo 16 y el pozo 9"/>
        <s v="Tubería de Batería 4 a Batería 7, por el km 37+150 (Capirona)."/>
        <s v="san jose de nueva esperanza"/>
        <s v="Batería 4."/>
        <s v="El oleoducto que va desde Nueva Esperanza hacia Estación de Bombas, km 6+600. / en territorio Comunidad Santa Rosa. Planta Central de Producción 7, desde el Campo Base hasta los pozos 74 y 86."/>
        <s v="Código de sitio: S22. Este lugar se encuentra ubicado a 50 metros al noreste de la Plátaforma 2X. Yacimiento Pavayacu-Capirona."/>
        <s v="código de sitio: S21. Este lugar está ubicado 50 metros al norte de la Plátaforma 2X. Yacimiento Pavayacu-Capirona."/>
        <s v="Código de sitio: S20. Este lugar está ubicado a 1km de Batería 4. Yacimiento Pavayacu-Capirona."/>
        <s v="bateria 4"/>
        <s v="código de sitio: S16. Este lugar está ubicado a 15 metros de Poza API, en Estación de Bombeo. Yacimiento Pavayacu-Capirona."/>
        <s v="Km 43 Pavayacu."/>
        <s v="Código de sitio: S15. Este lugar está ubicado a 200 metros de la Estación de Bombeo y a 50 metros de Cocha Atiliano. Yacimiento Pavayacu-Capirona."/>
        <s v="Código de sitio: S13. Este lugar se encuentra ubicado 100 metros al oeste del Andén 1108. Yacimiento Pavayacu-Capirona."/>
        <s v="Código de sitio: S14. Este lugar se ubica 300 metros al oeste del Andén 1108. Yacimiento Pavayacu-Capirona."/>
        <s v="Cocha Negra, Comunidad de Peruanito."/>
        <s v="Andén 70, batería 5 en CN Pucaruro."/>
        <s v="El punto exacto donde ocurrió el hecho se encuentra a 50 metros del km 16+800 de la vía principal Pucacuro-Pavayacu. en el tubo 4, cerca del pozo 130, ubicado a 500 metros de la Batería 5."/>
        <s v="Código de sitio: S7. Se ubica 300 metros al sur de la Plátaforma 84 (Cocha Petroboa), en Yacimiento Pavayacu-Capirona."/>
        <s v="código de sitio: S9. Se ubica a 50 metros del sitio S8. En la cabecera de la quebrada Huanganayacu, cerca del km 20 Campamento 101, carretera hacia Central Eléctrica 130, en Yacimiento Pavayacu-Capirona."/>
        <s v="código de sitio: S8. Este lugar está ubicado en la cabecera de la Quebrada Huanganayacu, a la altura del km 20 Campamento 101, vía hacia Central Eléctrica 130, en el Yacimiento Pavayacu-Capirona."/>
        <s v="Código de sitio: S10. Se ubica a 100 metros al este de la Batería 9, en un aguajal. Yacimiento Pavayacu-Capirona."/>
        <s v="código de sitio: S11. Se ubica 150 metros al oeste de Batería 9. Yacimiento Pavayacu-Capirona."/>
        <s v="Código de sitio: S12. Este lugar está ubicado 350 metros al noroeste de Batería 9. Yacimiento Pavayacu-Capirona."/>
        <s v="Código de sitio: S19. Este lugar está ubicado a 150 metros del Campamento 101. Yacimiento Pavayacu-Capirona."/>
        <s v="Código de sitio: S18. Este lugar está ubicado 200 metros al norte de Batería 9. Yacimiento Pavayacu-Capirona."/>
        <s v="Código de sitio: S17. Este lugar está ubicado 400 metros al norte de Batería 9, Ramal de Huanganayacu. Yacimiento Pavayacu-Capirona."/>
        <s v="oleoducto Trompeteros-Pavayacu, CN Peruanito."/>
        <s v="bateria 5"/>
        <s v="En el oleoducto E.E.B.E de Capirona a Batería 1, Corrientes. Km 16+417."/>
        <s v="comunidad nuevo porvenir"/>
        <s v="comunidad Nuevo Porvenir."/>
        <s v="Campamento Paraíso (Km24+700) en territorio de la Comunidad Nuevo Porvenir."/>
        <s v="El oleoducto Corrientes- Saramuro, km 30+875. Batería 1."/>
        <s v="se llevó a cabo en el pequeño río Trompeterillo grande, frente al pueblo de Trompeteros. El hecho se ubicó a 4 metros del río Corrientes."/>
        <s v="oleoducto Corrientes-Saramuro km0+300, cerca de Batería 2."/>
        <s v="El oleoducto que conecta Batería 1 (Trompeteros) con Batería 8 (Chambira). oleoducto Trompeteros-Chambira."/>
        <s v="Código de sitio: S23. Este lugar está ubicado en el km 5+570.31 del oleoducto Corrientes-Saramuro. Yacimiento Corrientes."/>
        <s v="En la línea B del oleoducto Corrientes Saramuro, 5+589 km"/>
        <s v="Comunidad San Cristóbal"/>
        <s v="trompeterillo grande"/>
        <s v="Batería 8x."/>
        <s v="Batería 2."/>
        <s v="bateria 2"/>
        <s v="Quebrada en San Cristóbal"/>
        <s v="Batería 1."/>
        <s v="Código S24. En el km 3+816.85 del conoleoducto Corrientes-Saramuro. Yacimiento Corrientes."/>
        <s v="Yacimiento Corrientes, topping plant (Topiplan a Batería 8 al lado de la carretera)"/>
        <s v="Código de sitio: S41. Este lugar está ubicado a 30 metros al oeste de Batería 2. Yacimiento Corrientes."/>
        <s v="Pangui Entsa"/>
        <s v="Comunidad San Cristóbal. Cerca al topiplan, en rama quebrada a cerca de carretera. De topiplan a 8x oleoducto"/>
        <s v="Código de sitio: S27. Este lugar está ubicado a 1 km al este del Fuji Central y 200 metros al este de Batería 2. Yacimiento Corrientes."/>
        <s v="km 3+814, - Batería 1."/>
        <s v="oleoducto Corrientes-Saramuro, km 2+700"/>
        <s v="Batería 1. Cerca de Plátaforma no. 1013."/>
        <s v="Código de sitio: S25. Este lugar está ubicado en el km 2+657,27 del oleoducto Corrientes-Saramuro. Yacimiento Corrientes."/>
        <s v="Batería 1, Laguna MSA."/>
        <s v="San Cristóbal"/>
        <s v="Código de sitio: S26. Este lugar está ubicado en el km 1+985.41 del oleoducto Corrientes-Saramuro. Yacimiento Corrientes."/>
        <s v="Plataforma 33X"/>
        <s v="El sistema de bomba Trompeteros-Saramuro Batería 1./Área de motobombas, en la Batería 1, Trompeteros."/>
        <s v="En el empalme del oleoducto de diésel de Central no. 1 a Central no. 2, en Batería 1. / Bat 1."/>
        <s v="tanque 10, Batería 1."/>
        <s v="En el muelle Percy Rozas-Trompeteros. Puerto TRANSTUR- Muelle de Corrientes, en territorio de Comunidad San Cristóbal."/>
        <s v="Tubería Trompeteros y Saramuro, tramo 53."/>
        <s v="Oleoducto que va de la Plataforma 12x a la Batería 2, en el territorio de la comunidad de San Cristóbal."/>
        <s v="Comunidad San Cristobal en el oleoducto que conecta platform 33 a platform 57, en Batería 2"/>
        <s v="Código de sitio: S40. Este lugar está ubicado a 500 metros sur de Central Eléctrica-Batería 1 y 400 metros norte de la Plátaforma 108X.Yacimiento Corrientes."/>
        <s v="Código de sitio: S38. Este lugar está ubicado a 200 metros al oeste de la Plátaforma 57 (alrededor del sitio de un antiguo derrame de petróleo). Yacimiento Corrientes."/>
        <s v="Zona CN San Cristóbal."/>
        <s v="Km 42 Tramo I ONP"/>
        <s v="Chacra Sra. Loida Chuje''"/>
        <s v="Pozo de Plátaforma 57"/>
        <s v="Línea de reinyección de agua producida del pozo CO-42AD. / pozo 42 de la Plátaforma 10x."/>
        <s v="Código de sitio: S28. Este lugar se ubica 70 metros al este del Andén 10. Yacimiento Corrientes."/>
        <s v="Código de sitio: S29. Este lugar se encuentra ubicado 90 metros al norte del Andén 10. Yacimiento Corrientes."/>
        <s v="Batería 1, Laguna 10X."/>
        <s v="Plátaforma 33, 110 m de profundidad - Muro 1"/>
        <s v="Código de sitio: S36. Este lugar se ubica a 300 metros al oeste de la Plátaforma 2 (alrededor de un antiguo derrame de petróleo no remediado). ''Derecho de vía'' de la Plátaforma 138X, km 5+763.14. Yacimiento Corrientes."/>
        <s v="Zona PAC del pozo 12. En el territorio de Comunidad San Cristóbal."/>
        <s v="Código de sitio: S37. Este lugar está ubicado a 300 metros al sur de la Plátaforma 12 (alrededor de un antiguo derrame de petróleo no remediado). La ubicación es cerca del sitio PAC Plátaforma 12X -Sitio 3- 07/03/2009. Yacimiento Corrientes."/>
        <s v="Plataforma 12X, San Cristóbal"/>
        <s v="Código de sitio: S31. Este lugar está ubicado 50 metros al sur de la Plátaforma 33X. Yacimiento Corrientes."/>
        <s v="Código de sitio: S32. Este lugar está ubicado en el punto central de la Plátaforma 44X. Yacimiento Corrientes."/>
        <s v="Código de sitio: S30. Este lugar se encuentra ubicado 40 metros oeste del Andén 33. Yacimiento Corrientes."/>
        <s v="Plátaforma 33X, comunidad cercana San Cristóbal"/>
        <s v="'Chacra Sra Madre Ana Hualinga''"/>
        <s v="Plátaforma 33x"/>
        <s v="Código de sitio: S35. Este lugar está ubicado en el derecho de vía del Andén 138X, km 5+388,29. Yacimiento Corrientes."/>
        <s v="En el territorio de la comunidad San Cristóbal."/>
        <s v="Código de sitio: S34. Este lugar está ubicado en el punto donde se bifurcan la Plátaforma 138X y la Plátaforma 44X. Yacimiento Corrientes."/>
        <s v="San Cristóbal, 200 metros de plataforma 137"/>
        <s v="Pozo de Borra 31 X, cerca de Comunitad San Cristóbal."/>
        <s v="Andén 144 - Batería 1"/>
        <s v="Código de sitio: S33. Este lugar se ubica 100 metros al noreste del Andén 138X, km 4+904.90. Yacimiento Corrientes."/>
        <s v="Código de sitio: S39. Este lugar está ubicado a 100 metros al oeste de la Plátaforma 31X (''poza de ripios y recortes de perforación'')Yacimiento Corrientes."/>
        <s v="comunidad de San Cristóbal."/>
        <s v="comunidad San Cristóbal."/>
        <s v="Trompeterillo chico"/>
        <s v="Km 69 +500 ducto Corrientes -Saramuro"/>
        <s v="oleoducto Corrientes-Saramuro, km 92+00. Cerca de Batería 2."/>
        <s v="pozos 10,11,12, km 17 Dorissa, en el territorio de la comunidad Nueva Jerusalén."/>
        <s v="Pozos 01, 02,03 y 04, km 19 carretera Dorissa."/>
        <s v="Carretera Km 18 -19 (a falta de mayor información), en territorio de la comunidad Nueva Jerusalén."/>
        <s v="Dorissa km-16."/>
        <s v="Km 127+500, margen derecho de carretera principal, en patio de casa. En el territorio de la comunidad 12 de Octubre, Batería San Jacinto. "/>
        <s v="Pozo Jibarito Isla. El lugar se ubica desde el asentamiento Jíbaro, dos vueltas del río aguas arriba. Desde Pampa Hermosa se debe tomar una embarcación hacia Bahía Jíbaro y luego conducir hasta el km 5 del Pozo. Desde ese punto se camina por un sendero ha"/>
        <s v="En el territorio de la comunidad Arenal, cerca al pozo 1A."/>
        <s v="En la refinería topiplan ubicada en Marsella. El área se ubica en el territorio de la comunidad Andres Avelino Cáceres."/>
        <s v="Km 18, Quebrada Ramal de Capahuari (Nuevo Andoas. Batería Capahuari Sur), en territorio de la comunidad Titiyaco."/>
        <s v="Quebrada capahuari y la Colcha Shippyn."/>
        <s v="ramal de Capahuari."/>
        <s v="Territorio de la comunidad Nuevo Andoas."/>
        <s v="Territorio de la comunidad Nuevo Andoas (Batería capahuari sur)."/>
        <s v="Territorio de la comunidad Los Jardines, zona de caza y pesca de Loboyaco (Batería capahuari sur)"/>
        <s v="Comunidad Titiyacu (Batería capahuari norte)"/>
        <s v="En el territorio de Nuevo Andoas (Capahuari Sur)."/>
        <s v="En la quebrada choroyacu, territorio de la comunidad Titiyacu, Batería Capahuari Norte."/>
        <s v=" Shirunchi cocha en el territorio de Comunidad Nuevo Andoas, en Batería Capahuari sur."/>
        <s v="Shirunchi cocha, en el territorio de Nuevo Andoas, Batería Capahuari Sur."/>
        <s v="Dorisa km 16."/>
        <s v="Comunidad Pampa Hermosa"/>
        <s v="Cerca del pozo 2."/>
        <s v="Pozo 8 y 11 en la comunidad José Olaya"/>
        <s v="Dentro del territorio de la comunidad Marsella."/>
        <s v="Pozo ATA SJ-11, en Batería San Jacinto."/>
        <s v="Quebrada Chanchama."/>
        <s v="Zona Ullpayacu, en territorio de la comunidad Alianza Capahuari."/>
        <s v="Pozo 11, km 7 tubería 1A."/>
        <s v="Km 12 desde base Marsella hasta oleoducto Shiviyacu, en territorio de la comunidad Mariscal Cáceres."/>
        <s v="Desde la bomba de agua ubicada en la vía Shiviyacu-San Jacinto, Km 6, lado izquierdo, 200 metros caminando hacia el bosque."/>
        <s v="Base principal de Frontera Energy en Nuevo Andoas"/>
        <s v="De la playa a Huayuri - Batería Huayuri. En el territorio de la comunidad José Olaya"/>
        <s v="Quebrada Huayuri. Km.10.huyuri-voa.  En la comunidad José Olaya"/>
        <s v="Shiviyacu, pozo 6. Carretera de Shiviyacu a Forestal, Km 5. En la comunidad José Olaya"/>
        <s v="El hecho tuvo lugar cerca de la comunidad de Arenal. La ubicación exacta se puede encontrar luego de navegar entre 15 y 20 minutos por el río Tigre y girar a la izquierda. Luego hay que seguir la tubería durante aproximadamente un kilómetro."/>
        <s v="El oleoducto que conecta el pozo 11. En el territorio de la comunidad Pampa Hermosa. Se demora 30 minutos en carro para llegar al sitio. "/>
        <s v="Bateria 12 de Octubre"/>
        <s v="Nazareth"/>
        <s v="En el territorio de la comunidad Mariscal Cáceres, San Jacinto."/>
        <s v="En el territorio de la comunidad 12 de Octubre."/>
        <s v="Comunidad San Juan Bartra, en Batería Bartra"/>
        <s v="Carretera San Jacinto-Shiviyacu, en territorio de la comunidad 12 de Octubre."/>
        <s v="Huayuri norte km 4"/>
        <s v="En los alrededores del pozo 13, Batería Bartra."/>
        <s v="En el territorio de San Cristóbal"/>
        <s v="Comunidad José Olaya."/>
        <s v="En el territorio de Alianza Copal, Batería Capahuari norte."/>
        <s v="Batería San Jacinto, en el territorio de la comunidad Marsella."/>
        <s v="En el territorio de la comunidad Nuevo Andoas, Batería Capahuari Sur."/>
        <s v="Cocha Negra"/>
        <s v="Batería 1, tanque 7."/>
        <s v="Quemador 31."/>
        <s v="Km3+814, comunidad de San Cristóbal."/>
        <s v="En Plantas de Producción Central San Jacinto."/>
        <s v="Cerca de Arenales, en la mismo márgen del río, a 1k, aguas abajo, en los pozos 10,11 y 12."/>
        <s v="Km 42 oleoducto Jibarito Isla-Jibarito."/>
        <s v="Planta de Producción Central 7 a Capirona. El sitio se ubica aproximadamente a una hora de San José de Nueva Esperanza, y luego se camina 15 minutos más (1 km)."/>
        <s v="Comunidad San José de Nueva Esperanza. El lugar donde tuvo lugar el hecho se encuentra aproximadamente a media hora en barco río abajo, en la zona de Carme Caño."/>
        <s v="comunidad San José de Nueva Esperanza, en Sabalillo."/>
        <s v="Pozo 1, caminando 40 metros hasta la quebrada Piedra Negra."/>
        <s v="Batería Jibarito, sump tank."/>
        <s v="Tanque de diésel Plátaforma 114/Plátaforma 144, sitio 1"/>
        <s v="La facilidad central de producción 7, Plátaforma x47 (en la comunidad de San José de Nueva Esperanza)"/>
        <s v="Batería Forestal"/>
        <s v="Sardina cocha"/>
        <s v="Capirona. Lote 8."/>
        <s v="Hacia el pozo 10, Batería Jibarito [Hivarito, sic]."/>
        <s v="Batería Dorissa"/>
        <s v="Batería Huayurí"/>
        <s v="Shiviyacu"/>
        <s v="Batería Shiviyacu"/>
        <s v="Colpayo, en el km 17 de la estación de bomba a Trompeteros."/>
        <s v="Jibarito Batería."/>
        <s v="El oleoducto principal entre Isla Jibaro y Batería Jibarito (en la carretera km 42 hacia Jibarito)"/>
        <s v="Batería 5."/>
        <s v="Batería Shiviyacu. En no. 660 del oleoducto Forestal-Shiviyacu. El punto exacto es el km 17 de la carretera Shiviyacu-Forestal."/>
        <s v="En el área de pesca de la comunidad Peruanito"/>
        <s v="Cerca a la Plátaforma 8."/>
        <s v="Comunidad de San Cristóbal"/>
        <s v="El oleoducto que va hacia Batería 2."/>
        <s v="Cerca de trompeteros"/>
        <s v="Riachuelo Chuuntsa, Batería Dorissa."/>
        <s v="Plátaforma 12X."/>
        <s v="Plátaforma 44x."/>
        <s v="Plátaforma 44."/>
        <s v="Plátaforma 33."/>
        <s v="Lote 8."/>
        <s v="Cerca de Batería Dorissa"/>
        <s v="Centro de remediación 31X, cerca de la quebrada Trompeterillo, en el territorio de la comunidad San Cristóbal."/>
        <s v="Plátaforma 10X."/>
        <s v="Batería Forestal. Lote 1-AB."/>
        <s v="Batería Huayuri."/>
        <s v="bateria 1"/>
        <s v="Pozo 14."/>
        <s v="Plátaforma 70-MSA 1"/>
        <s v="Batería 1, Corrientes. En el tanque de diesel que alimenta a las motobombas de Batería 1./ Cerca de la comunidad de San Cristobal."/>
        <s v="Batería Jibarito. Trampa receptora de chanchos - Km. 38 de la carretera huayurí a Jibarito"/>
        <s v="bateria 7"/>
        <s v="Pozo no. 6, Andoas."/>
        <s v="Sede central de GM, Batería Capahuari sur."/>
        <s v="oleoducto que conecta el pozo 26 al pozo 29."/>
        <s v="Pozo 31, 21 y 23, Capahuari Sur."/>
        <s v="Km 28, cerca de la carretera, Batería Forestal."/>
        <s v="Km 27, a 30 m de la carretera, Batería Forestal."/>
        <s v="Frente a la Batería Forestal, a 20 m de la carretera."/>
        <s v="Cerca de la Batería Forestal, cerca de la carretera."/>
        <s v="Batería Forestal, cerca de la carretera."/>
        <s v="0F204, a 50 metros de la Batería Forestal."/>
        <s v="Batería Dorissa, tanque 10."/>
        <s v="Pozos 10 y 12, en Batería Capahuari norte."/>
        <s v="A 100 metros del pozo 6."/>
        <s v="Batería Huayurí, km 3, pozo Machu Pichu."/>
        <s v="Carretera a San Jacinto, km 51, pozo 525, aguajal cerca a la quebrada afluente Lupuniya."/>
        <s v="Cerca del pozo 1 de Batería Forestal, por el km 27 de la carretera principal."/>
        <s v="Batería Forestal, km 21 pozo 5-6. En la comunidad José Olaya"/>
        <s v="Antioquia, Isla Jíbaro"/>
        <s v="No hay detalles sobre la ubicación exacta. "/>
        <s v="Quebrada Cetico, en Batería Shiviyacu."/>
        <s v="Carretera norte capahuari, km o. 02. En territorio de las comunidades Los Jardines y Porvenir, en Batería Capahuari Sur."/>
        <s v="Descarga No. 10, aguas de área estanca, TK-TV 11 y 12."/>
        <s v="En el territorio de Los Jardines (Batería Capahuari Sur)"/>
        <s v="dentro del Ecuador (al otro lado de la frontera)."/>
        <s v="carretera de Dorissa a Huayuri, km 7."/>
        <s v="km 206, río Morona (No hay más información disponible)"/>
        <s v="La ubicación exacta se encuentra 1 km después de las instalaciones de Batería San Jacinto."/>
        <s v="No hay información disponible sobre la ubicación exacta."/>
        <s v="Al parecer, el punto se encuentra cerca de la carretera 1A- San Jacinto. No hay más información sobre la ubicación exacta."/>
        <s v="No hay información sobre la ubicación exacta. Ocurrió dentro de las instalaciones de extracción de petróleo."/>
        <s v="La quebrada Yanayacu"/>
        <s v="En la Instalación Central de Producción Bartra, en territorio de San Juan de Bartra."/>
        <s v="Instalación Central de Producción Bartra, Plátaformas 12-13, en territorio de San Juan Bartra."/>
        <s v="Cerca al km 22 en camino a la Instalación Central de Producción Bartra en la comunidad San Juan."/>
        <s v="Carretera San Jacinto, km 152."/>
        <s v="De la Instalación Central de Producción 5 a San José de Nueva Esperanza."/>
        <s v="Lodos de perforación 22 y 27"/>
        <s v="En la carretera que va a los pozos 2-4 después de cruzar San Jacinto. A los 30 metros del pozo hay un sitio contaminado."/>
        <s v="Pozo 5, Batería 1"/>
        <s v="Km 21 de pozo 5 a 6 en el territorio de la comunidad José Olaya, Batería Forestal"/>
        <s v="En territorio de la comunidad Arenal. Cerca al pozo 1, unos 100 metros de la Base Militar Cahuide."/>
        <s v="El sitio se ubica a 100 metros arriba por el río desde Arenal."/>
        <s v="Cerca de los pozos 2-4."/>
        <s v="No hay información."/>
        <s v="Batería 5, Instalación Central de Producción 5, cerca al pozo 25."/>
        <s v="Pozo 92D"/>
        <s v="Lote 8"/>
        <s v="'Derecho de Vía del oleoducto Pavayacu - Trompeteros'' y Cocha Negra."/>
        <s v="En la carretera principal hacia Tambo, cerca de Comunidad Nativa Alianza Capahuari en Batería Tambo."/>
        <s v="En la carretera principal hacia Tambo km 7, cerca de la laguna de Sanshococha. En Batería Tambo."/>
        <s v="cuadra 43, a media hora aguas arriba desde San José de Porvenir. Luego caminando 40 minutos."/>
        <s v="Río Tigre, comunidad 12 de Octubre, camino a San Jacinto, Pozo 4, cerca de Quebrada Limón."/>
        <s v="Quebrada Yanchama, cercana al lote 1A. Desde la comunidad 12 de Octubre, en lancha hay que dirigirse hasta Arenales, y luego hasta Quebrada Yanchana (300 metros más Alente). Hay dos quebradas, Yanchama y Yanayacu."/>
        <s v="Derrame del camión aspirador 11-47."/>
        <s v="Km 48 del camino. 1474 m2 de extensión."/>
        <s v="comunidad José Olaya, Km 5."/>
        <s v="&quot;Botadero nuevo titiyacu''."/>
      </sharedItems>
    </cacheField>
    <cacheField name="Zona UTM" numFmtId="0">
      <sharedItems>
        <s v="18S"/>
        <s v="18M"/>
        <s v="18 M"/>
      </sharedItems>
    </cacheField>
    <cacheField name="Altitud y error">
      <sharedItems containsBlank="1" containsMixedTypes="1" containsNumber="1" containsInteger="1">
        <m/>
        <n v="166.0"/>
        <s v="."/>
        <s v="229 4.0"/>
        <s v="213 5.0"/>
        <s v="228 5.0"/>
        <s v="277 5.0"/>
        <n v="188.0"/>
        <n v="189.0"/>
        <n v="184.0"/>
        <n v="180.0"/>
        <n v="183.0"/>
        <n v="182.0"/>
        <n v="160.0"/>
        <n v="175.0"/>
        <n v="177.0"/>
        <n v="179.0"/>
        <n v="172.0"/>
        <n v="181.0"/>
        <n v="168.0"/>
        <n v="157.0"/>
        <n v="162.0"/>
        <n v="159.0"/>
        <n v="165.0"/>
        <n v="173.0"/>
        <n v="150.0"/>
        <n v="153.0"/>
        <n v="167.0"/>
        <n v="155.0"/>
        <n v="169.0"/>
        <n v="161.0"/>
        <n v="174.0"/>
        <n v="156.0"/>
        <n v="152.0"/>
        <n v="158.0"/>
        <n v="170.0"/>
        <s v="214 10.0"/>
        <n v="149.0"/>
        <n v="154.0"/>
        <s v="187 10.0"/>
        <s v="209 10.0"/>
        <n v="194.0"/>
        <s v="203 5.0"/>
        <s v="199 5.0"/>
        <n v="190.0"/>
        <s v="179 10.0"/>
        <s v="193 20.0"/>
        <s v="197 5.0"/>
        <s v="188 5.0"/>
        <s v="196 5.0"/>
        <s v="235 5.0"/>
        <s v="234 5.0"/>
        <s v="203 4.0"/>
        <s v="195 8.0"/>
        <s v="192 4.0"/>
        <n v="205.0"/>
        <s v="217 5.0"/>
        <s v="200 5.0"/>
        <s v="192 5.0"/>
        <s v="176 5.0"/>
        <s v="186 5.0"/>
        <s v="184 5.0"/>
        <s v="177 5.0"/>
        <s v="181 3.0"/>
        <s v="191 4.0"/>
        <s v="195 5.0"/>
        <s v="198 5.0"/>
        <n v="171.0"/>
        <n v="178.0"/>
        <s v="204 4.0"/>
        <n v="176.0"/>
        <s v="180 5.0"/>
        <s v="203 3.0"/>
        <s v="201 4.0"/>
        <s v="202 5.0"/>
        <s v="208 5.0"/>
        <s v="193 5.0"/>
        <s v="140 5.0"/>
        <s v="161 5.0"/>
        <s v="116 5.0"/>
        <s v="131 5.0"/>
        <s v="152 4.0"/>
        <s v="Valvula"/>
      </sharedItems>
    </cacheField>
    <cacheField name="UTM X">
      <sharedItems containsMixedTypes="1" containsNumber="1">
        <n v="2.39364"/>
        <n v="4056.0"/>
        <n v="324796.0"/>
        <n v="331903.0"/>
        <n v="332030.0"/>
        <n v="332146.0"/>
        <n v="332539.0"/>
        <n v="332647.0"/>
        <n v="332886.0"/>
        <n v="333050.0"/>
        <n v="333139.0"/>
        <n v="333144.0"/>
        <n v="333332.0"/>
        <n v="333445.0"/>
        <n v="333611.5"/>
        <n v="333623.0"/>
        <n v="333755.0"/>
        <n v="333889.0"/>
        <n v="334270.0"/>
        <n v="334369.0"/>
        <n v="336581.8"/>
        <n v="336589.0"/>
        <n v="336596.0"/>
        <n v="337227.0"/>
        <n v="337258.0"/>
        <n v="337537.3"/>
        <n v="337613.8"/>
        <n v="337726.0"/>
        <n v="337839.0"/>
        <n v="337850.0"/>
        <n v="337890.0"/>
        <n v="338034.9"/>
        <n v="338093.5"/>
        <n v="338236.0"/>
        <n v="338311.3"/>
        <n v="338386.0"/>
        <n v="338401.0"/>
        <n v="338472.0"/>
        <n v="338536.0"/>
        <n v="338569.0"/>
        <n v="338622.0"/>
        <n v="338662.0"/>
        <n v="338992.4"/>
        <n v="339018.0"/>
        <n v="339031.0"/>
        <n v="339568.0"/>
        <n v="339739.0"/>
        <n v="339742.0"/>
        <n v="339747.0"/>
        <n v="339747.3"/>
        <n v="340033.0"/>
        <n v="340066.0"/>
        <n v="340490.1"/>
        <n v="340493.1"/>
        <n v="340535.0"/>
        <n v="340541.0"/>
        <n v="340541.4"/>
        <n v="340550.0"/>
        <n v="340576.0"/>
        <n v="340581.0"/>
        <n v="340649.0"/>
        <n v="340702.0"/>
        <n v="340744.0"/>
        <n v="340752.0"/>
        <n v="340780.0"/>
        <n v="340796.2"/>
        <n v="340804.6"/>
        <n v="340811.0"/>
        <n v="340833.1"/>
        <n v="340903.0"/>
        <n v="340970.0"/>
        <n v="340985.0"/>
        <n v="340986.0"/>
        <n v="340999.3"/>
        <n v="341032.0"/>
        <n v="341060.0"/>
        <n v="341090.0"/>
        <n v="341116.0"/>
        <n v="341279.0"/>
        <n v="341530.0"/>
        <n v="341833.0"/>
        <n v="342283.0"/>
        <n v="342745.0"/>
        <n v="342880.8"/>
        <n v="342895.8"/>
        <n v="342898.0"/>
        <n v="343605.0"/>
        <n v="345293.0"/>
        <n v="346999.0"/>
        <n v="350213.8"/>
        <n v="350634.0"/>
        <n v="350881.0"/>
        <n v="352396.0"/>
        <n v="352399.0"/>
        <n v="355654.0"/>
        <n v="357453.0"/>
        <n v="360484.0"/>
        <n v="360520.0"/>
        <n v="362230.0"/>
        <n v="362234.0"/>
        <n v="362370.0"/>
        <n v="362395.0"/>
        <n v="362628.0"/>
        <n v="363045.0"/>
        <n v="363297.0"/>
        <n v="363437.0"/>
        <n v="363507.0"/>
        <n v="363527.0"/>
        <n v="363542.0"/>
        <n v="363612.0"/>
        <n v="364007.0"/>
        <n v="364587.0"/>
        <n v="364759.0"/>
        <n v="364856.0"/>
        <n v="365243.0"/>
        <n v="365246.0"/>
        <n v="365256.0"/>
        <n v="365802.0"/>
        <n v="365846.0"/>
        <n v="366090.0"/>
        <n v="366093.0"/>
        <n v="366102.0"/>
        <n v="366110.0"/>
        <n v="366114.0"/>
        <n v="366118.0"/>
        <n v="366375.0"/>
        <n v="366584.0"/>
        <n v="366632.0"/>
        <n v="366647.0"/>
        <n v="366664.0"/>
        <n v="366704.0"/>
        <n v="366871.0"/>
        <n v="367032.3"/>
        <n v="367152.0"/>
        <n v="367157.0"/>
        <n v="367341.0"/>
        <n v="367370.3"/>
        <n v="367381.0"/>
        <n v="367411.0"/>
        <n v="367419.8"/>
        <n v="367469.0"/>
        <n v="368398.0"/>
        <n v="370201.0"/>
        <n v="370393.0"/>
        <n v="370394.0"/>
        <n v="370430.0"/>
        <n v="370437.0"/>
        <n v="370439.0"/>
        <n v="370494.0"/>
        <n v="370529.0"/>
        <n v="370824.0"/>
        <n v="370830.0"/>
        <n v="370965.0"/>
        <n v="371171.0"/>
        <n v="371202.0"/>
        <n v="371378.0"/>
        <n v="371794.0"/>
        <n v="372255.0"/>
        <n v="372433.0"/>
        <n v="372539.0"/>
        <n v="373461.0"/>
        <n v="373602.0"/>
        <n v="373672.0"/>
        <n v="373674.0"/>
        <n v="373976.0"/>
        <n v="374088.0"/>
        <n v="374204.0"/>
        <n v="374449.0"/>
        <n v="374464.0"/>
        <n v="374467.0"/>
        <n v="374470.0"/>
        <n v="374502.0"/>
        <n v="374528.0"/>
        <n v="374575.0"/>
        <n v="374593.0"/>
        <n v="374610.0"/>
        <n v="374679.0"/>
        <n v="374701.0"/>
        <n v="374810.0"/>
        <n v="374832.0"/>
        <n v="374861.0"/>
        <n v="374898.0"/>
        <n v="374904.0"/>
        <n v="374915.0"/>
        <n v="375871.0"/>
        <n v="375875.0"/>
        <n v="383917.0"/>
        <n v="383929.0"/>
        <n v="384144.0"/>
        <n v="384202.0"/>
        <n v="384717.0"/>
        <n v="385065.0"/>
        <n v="385597.0"/>
        <n v="385724.0"/>
        <n v="385842.0"/>
        <n v="386008.0"/>
        <n v="386013.0"/>
        <n v="386064.0"/>
        <n v="386469.0"/>
        <n v="386836.0"/>
        <n v="386887.0"/>
        <n v="387789.0"/>
        <n v="392338.0"/>
        <n v="392883.0"/>
        <n v="396716.0"/>
        <n v="398356.0"/>
        <n v="401088.0"/>
        <n v="401162.0"/>
        <n v="401280.0"/>
        <n v="401318.0"/>
        <n v="401397.0"/>
        <n v="401420.0"/>
        <n v="401437.0"/>
        <n v="401474.0"/>
        <n v="401522.0"/>
        <n v="401765.0"/>
        <n v="402477.0"/>
        <n v="402478.0"/>
        <n v="402480.0"/>
        <n v="402529.0"/>
        <n v="402590.0"/>
        <n v="402642.0"/>
        <n v="402656.0"/>
        <n v="402860.0"/>
        <n v="402963.0"/>
        <n v="403279.0"/>
        <n v="403367.0"/>
        <n v="403419.0"/>
        <n v="403441.0"/>
        <n v="403450.0"/>
        <n v="403481.0"/>
        <n v="403483.0"/>
        <n v="403599.0"/>
        <n v="403609.0"/>
        <n v="403694.0"/>
        <n v="403707.0"/>
        <n v="403713.0"/>
        <n v="403737.0"/>
        <n v="403741.0"/>
        <n v="403751.0"/>
        <n v="403757.0"/>
        <n v="403758.0"/>
        <n v="403782.0"/>
        <n v="403784.0"/>
        <n v="403795.0"/>
        <n v="403807.0"/>
        <n v="403808.0"/>
        <n v="403816.0"/>
        <n v="403820.0"/>
        <n v="403821.0"/>
        <n v="403825.0"/>
        <n v="403882.0"/>
        <n v="403885.0"/>
        <n v="403888.0"/>
        <n v="403891.0"/>
        <n v="403893.0"/>
        <n v="403896.0"/>
        <n v="403906.0"/>
        <n v="403942.0"/>
        <n v="403971.0"/>
        <n v="404015.0"/>
        <n v="404029.0"/>
        <n v="404072.0"/>
        <n v="404125.0"/>
        <n v="404218.0"/>
        <n v="404344.0"/>
        <n v="404392.0"/>
        <n v="404405.0"/>
        <n v="404456.0"/>
        <n v="404473.0"/>
        <n v="404583.0"/>
        <n v="404711.0"/>
        <n v="404828.0"/>
        <n v="405336.0"/>
        <n v="405356.1"/>
        <n v="405561.0"/>
        <n v="406606.0"/>
        <n v="407477.0"/>
        <n v="409344.0"/>
        <n v="409687.0"/>
        <n v="410736.0"/>
        <n v="411539.3"/>
        <n v="411542.4"/>
        <n v="412378.0"/>
        <n v="414667.0"/>
        <n v="418422.0"/>
        <n v="418452.0"/>
        <n v="418531.0"/>
        <n v="418550.0"/>
        <n v="418571.0"/>
        <n v="419047.0"/>
        <n v="419076.0"/>
        <n v="419148.0"/>
        <n v="419181.0"/>
        <n v="419382.0"/>
        <n v="419529.0"/>
        <n v="419622.3"/>
        <n v="420023.0"/>
        <n v="420060.0"/>
        <n v="420687.0"/>
        <n v="420738.0"/>
        <n v="420842.0"/>
        <n v="420970.0"/>
        <n v="421184.0"/>
        <n v="423431.0"/>
        <n v="424288.0"/>
        <n v="425113.0"/>
        <n v="426705.0"/>
        <n v="426900.0"/>
        <n v="427022.2"/>
        <n v="427195.0"/>
        <n v="427228.0"/>
        <n v="427248.0"/>
        <n v="427255.0"/>
        <n v="427256.0"/>
        <n v="427437.0"/>
        <n v="427444.0"/>
        <n v="427445.0"/>
        <n v="427509.0"/>
        <n v="427569.0"/>
        <n v="427578.0"/>
        <n v="427765.0"/>
        <n v="427816.0"/>
        <n v="427866.9"/>
        <n v="427867.0"/>
        <n v="427946.0"/>
        <n v="427957.0"/>
        <n v="427963.0"/>
        <n v="427965.0"/>
        <n v="428022.0"/>
        <n v="428026.0"/>
        <n v="428039.0"/>
        <n v="428044.0"/>
        <n v="428062.0"/>
        <n v="428121.0"/>
        <n v="428235.0"/>
        <n v="428500.0"/>
        <n v="428586.0"/>
        <n v="428614.3"/>
        <n v="428615.0"/>
        <n v="428622.8"/>
        <n v="428632.0"/>
        <n v="428645.6"/>
        <n v="428653.0"/>
        <n v="428659.0"/>
        <n v="428661.0"/>
        <n v="428666.0"/>
        <n v="428669.0"/>
        <n v="428706.0"/>
        <n v="428724.0"/>
        <n v="428727.0"/>
        <n v="428729.0"/>
        <n v="428745.0"/>
        <n v="428746.0"/>
        <n v="428783.0"/>
        <n v="428784.0"/>
        <n v="428793.0"/>
        <n v="428809.0"/>
        <n v="428817.0"/>
        <n v="428829.0"/>
        <n v="428837.0"/>
        <n v="428846.0"/>
        <n v="428868.0"/>
        <n v="428892.0"/>
        <n v="428935.0"/>
        <n v="428948.0"/>
        <n v="428954.0"/>
        <n v="428999.0"/>
        <n v="429142.0"/>
        <n v="429154.0"/>
        <n v="429171.0"/>
        <n v="429180.0"/>
        <n v="429212.2"/>
        <n v="429214.0"/>
        <n v="429235.0"/>
        <n v="429253.0"/>
        <n v="429257.0"/>
        <n v="429296.0"/>
        <n v="429348.0"/>
        <n v="429445.0"/>
        <n v="429495.0"/>
        <n v="429501.0"/>
        <n v="429614.0"/>
        <n v="429802.0"/>
        <n v="429808.0"/>
        <n v="445382.0"/>
        <n v="451297.0"/>
        <n v="453282.0"/>
        <n v="453357.0"/>
        <n v="453734.0"/>
        <n v="453763.0"/>
        <n v="454862.0"/>
        <n v="454905.0"/>
        <n v="455073.0"/>
        <n v="455221.0"/>
        <n v="455270.0"/>
        <n v="455682.0"/>
        <n v="455927.0"/>
        <n v="456243.0"/>
        <n v="456805.0"/>
        <n v="458047.0"/>
        <n v="458093.0"/>
        <n v="458714.0"/>
        <n v="458948.0"/>
        <n v="459173.0"/>
        <n v="459521.0"/>
        <n v="459676.0"/>
        <n v="459855.0"/>
        <n v="460680.0"/>
        <n v="462187.0"/>
        <n v="464073.0"/>
        <n v="464786.0"/>
        <n v="466026.0"/>
        <n v="483538.0"/>
        <n v="483822.0"/>
        <n v="484834.0"/>
        <n v="491490.0"/>
        <n v="491870.0"/>
        <n v="492137.0"/>
        <n v="492373.0"/>
        <n v="492379.0"/>
        <n v="492380.0"/>
        <n v="492426.0"/>
        <n v="492444.0"/>
        <n v="492518.0"/>
        <n v="492630.0"/>
        <n v="492751.0"/>
        <n v="492765.0"/>
        <n v="492781.0"/>
        <n v="492872.0"/>
        <n v="492875.0"/>
        <n v="492907.0"/>
        <n v="492912.0"/>
        <n v="492925.0"/>
        <n v="493123.0"/>
        <n v="493146.0"/>
        <n v="493185.0"/>
        <n v="493186.0"/>
        <n v="493190.0"/>
        <n v="493202.0"/>
        <n v="493227.0"/>
        <n v="493234.0"/>
        <n v="493245.0"/>
        <n v="493287.0"/>
        <n v="493288.1"/>
        <n v="493320.0"/>
        <n v="493336.0"/>
        <n v="493349.0"/>
        <n v="493375.0"/>
        <n v="493417.0"/>
        <n v="493518.0"/>
        <n v="493578.0"/>
        <n v="493631.0"/>
        <n v="493684.2"/>
        <n v="493726.8"/>
        <n v="493802.0"/>
        <n v="493814.0"/>
        <n v="493890.0"/>
        <n v="493936.0"/>
        <n v="493979.0"/>
        <n v="493997.0"/>
        <n v="494011.0"/>
        <n v="494160.0"/>
        <n v="494209.0"/>
        <n v="494238.0"/>
        <n v="494256.0"/>
        <n v="494378.0"/>
        <n v="494490.0"/>
        <n v="494513.0"/>
        <n v="494518.0"/>
        <n v="494553.0"/>
        <n v="494622.9"/>
        <n v="494631.0"/>
        <n v="494637.0"/>
        <n v="494671.0"/>
        <n v="494708.0"/>
        <n v="494727.0"/>
        <n v="494743.0"/>
        <n v="494747.0"/>
        <n v="494751.0"/>
        <n v="494762.0"/>
        <n v="494778.4"/>
        <n v="494843.0"/>
        <n v="494865.0"/>
        <n v="494894.0"/>
        <n v="494937.0"/>
        <n v="494951.0"/>
        <n v="494953.0"/>
        <n v="495040.0"/>
        <n v="495109.0"/>
        <n v="495701.0"/>
        <n v="496012.0"/>
        <n v="496069.0"/>
        <n v="496669.0"/>
        <n v="501022.0"/>
        <n v="507484.0"/>
        <n v="3652471.0"/>
        <n v="3660909.0"/>
        <n v="3662281.0"/>
        <n v="3671871.0"/>
        <s v="."/>
      </sharedItems>
    </cacheField>
    <cacheField name="UTM Y">
      <sharedItems containsMixedTypes="1" containsNumber="1">
        <n v="76.30114"/>
        <n v="9748379.0"/>
        <n v="9687104.0"/>
        <n v="9706644.0"/>
        <n v="9704786.0"/>
        <n v="9705682.0"/>
        <n v="9705841.0"/>
        <n v="9706120.0"/>
        <n v="9730175.0"/>
        <n v="9704077.0"/>
        <n v="9704083.0"/>
        <n v="9704084.0"/>
        <n v="9703284.0"/>
        <n v="9702979.0"/>
        <n v="9702339.5"/>
        <n v="9702324.0"/>
        <n v="9703530.0"/>
        <n v="9703391.0"/>
        <n v="9702430.0"/>
        <n v="9690372.0"/>
        <n v="9701600.2"/>
        <n v="9701583.0"/>
        <n v="9701584.0"/>
        <n v="9689742.0"/>
        <n v="9700140.0"/>
        <n v="9690075.3"/>
        <n v="9689687.8"/>
        <n v="9689793.0"/>
        <n v="9689911.0"/>
        <n v="9694847.0"/>
        <n v="9690488.0"/>
        <n v="9690086.0"/>
        <n v="9689225.3"/>
        <n v="9694882.0"/>
        <n v="9690155.6"/>
        <n v="9689255.0"/>
        <n v="9693251.0"/>
        <n v="9689958.0"/>
        <n v="9690193.0"/>
        <n v="9693173.0"/>
        <n v="9689775.0"/>
        <n v="9689815.0"/>
        <n v="9693065.8"/>
        <n v="9693139.0"/>
        <n v="9688485.0"/>
        <n v="9688832.0"/>
        <n v="9691248.0"/>
        <n v="9691903.0"/>
        <n v="9691919.0"/>
        <n v="9691918.6"/>
        <n v="9689079.0"/>
        <n v="9691912.0"/>
        <n v="9692263.6"/>
        <n v="9692281.8"/>
        <n v="9692316.0"/>
        <n v="9691816.0"/>
        <n v="9691798.1"/>
        <n v="9691818.0"/>
        <n v="9691831.0"/>
        <n v="9691812.0"/>
        <n v="9691694.0"/>
        <n v="9691324.0"/>
        <n v="9691350.0"/>
        <n v="9689542.0"/>
        <n v="9690361.0"/>
        <n v="9689710.1"/>
        <n v="9689714.8"/>
        <n v="9691430.0"/>
        <n v="9697296.0"/>
        <n v="9689589.0"/>
        <n v="9691911.0"/>
        <n v="9691083.0"/>
        <n v="9691909.0"/>
        <n v="9691900.6"/>
        <n v="9690016.0"/>
        <n v="9689903.0"/>
        <n v="9689996.0"/>
        <n v="9689989.0"/>
        <n v="9690203.0"/>
        <n v="9689840.0"/>
        <n v="9696950.0"/>
        <n v="9690964.0"/>
        <n v="9692014.0"/>
        <n v="9691728.4"/>
        <n v="9692176.9"/>
        <n v="9692189.0"/>
        <n v="9692219.0"/>
        <n v="9682494.0"/>
        <n v="9679566.0"/>
        <n v="9680257.2"/>
        <n v="9679091.0"/>
        <n v="9678343.0"/>
        <n v="9701575.0"/>
        <n v="9701565.0"/>
        <n v="9698223.0"/>
        <n v="9697216.0"/>
        <n v="9709787.0"/>
        <n v="9709822.0"/>
        <n v="9730173.0"/>
        <n v="9714394.0"/>
        <n v="9716727.0"/>
        <n v="9714205.0"/>
        <n v="9714643.0"/>
        <n v="9712178.0"/>
        <n v="9712685.0"/>
        <n v="9712665.0"/>
        <n v="9710745.0"/>
        <n v="9712725.0"/>
        <n v="9712097.0"/>
        <n v="9653467.0"/>
        <n v="9653468.0"/>
        <n v="9653465.0"/>
        <n v="9652244.0"/>
        <n v="9727906.0"/>
        <n v="9696672.0"/>
        <n v="9695706.0"/>
        <n v="9696598.0"/>
        <n v="9695702.0"/>
        <n v="9695742.0"/>
        <n v="9695562.0"/>
        <n v="9697324.0"/>
        <n v="9697334.0"/>
        <n v="9697330.0"/>
        <n v="9697176.0"/>
        <n v="9694493.0"/>
        <n v="9693609.0"/>
        <n v="9694054.0"/>
        <n v="9694052.0"/>
        <n v="9693153.0"/>
        <n v="9694300.0"/>
        <n v="9694264.0"/>
        <n v="9716938.8"/>
        <n v="9696751.0"/>
        <n v="9696933.0"/>
        <n v="9693628.0"/>
        <n v="9716795.6"/>
        <n v="9716964.0"/>
        <n v="9716770.0"/>
        <n v="9716769.9"/>
        <n v="9693327.0"/>
        <n v="9710346.0"/>
        <n v="9725346.0"/>
        <n v="9741543.0"/>
        <n v="9741620.0"/>
        <n v="9741617.0"/>
        <n v="9741636.0"/>
        <n v="9741594.0"/>
        <n v="9741107.0"/>
        <n v="9700781.0"/>
        <n v="9741075.0"/>
        <n v="9740992.0"/>
        <n v="9742512.0"/>
        <n v="9741368.0"/>
        <n v="9741540.0"/>
        <n v="9708648.0"/>
        <n v="9740792.0"/>
        <n v="9732515.0"/>
        <n v="9703618.0"/>
        <n v="9728301.0"/>
        <n v="9724281.0"/>
        <n v="9707134.0"/>
        <n v="9725225.0"/>
        <n v="9725156.0"/>
        <n v="9723937.0"/>
        <n v="9728558.0"/>
        <n v="9728704.0"/>
        <n v="9720007.0"/>
        <n v="9725437.0"/>
        <n v="9720089.0"/>
        <n v="9720155.0"/>
        <n v="9729945.0"/>
        <n v="9720170.0"/>
        <n v="9720001.0"/>
        <n v="9720076.0"/>
        <n v="9720314.0"/>
        <n v="9720283.0"/>
        <n v="9720158.0"/>
        <n v="9720299.0"/>
        <n v="9720343.0"/>
        <n v="9720185.0"/>
        <n v="9720331.0"/>
        <n v="9720199.0"/>
        <n v="9720263.0"/>
        <n v="9733827.0"/>
        <n v="9733785.0"/>
        <n v="9700510.0"/>
        <n v="9700639.0"/>
        <n v="9699292.0"/>
        <n v="9700702.0"/>
        <n v="9699030.0"/>
        <n v="9701432.0"/>
        <n v="9700262.0"/>
        <n v="9699526.0"/>
        <n v="9695912.0"/>
        <n v="9696085.0"/>
        <n v="9697259.0"/>
        <n v="9696439.0"/>
        <n v="9695064.0"/>
        <n v="9693496.0"/>
        <n v="9693884.0"/>
        <n v="9690166.0"/>
        <n v="9727474.0"/>
        <n v="9727732.0"/>
        <n v="9728394.0"/>
        <n v="9728651.0"/>
        <n v="9749996.0"/>
        <n v="9749187.0"/>
        <n v="9749964.0"/>
        <n v="9749906.0"/>
        <n v="9748884.0"/>
        <n v="9748270.0"/>
        <n v="9748765.0"/>
        <n v="9747717.0"/>
        <n v="9747890.0"/>
        <n v="9748301.0"/>
        <n v="9747065.0"/>
        <n v="9746938.0"/>
        <n v="9746718.0"/>
        <n v="9746744.0"/>
        <n v="9746893.0"/>
        <n v="9745289.0"/>
        <n v="9745434.0"/>
        <n v="9745423.0"/>
        <n v="9745872.0"/>
        <n v="9743887.0"/>
        <n v="9744727.0"/>
        <n v="9744715.0"/>
        <n v="9744288.0"/>
        <n v="9744922.0"/>
        <n v="9744668.0"/>
        <n v="9744766.0"/>
        <n v="9744551.0"/>
        <n v="9743180.0"/>
        <n v="9742924.0"/>
        <n v="9744250.0"/>
        <n v="9744309.0"/>
        <n v="9741798.0"/>
        <n v="9741841.0"/>
        <n v="9744326.0"/>
        <n v="9740470.0"/>
        <n v="9740379.0"/>
        <n v="9744064.0"/>
        <n v="9740334.0"/>
        <n v="9739938.0"/>
        <n v="9729942.0"/>
        <n v="9739691.0"/>
        <n v="9744305.0"/>
        <n v="9744299.0"/>
        <n v="9744302.0"/>
        <n v="9744063.0"/>
        <n v="9744062.0"/>
        <n v="9744184.0"/>
        <n v="9743980.0"/>
        <n v="9743953.0"/>
        <n v="9743979.0"/>
        <n v="9744933.0"/>
        <n v="9743973.0"/>
        <n v="9738087.0"/>
        <n v="9743966.0"/>
        <n v="9737966.0"/>
        <n v="9.7377178E7"/>
        <n v="9744798.0"/>
        <n v="9744671.0"/>
        <n v="9735945.0"/>
        <n v="9743443.0"/>
        <n v="9742882.0"/>
        <n v="9744340.0"/>
        <n v="9743141.0"/>
        <n v="9743328.0"/>
        <n v="9743675.0"/>
        <n v="9743312.0"/>
        <n v="9742318.0"/>
        <n v="9729276.0"/>
        <n v="9737794.0"/>
        <n v="9742384.0"/>
        <n v="9738961.0"/>
        <n v="9738870.0"/>
        <n v="9728953.0"/>
        <n v="9728546.0"/>
        <n v="9728342.0"/>
        <n v="9732192.0"/>
        <n v="9731665.0"/>
        <n v="9736216.0"/>
        <n v="9667008.3"/>
        <n v="9667048.2"/>
        <n v="9739702.0"/>
        <n v="9653199.0"/>
        <n v="9653229.0"/>
        <n v="9653652.0"/>
        <n v="9649255.0"/>
        <n v="9649224.0"/>
        <n v="9649383.0"/>
        <n v="9649260.0"/>
        <n v="9722127.0"/>
        <n v="9722048.0"/>
        <n v="9722014.0"/>
        <n v="9721918.0"/>
        <n v="9722213.0"/>
        <n v="9722192.0"/>
        <n v="9721181.4"/>
        <n v="9647376.0"/>
        <n v="9647363.0"/>
        <n v="9646469.0"/>
        <n v="9646474.0"/>
        <n v="9647061.0"/>
        <n v="9647293.0"/>
        <n v="9722885.0"/>
        <n v="9635749.0"/>
        <n v="9727272.0"/>
        <n v="9645490.0"/>
        <n v="9726780.0"/>
        <n v="9644018.0"/>
        <n v="9643133.6"/>
        <n v="9638539.0"/>
        <n v="9635106.0"/>
        <n v="9729943.0"/>
        <n v="9729917.0"/>
        <n v="9729919.0"/>
        <n v="9726958.0"/>
        <n v="9726964.0"/>
        <n v="9641426.0"/>
        <n v="9641384.0"/>
        <n v="9641334.0"/>
        <n v="9632862.0"/>
        <n v="9727249.0"/>
        <n v="9729232.0"/>
        <n v="9727239.7"/>
        <n v="9729164.0"/>
        <n v="9727214.0"/>
        <n v="9727210.0"/>
        <n v="9726033.0"/>
        <n v="9726050.0"/>
        <n v="9725902.0"/>
        <n v="9726042.0"/>
        <n v="9725901.0"/>
        <n v="9728658.0"/>
        <n v="9725297.0"/>
        <n v="9726505.0"/>
        <n v="9727114.0"/>
        <n v="9727762.0"/>
        <s v=".9727758.8"/>
        <n v="9728175.0"/>
        <n v="9728172.1"/>
        <n v="9727936.0"/>
        <n v="9727932.0"/>
        <n v="9727542.0"/>
        <n v="9728583.0"/>
        <n v="9728519.0"/>
        <n v="9727771.0"/>
        <n v="9727646.0"/>
        <n v="9730358.0"/>
        <n v="9728397.0"/>
        <n v="9728318.0"/>
        <n v="9727598.0"/>
        <n v="9728204.0"/>
        <n v="9728585.0"/>
        <n v="9730172.0"/>
        <n v="9730338.0"/>
        <n v="9730166.0"/>
        <n v="9730359.0"/>
        <n v="9728078.0"/>
        <n v="9728266.0"/>
        <n v="9728009.0"/>
        <n v="9727658.0"/>
        <n v="9728368.0"/>
        <n v="9729985.0"/>
        <n v="9728182.0"/>
        <n v="9728289.0"/>
        <n v="9728095.0"/>
        <n v="9728088.0"/>
        <n v="9729266.0"/>
        <s v="9729271.43"/>
        <n v="9729008.0"/>
        <n v="9727290.0"/>
        <n v="9727275.0"/>
        <n v="9727276.0"/>
        <n v="9727140.0"/>
        <n v="9727261.0"/>
        <n v="9727250.0"/>
        <n v="9630470.0"/>
        <n v="9729177.0"/>
        <n v="9729781.0"/>
        <n v="9729584.0"/>
        <n v="9729581.0"/>
        <n v="9729694.0"/>
        <n v="9627448.0"/>
        <n v="9627450.0"/>
        <n v="9624095.0"/>
        <n v="9615773.0"/>
        <n v="9609902.0"/>
        <n v="9609912.0"/>
        <n v="9610112.0"/>
        <n v="9610141.0"/>
        <n v="9611942.0"/>
        <n v="9622046.0"/>
        <n v="9611810.0"/>
        <n v="9628419.0"/>
        <n v="9628229.0"/>
        <n v="9610979.0"/>
        <n v="9626297.0"/>
        <n v="9626303.0"/>
        <n v="9625514.0"/>
        <n v="9625382.0"/>
        <n v="9625386.0"/>
        <n v="9625409.0"/>
        <n v="9625300.0"/>
        <n v="9625177.0"/>
        <n v="9624908.0"/>
        <n v="9624931.0"/>
        <n v="9624972.0"/>
        <n v="9607910.0"/>
        <n v="9607463.0"/>
        <n v="9597782.0"/>
        <n v="9600768.0"/>
        <n v="9579343.0"/>
        <n v="9577952.0"/>
        <n v="9578795.0"/>
        <n v="9549052.0"/>
        <n v="9578891.0"/>
        <n v="9577095.0"/>
        <n v="9577578.0"/>
        <n v="9571957.0"/>
        <n v="9572949.0"/>
        <n v="9577023.0"/>
        <n v="9578411.0"/>
        <n v="9577859.0"/>
        <n v="9577395.0"/>
        <n v="9576935.0"/>
        <n v="9577178.0"/>
        <n v="9577615.0"/>
        <n v="9578005.0"/>
        <n v="9574646.0"/>
        <n v="9577323.0"/>
        <n v="9576827.0"/>
        <n v="9576870.0"/>
        <n v="9577309.0"/>
        <n v="9577011.0"/>
        <n v="9575828.0"/>
        <n v="9576843.0"/>
        <n v="9575761.0"/>
        <n v="9575777.0"/>
        <n v="9577097.0"/>
        <n v="9578240.0"/>
        <n v="9578356.0"/>
        <n v="9577977.0"/>
        <n v="9578098.0"/>
        <n v="9578381.7"/>
        <n v="9576416.0"/>
        <n v="9579317.0"/>
        <n v="9577697.0"/>
        <n v="9578433.0"/>
        <n v="9578019.0"/>
        <n v="9578112.0"/>
        <n v="9578873.0"/>
        <n v="9528824.0"/>
        <n v="9576391.5"/>
        <n v="9575908.3"/>
        <n v="9577844.0"/>
        <n v="9575682.0"/>
        <n v="9579717.0"/>
        <n v="9.4733939E7"/>
        <n v="9579808.0"/>
        <n v="9579765.0"/>
        <n v="9575608.0"/>
        <n v="9578156.0"/>
        <n v="9578257.0"/>
        <n v="9578222.0"/>
        <n v="9578216.0"/>
        <n v="9574512.0"/>
        <n v="9575877.0"/>
        <n v="9574541.0"/>
        <n v="9575835.1"/>
        <n v="9575720.0"/>
        <n v="9575860.4"/>
        <n v="9575750.0"/>
        <n v="9574334.0"/>
        <n v="9574879.0"/>
        <n v="9575785.0"/>
        <n v="9574153.0"/>
        <n v="9574260.0"/>
        <n v="9579748.0"/>
        <n v="9574305.0"/>
        <n v="9579802.0"/>
        <n v="9575562.0"/>
        <n v="9574922.6"/>
        <n v="9575403.0"/>
        <n v="9575366.0"/>
        <n v="9577281.0"/>
        <n v="9577063.0"/>
        <n v="9575066.0"/>
        <n v="9575161.0"/>
        <n v="9577230.0"/>
        <n v="9576306.0"/>
        <n v="9579330.0"/>
        <n v="9579265.0"/>
        <n v="9579835.0"/>
        <n v="9579204.0"/>
        <n v="9515876.0"/>
        <n v="9494842.0"/>
        <n v="9696661.0"/>
        <n v="9695847.0"/>
        <n v="9696496.0"/>
        <s v="."/>
      </sharedItems>
    </cacheField>
    <cacheField name="Latitud">
      <sharedItems containsBlank="1" containsMixedTypes="1" containsNumber="1">
        <m/>
        <n v="-2.6699406"/>
        <n v="-2.6618385"/>
        <n v="-2.6604049"/>
        <s v="."/>
        <n v="-2.6763641"/>
        <n v="-2.6763019"/>
        <n v="-76.499265057578"/>
        <n v="-76.49676197"/>
        <n v="-2.681319"/>
        <n v="-2.6825776"/>
        <n v="-2.6912731"/>
        <s v="-76.552.556"/>
        <n v="-76.4700566"/>
        <n v="-2.6989589"/>
        <n v="-2.69895"/>
        <n v="-2.8060574"/>
        <n v="-2.7120169"/>
        <n v="-76.46158992"/>
        <n v="-76.4609056"/>
        <n v="-76.4598955704509"/>
        <n v="-76.46190053"/>
        <n v="-76.45711428"/>
        <n v="-76.45659665"/>
        <n v="-2.7595818"/>
        <n v="-76.45462687"/>
        <n v="-2.810475"/>
        <n v="-2.775042"/>
        <n v="-76.4515578577779"/>
        <n v="-76.451476438246"/>
        <n v="-76.44846829"/>
        <n v="-76.448256116621"/>
        <n v="-2.8174463"/>
        <n v="-2.7865411"/>
        <n v="-76.44169127"/>
        <n v="-2.8120852"/>
        <n v="-2.7864633"/>
        <n v="-76.43500695"/>
        <n v="-76.43497895"/>
        <n v="-2.7828146"/>
        <n v="-76.4345536208"/>
        <n v="-76.43455015"/>
        <n v="-2.7828159"/>
        <n v="-76.4326608857663"/>
        <n v="-2.8079061"/>
        <n v="-76.43228136"/>
        <n v="-76.43220567"/>
        <n v="-76.43186719"/>
        <n v="-2.8074823"/>
        <n v="-76.43060659"/>
        <n v="-2.7939711"/>
        <n v="-76.43043022"/>
        <n v="-2.8036219"/>
        <n v="-2.8046442"/>
        <n v="-2.8038034"/>
        <n v="-2.803867"/>
        <n v="-2.8019333"/>
        <n v="-2.8052191"/>
        <n v="-2.7409176"/>
        <n v="-2.7950616"/>
        <n v="-76.41473524"/>
        <n v="-76.41350948"/>
        <n v="-76.41336944"/>
        <n v="-2.783989"/>
        <n v="-2.7837253"/>
        <n v="-2.8717003"/>
        <n v="-76.34767124"/>
        <n v="-2.9025368"/>
        <n v="-2.9093048"/>
        <n v="-76.2389676386541"/>
        <n v="-2.69928587"/>
        <n v="-2.7295422"/>
        <n v="-2.73866914"/>
        <n v="-2.583343"/>
        <n v="-2.6163585"/>
        <n v="-2.6041304"/>
        <n v="-3.1344427"/>
        <n v="-3.1344337"/>
        <n v="-3.1344669"/>
        <n v="-3.1455127"/>
        <n v="-2.743665"/>
        <n v="-2.7524025"/>
        <n v="-2.7524438"/>
        <n v="-2.752408"/>
        <n v="-76.20467493"/>
        <n v="-2.7377213"/>
        <n v="-2.7651333"/>
        <n v="-2.7654604"/>
        <n v="-76.19604607"/>
        <n v="-76.19300763"/>
        <n v="-2.5601403"/>
        <n v="-76.19256256"/>
        <n v="-2.3290813"/>
        <n v="-2.6809006"/>
        <n v="-2.6491071"/>
        <n v="-76.1378967"/>
        <n v="-2.4971212"/>
        <n v="-76.13251965"/>
        <n v="-2.7079405"/>
        <n v="-2.7073727"/>
        <n v="-2.722501"/>
        <n v="-2.71801528"/>
        <n v="-2.750714"/>
        <n v="-2.7459487"/>
        <n v="-2.772576"/>
        <n v="-2.7690667"/>
        <n v="-2.8027055"/>
        <n v="-2.4652588"/>
        <n v="-2.4629285"/>
        <n v="-2.4569647"/>
        <n v="-2.4546502"/>
        <n v="-75.87730239"/>
        <n v="-2.3357531"/>
        <n v="-2.3477665"/>
        <n v="-2.3485898"/>
        <n v="-2.3548138"/>
        <s v="-75.86423721"/>
        <n v="-2.4490336"/>
        <n v="-75.85122792"/>
        <n v="-2.4519612"/>
        <n v="-75.502415"/>
        <s v="-75.80284838"/>
        <n v="-75.79604129"/>
        <n v="-75.79601292"/>
        <n v="-75.78801356"/>
        <n v="-75.78809334"/>
        <n v="-3.1373027"/>
        <n v="-3.1370313"/>
        <n v="-3.1332291"/>
        <n v="-3.1730059"/>
        <n v="-3.1732868"/>
        <n v="-3.1718486"/>
        <n v="-3.1729548"/>
        <s v="-75.72301063"/>
        <n v="-3.1900055"/>
        <n v="-3.1901317"/>
        <n v="-3.1982231"/>
        <n v="-3.1981751"/>
        <n v="-3.1928686"/>
        <n v="-3.1907707"/>
        <n v="-2.5069373"/>
        <n v="-75.6892596"/>
        <n v="-3.2071066"/>
        <n v="-3.2204334"/>
        <n v="-75.6568545"/>
        <n v="-75.6553625"/>
        <n v="-3.3010542"/>
        <n v="-2.4431066"/>
        <n v="-2.44334801"/>
        <n v="-2.47011935"/>
        <n v="-3.244259"/>
        <n v="-3.3213535"/>
        <n v="-2.44954886"/>
        <s v="-75.64882541"/>
        <n v="-2.4501616"/>
        <n v="-2.46780343"/>
        <n v="-2.46784067"/>
        <n v="-2.47836649"/>
        <n v="-2.47833244"/>
        <n v="-2.47968082"/>
        <n v="-2.45474329"/>
        <n v="-2.4851494"/>
        <n v="-2.46870856"/>
        <n v="-2.46284505"/>
        <n v="-75.64210076"/>
        <n v="-2.45911197"/>
        <s v="-75.64202238"/>
        <n v="-2.46127459"/>
        <n v="-75.64181897"/>
        <n v="-2.46484135"/>
        <n v="-2.45541801"/>
        <n v="-2.46390009"/>
        <n v="-2.45710083"/>
        <n v="-2.4578145"/>
        <n v="-2.4395439"/>
        <n v="-2.44109755"/>
        <n v="-2.46061501"/>
        <n v="-2.45736864"/>
        <n v="-2.4492468"/>
        <n v="-2.44919891"/>
        <n v="-2.4671164"/>
        <n v="-75.63672511"/>
        <n v="-2.46724925"/>
        <n v="-2.4674864"/>
        <n v="-75.636489"/>
        <n v="-2.45005204"/>
        <n v="-2.44636804"/>
        <n v="-2.44639272"/>
        <n v="-75.6319136"/>
        <n v="-3.4007646"/>
        <n v="-3.4760771"/>
        <n v="-3.5291986"/>
        <n v="-3.5291085"/>
        <n v="-3.5273007"/>
        <n v="-3.5107496"/>
        <n v="-3.4193414"/>
        <n v="-3.5119446"/>
        <n v="-3.3616875"/>
        <n v="-3.3634066"/>
        <n v="-3.3808874"/>
        <n v="-3.3879743"/>
        <n v="-3.3891729"/>
        <n v="-3.3891369"/>
        <n v="-3.388931"/>
        <n v="-3.3899179"/>
        <n v="-3.3910314"/>
        <n v="-3.3934662"/>
        <n v="-3.3932586"/>
        <n v="-3.3928883"/>
        <n v="-3.5472477"/>
        <n v="-75.733238"/>
        <n v="-3.8057052"/>
        <n v="-3.8183311"/>
        <n v="-3.810705"/>
        <n v="-4.0797872"/>
        <n v="-3.8217245"/>
        <n v="-3.8725773"/>
        <n v="-3.8636028"/>
        <n v="-75.06863083"/>
        <n v="-3.8141886"/>
        <n v="-3.8253437"/>
        <n v="-3.82138594"/>
        <n v="-3.8178619"/>
        <n v="-3.8482505"/>
        <n v="-75.06515762"/>
        <n v="-3.8285193"/>
        <n v="-3.82415669"/>
        <n v="-3.8268548"/>
        <n v="-3.8375573"/>
        <n v="-3.8283747"/>
        <n v="-3.8381635"/>
        <n v="-3.8380187"/>
        <n v="-3.8260768"/>
        <n v="-3.8157362"/>
        <n v="-3.8146868"/>
        <n v="-3.8181156"/>
        <n v="-3.81701806"/>
        <n v="-75.0604514"/>
        <n v="-3.8322378"/>
        <n v="-3.80598699"/>
        <n v="-3.8139902"/>
        <n v="-3.8177357"/>
        <n v="-3.8100097"/>
        <n v="-75.05688469"/>
        <n v="-75.0565018"/>
        <n v="-3.8193191"/>
        <n v="-3.8388785"/>
        <n v="-3.8023743"/>
        <n v="-3.8015511"/>
        <n v="-3.839541"/>
        <n v="-75.05259995"/>
        <n v="-3.815583"/>
        <n v="-3.8158997"/>
        <n v="-3.8494637"/>
        <n v="-3.8371148"/>
        <n v="-75.04937551"/>
        <n v="-3.8385352"/>
        <n v="-75.04843007"/>
        <n v="-3.83826271"/>
        <n v="-3.8510742"/>
        <n v="-3.8461437"/>
        <n v="-3.8527117"/>
        <n v="-3.85173874"/>
        <n v="-3.85133585"/>
        <n v="-3.8016058"/>
        <n v="-3.8399647"/>
        <n v="-75.04702999"/>
        <n v="-3.8414032"/>
        <n v="-3.8244131"/>
        <n v="-3.8263854"/>
        <n v="-3.844452"/>
        <n v="-3.8435926"/>
        <n v="-3.8248746"/>
        <n v="-3.833234"/>
        <n v="-3.8013078"/>
        <n v="-3.8070166"/>
        <n v="-76.21220737"/>
        <n v="-76.19477494"/>
        <n v="-75.80296907"/>
        <n v="-76.46170488"/>
        <n v="-76.46187664"/>
        <n v="-76.46184138"/>
        <n v="-76.46188743"/>
        <n v="-76.46177204"/>
        <n v="-76.46185487"/>
        <n v="-76.46185278"/>
        <n v="-76.46131737"/>
        <n v="-76.46190153"/>
        <n v="-76.46171161"/>
        <n v="-76.45471817"/>
        <n v="-76.43279787"/>
        <n v="-76.3496717"/>
        <n v="-76.24479465"/>
        <n v="-76.43410508"/>
        <n v="-76.43444134"/>
        <n v="-75.79342459"/>
        <n v="-75.79347411"/>
        <n v="-76.19257027"/>
        <s v="-75.86624036"/>
        <n v="-75.85124676"/>
        <n v="-75.80275417"/>
        <s v="-75.80278567"/>
        <n v="-76.1926808"/>
        <n v="-76.19246198"/>
        <n v="-76.13243872"/>
        <n v="-76.19258939"/>
        <n v="-76.19303108"/>
        <n v="-76.1282261"/>
        <n v="-2.56184033"/>
      </sharedItems>
    </cacheField>
    <cacheField name="Longitud">
      <sharedItems containsBlank="1" containsMixedTypes="1" containsNumber="1">
        <m/>
        <n v="-76.510957"/>
        <n v="-76.509904"/>
        <n v="-76.506368"/>
        <s v="."/>
        <n v="-76.501792"/>
        <n v="-76.500947"/>
        <n v="-2.6835391888"/>
        <n v="-2.69208464"/>
        <n v="-76.495458"/>
        <n v="-76.494254"/>
        <n v="-76.490838"/>
        <s v="-2.783.809"/>
        <n v="-2.69880302"/>
        <n v="-76.469991"/>
        <n v="-76.469928"/>
        <n v="-76.464384"/>
        <n v="-76.46399"/>
        <n v="-2.80304659"/>
        <n v="-2.80655222"/>
        <n v="-2.8056018624406"/>
        <n v="2.80278826"/>
        <n v="-2.80295501"/>
        <n v="-2.81074066"/>
        <n v="-76.455251"/>
        <n v="-2.80232926"/>
        <n v="-76.453965"/>
        <n v="-76.452275"/>
        <n v="-2.80579317462717"/>
        <n v="-2.80541342029677"/>
        <n v="-2.77601632"/>
        <n v="-2.77580671219505"/>
        <n v="-76.448172"/>
        <n v="-76.441739"/>
        <n v="-2.78640005"/>
        <n v="-76.439153"/>
        <n v="-76.438824"/>
        <n v="-2.78328811"/>
        <n v="-2.78312316"/>
        <n v="-76.434602"/>
        <n v="-2.78733684340023"/>
        <n v="-2.78749902"/>
        <n v="-76.433576"/>
        <n v="-2.79155378704304"/>
        <n v="-76.432428"/>
        <n v="-2.80638607"/>
        <n v="-2.80634368"/>
        <n v="-2.73777733"/>
        <n v="-76.431322"/>
        <n v="-2.78648831"/>
        <n v="-76.430568"/>
        <n v="-2.78657718"/>
        <n v="-76.430157"/>
        <n v="-76.429906"/>
        <n v="-76.429635"/>
        <n v="-76.429401"/>
        <n v="-76.427933"/>
        <n v="-76.425679"/>
        <n v="-76.422877"/>
        <n v="-76.418894"/>
        <n v="-2.78556548"/>
        <n v="-2.78815455"/>
        <n v="-2.78409863"/>
        <n v="-76.413349"/>
        <n v="-76.40699"/>
        <n v="-76.391912"/>
        <n v="-2.89198466"/>
        <n v="-76.343903"/>
        <n v="-76.341689"/>
        <n v="-2.7510997"/>
        <n v="-76.32779277"/>
        <n v="-76.29855146"/>
        <n v="-76.28237292"/>
        <n v="-76.237999"/>
        <n v="-76.227625"/>
        <n v="-76.226849"/>
        <n v="-76.22386"/>
        <n v="-76.218641"/>
        <n v="-76.217106"/>
        <n v="-76.212316"/>
        <n v="-76.212298"/>
        <n v="-76.207297"/>
        <n v="-76.206901"/>
        <n v="-2.75223495"/>
        <n v="-76.204476"/>
        <n v="-76.199196"/>
        <n v="-76.197694"/>
        <n v="-2.56036529"/>
        <n v="-2.56166389"/>
        <n v="-76.192909"/>
        <n v="-2.56189682"/>
        <n v="-76.160477"/>
        <n v="-76.147583"/>
        <n v="-76.137039"/>
        <n v="-2.49658429"/>
        <n v="-76.13354"/>
        <n v="-2.45534932"/>
        <n v="-76.044201"/>
        <n v="-76.041744"/>
        <n v="-76.037125"/>
        <n v="-76.02806022"/>
        <n v="-76.027029"/>
        <n v="-76.025028"/>
        <n v="-76.018106"/>
        <n v="-76.017644"/>
        <n v="-76.009559"/>
        <n v="-75.968375"/>
        <n v="-75.963472"/>
        <n v="-75.928994"/>
        <n v="-75.914243"/>
        <n v="-2.29157379"/>
        <n v="-75.865988"/>
        <n v="-75.865744"/>
        <n v="-75.865654"/>
        <n v="-75.865262"/>
        <s v="-2.31349539"/>
        <n v="-75.858234"/>
        <n v="-2.36224932"/>
        <n v="-75.84944"/>
        <n v="-2.27206159"/>
        <s v="-2.38624428"/>
        <n v="-3.0123599"/>
        <n v="-3.01199949"/>
        <n v="-2.35477713"/>
        <n v="-2.35479664"/>
        <n v="-75.767986"/>
        <n v="-75.73419"/>
        <n v="-75.733948"/>
        <n v="-75.733238"/>
        <n v="-75.733066"/>
        <n v="-75.7328734"/>
        <s v="-2.52234089"/>
        <n v="-75.7198161"/>
        <n v="-75.719489"/>
        <n v="-75.713851"/>
        <n v="-75.713385"/>
        <n v="-75.712453"/>
        <n v="-75.711299"/>
        <n v="-75.708955"/>
        <n v="-3.2951968"/>
        <n v="-75.674023"/>
        <n v="-75.657948"/>
        <n v="-3.2284345"/>
        <n v="-3.2700532"/>
        <n v="-75.6550423"/>
        <n v="-75.65437187"/>
        <n v="-75.65431237"/>
        <n v="-75.65269113"/>
        <n v="-75.6524784"/>
        <n v="-75.6519113"/>
        <n v="-75.64927434"/>
        <s v="-2.46757376"/>
        <n v="-75.64880942"/>
        <n v="-75.64810628"/>
        <n v="-75.64801086"/>
        <n v="-75.64796241"/>
        <n v="-75.64794532"/>
        <n v="-75.64727963"/>
        <n v="-75.64705737"/>
        <n v="-75.646548"/>
        <n v="-75.64312437"/>
        <n v="-75.64234964"/>
        <s v="-2.46288102"/>
        <n v="-75.64208775"/>
        <s v="-2.4591422"/>
        <n v="-75.64194087"/>
        <n v="-2.461314"/>
        <n v="-75.64174779"/>
        <n v="-75.64168758"/>
        <n v="-75.64160869"/>
        <n v="-75.6411092"/>
        <n v="-75.64107755"/>
        <n v="-75.64055849"/>
        <n v="-75.64047686"/>
        <n v="-75.64009543"/>
        <n v="-75.63980971"/>
        <n v="-75.63734372"/>
        <n v="-75.63723848"/>
        <n v="-75.6370132"/>
        <s v="-2.46725998"/>
        <n v="-75.63670495"/>
        <n v="-75.636322"/>
        <n v="-3.3428946"/>
        <n v="-75.63549099"/>
        <n v="-75.63417095"/>
        <n v="-75.63411148"/>
        <n v="-3.3703376"/>
        <n v="-75.491692"/>
        <n v="-75.438478"/>
        <n v="-75.420631"/>
        <n v="-75.419956"/>
        <n v="-75.416561"/>
        <n v="-75.406397"/>
        <n v="-75.405971"/>
        <n v="-75.404498"/>
        <n v="-75.403103"/>
        <n v="-75.402662"/>
        <n v="-75.396755"/>
        <n v="-75.388854"/>
        <n v="-75.377674"/>
        <n v="-75.37726"/>
        <n v="-75.371669"/>
        <n v="-75.369563"/>
        <n v="-75.367538"/>
        <n v="-75.364406"/>
        <n v="-75.363011"/>
        <n v="-75.361399"/>
        <n v="-75.35403"/>
        <n v="-75.317083"/>
        <n v="-75.305984"/>
        <n v="-75.148266"/>
        <n v="-75.145707"/>
        <n v="-75.136636"/>
        <n v="-75.070819"/>
        <n v="-75.068697"/>
        <n v="-75.068642"/>
        <n v="-3.82674539"/>
        <n v="-75.068215"/>
        <n v="-75.065289"/>
        <n v="-75.06515762"/>
        <n v="-75.065018"/>
        <n v="-75.064201"/>
        <n v="-3.82138594"/>
        <n v="-75.063884"/>
        <n v="-75.06371689"/>
        <n v="-75.061939"/>
        <n v="-75.061732"/>
        <n v="-75.06138"/>
        <n v="-75.061372"/>
        <n v="-75.061336"/>
        <n v="-75.061227"/>
        <n v="-75.061001"/>
        <n v="-75.060938"/>
        <n v="-75.060839"/>
        <n v="-75.06045285"/>
        <n v="-3.8144545"/>
        <n v="-75.060165"/>
        <n v="-75.06001868"/>
        <n v="-75.059668"/>
        <n v="-75.05929"/>
        <n v="-75.057839"/>
        <n v="-3.83245945"/>
        <n v="-3.83683102"/>
        <n v="-75.055823"/>
        <n v="-75.055716"/>
        <n v="-75.055029"/>
        <n v="-75.054227"/>
        <n v="-75.053934"/>
        <n v="-3.81644119"/>
        <n v="-75.052157"/>
        <n v="-75.051895"/>
        <n v="-75.050636"/>
        <n v="-75.049627"/>
        <n v="-3.83749404"/>
        <n v="-75.04906"/>
        <n v="-3.8372654"/>
        <n v="-75.048349"/>
        <n v="-75.048304"/>
        <n v="-75.048303"/>
        <n v="-75.047664"/>
        <n v="-75.04748539"/>
        <n v="-75.04730604"/>
        <n v="-75.047274"/>
        <n v="-75.047177"/>
        <n v="-3.84574891"/>
        <n v="-75.046448"/>
        <n v="-75.045988"/>
        <n v="-75.0456"/>
        <n v="-75.045475"/>
        <n v="-75.045457"/>
        <n v="-75.044673"/>
        <n v="-75.044052"/>
        <n v="-75.035404"/>
        <n v="-75.03"/>
        <n v="-2.74380561"/>
        <n v="-2.74527639"/>
        <n v="-2.38837222"/>
        <n v="-2.80294299"/>
        <n v="-2.80281096"/>
        <n v="-2.80275404"/>
        <n v="-2.80276778"/>
        <n v="-2.80287792"/>
        <n v="-2.80272694"/>
        <n v="-2.802743"/>
        <n v="-2.8023777"/>
        <n v="-2.80277841"/>
        <n v="-2.80293362"/>
        <n v="-2.80240707"/>
        <n v="-2.80229331"/>
        <n v="-2.89041684"/>
        <n v="-2.4722986"/>
        <n v="-2.78682334"/>
        <n v="-2.7874241299999998"/>
        <n v="-3.01058108"/>
        <n v="-3.01229032"/>
        <n v="-2.56188563"/>
        <s v="-2.31376329"/>
        <n v="-2.36196709"/>
        <n v="-2.38617791"/>
        <s v="-2.38618885"/>
        <n v="-2.56167928"/>
        <n v="-2.56184906"/>
        <n v="-2.45534805"/>
        <n v="-2.56185839"/>
        <n v="-2.5616968"/>
        <n v="-2.53163264"/>
        <n v="-76.19256342"/>
      </sharedItems>
    </cacheField>
    <cacheField name="Monitor " numFmtId="0">
      <sharedItems containsBlank="1">
        <s v="Rafael Dahua"/>
        <s v="Jhon García"/>
        <s v="Juan José Butuna Dahua, Exon Molina, Telmo"/>
        <s v="Elmer Hualinga"/>
        <s v="Rafael Sandi"/>
        <s v="Telmo Arahuanaza"/>
        <s v="Jhon Vega"/>
        <s v="Martí Orta, Pedro, Emily"/>
        <s v="Exon Molina"/>
        <s v="Juan José Butuna Dahua"/>
        <s v="Adan Sanchez"/>
        <s v="Marcial Dahua"/>
        <s v="Elmer Hualinga y Marcial Dahua"/>
        <s v="No atribuible"/>
        <s v="Ezequiel Dahua"/>
        <s v="Malquia Dahua, Elmer Hualinga"/>
        <s v="Martí Orta, Adam Sandi"/>
        <s v="."/>
        <s v="Martí Orta, Emily, Adam"/>
        <s v="Adam Sanchez"/>
        <s v="Juan José Butuna, Toni"/>
        <s v="David Chino"/>
        <s v="Juan Pablo Gayas, Exon Molina"/>
        <s v="Exon Molina, Roldan Cahuaza, David Chino, Telmo Arahuanaza, Juan José Butuna"/>
        <s v="Exon Molina, Juan José Butana, Telmo"/>
        <s v="Martí Orta"/>
        <s v="Martí Orta, Adam, Emily"/>
        <s v="Martí Orta, Toni"/>
        <s v=" Roberto Sandi"/>
        <s v="Saqueo Sandi"/>
        <s v="Natanael Sandi"/>
        <s v="Oswaldo Paima"/>
        <m/>
        <s v=" Adán Sandi y Eval Salas"/>
        <s v=" Gevara Sandi Chimboras"/>
        <s v="Javier García"/>
        <s v="Natanael Sandi Chimboras"/>
        <s v="Eval Salas y Adan Sandi"/>
        <s v=" Luis Piñola y Patricio Piñola"/>
        <s v="Luis Piñola y Patricio Piñola"/>
        <s v=" Ramon Salas"/>
        <s v="Nuevo jerusalén"/>
        <s v=" Wilson Sandi"/>
        <s v=" Adan Sandi"/>
        <s v=" Adán Sandi"/>
        <s v=" Eval Salas"/>
        <s v=" Adán Sandi, Abel Nango Piñola"/>
        <s v=" Saqueo Sandi"/>
        <s v=" Israel Chuje"/>
        <s v=" Eval Salas and Adan Sandi"/>
        <s v="Tom"/>
        <s v="Watman Hualinga"/>
        <s v=" Raul Paima."/>
        <s v=" José Vilchez"/>
        <s v=" Eliseo Hualinga"/>
        <s v="Bernabel Maynas"/>
        <s v=" Tiroteo Washikiat"/>
        <s v=" José Chimboras Maynas"/>
        <s v=" Jefferson Vilchez"/>
        <s v="Venancio Sandi"/>
        <s v="Hector Isuiza"/>
        <s v="Tom Olmedo"/>
        <s v="Hilda Chung"/>
        <s v="Guillermo Venancio"/>
        <s v="Jean Pierre Ordoñez"/>
        <s v="Guillermo Sandi, Venancio Sandi"/>
        <s v="Guillermo Sandi"/>
        <s v="Martí Orta, Artemio Sandi, America Arias"/>
        <s v="Jean Pierre Ordoñez, Guillermo Sandi"/>
        <s v="Guillermo Venancio, Artemio Sandi"/>
        <s v="Orlando Ramón Dahua Tapuy"/>
        <s v="Artemio Sandi, Ramon Dahua, Janpier Ordoñez"/>
        <s v="Guillermo Sandi, Paola"/>
        <s v="Ramon Dahua"/>
        <s v=" Fidel Sandi"/>
        <s v=" Patricio Piñola"/>
        <s v="Federico Diaz Hualinga"/>
        <s v="Elmer Sandi, Artemio Sandi"/>
        <s v="  Sofonías García"/>
        <s v=" Federico Diaz Hualinga"/>
        <s v="Artemio Sandi"/>
        <s v="Federico Diaz"/>
        <s v="Orinson Garcia"/>
        <s v="Orinson, Venancio Sandi"/>
        <s v=" Segundo Sandi"/>
        <s v="José García Díaz"/>
        <s v=" Ernesto Vilchez Maynas"/>
        <s v="Edgardo Arimuya y Jerson Java"/>
        <s v=" Jerson Java"/>
        <s v=" Tedi Sandi"/>
        <s v=" Wilder Ahuite"/>
        <s v=" Manuel Ojaicate"/>
        <s v="Fidel Sandi Hualinga"/>
        <s v="Wilson/Fidel"/>
        <s v="Cristian Jaba Ríos"/>
        <s v="Elmer Panduro"/>
        <s v="Wilson Sandi Hualinga"/>
        <s v="Fidel Sandi"/>
        <s v=" Niver Peraza Amias"/>
        <s v="Samuel Vela Torres"/>
        <s v=" Guevara Sandi"/>
        <s v="Ducner Papuy, Wilvez Ancho Sandi, Artemio Sandi"/>
        <s v=" Walter Carijano Hualinga"/>
        <s v="Ronald Mendel Canelos Manya"/>
        <s v="Javier Chavez"/>
        <s v="Juan Pablo Gayas"/>
        <s v="Eduar Prada, Fidel Sandi, Alberto Rodriguez"/>
        <s v="John Garcia,  Teddy Tello"/>
        <s v="Ruben Sandi"/>
        <s v="Walter Carijano Hualinga"/>
        <s v="James Cisneros, Wilmer Acho Sandi"/>
        <s v="America Arias"/>
        <s v="Artemio Sandi and Wilmer Sandi Ushihua"/>
        <s v="Ducner Papuy"/>
        <s v="Eduar Prada"/>
        <s v="Eugenio Papallardo"/>
        <s v="James Cisneros"/>
        <s v="Juan José Butuna"/>
        <s v="Tiroteo Washikiat"/>
        <s v="Federico Díaz Hualinga"/>
        <s v=" Segundo Walter Hualinga"/>
        <s v=" Cornelio Sandi"/>
        <s v="Gil Dahua Hualinga, Miguel Carijano"/>
        <s v=" Gil Dahua Hualinga"/>
        <s v="Aurelien Stoll"/>
        <s v="Israel Chuje Garcia"/>
        <s v=" Adan Sanchez"/>
        <s v="Daniel Cuje"/>
        <s v="Elias Huaman Maynas"/>
        <s v="Jhon (no surname known)"/>
        <s v="Iván Victoriano Sujeta"/>
        <s v=" Segundo Manuel Torres Vilchez"/>
        <s v=" Adán Dando Carijana y Eval Salas"/>
      </sharedItems>
    </cacheField>
    <cacheField name="Otros testigos" numFmtId="0">
      <sharedItems containsBlank="1">
        <s v="Rafael Dahua"/>
        <s v="Monitores OPIKAFPE"/>
        <s v="."/>
        <m/>
        <s v="Peter Rodriguez, Aymara León, Malquia Dahua"/>
        <s v="OEFA"/>
        <s v="Apu Tedi Maca Cariajano (Andoas); Clever Cruz Guardia (Ten. Gob. Andoas), Aymara Leon, Peter Rodriquez, Kathia Carillo"/>
        <s v="Apu de Nazaret"/>
        <s v="SC-0910-2023"/>
        <s v="Las autoridades de José Olaya"/>
        <s v="Apu de José Olaya, representante de Frontera y representante de INMAC"/>
        <s v="SC-3262-2022"/>
        <s v="SC-3755-2023"/>
        <s v="Segundo Felipe Omar"/>
        <s v="Ingeniero de TEMA"/>
        <s v="SC-3635-2022"/>
        <s v="SC-1059-2023"/>
        <s v="Acompañado por dos trabajadores de la empresa"/>
        <s v="Apu de la Comunidad Nativa Nueva Jerusalem: Nicolas Sandi"/>
        <s v=" Apu de la Comunidad Nativa José Olaya: Abel Nango"/>
        <s v="Apu Tomás Hualinga"/>
        <s v="SC-0608-2023"/>
        <s v="Monitores 12 de Octubre y OEFA"/>
        <s v="Monitores 12 de Octubre"/>
        <s v="SC-0661-2023"/>
        <s v="Apu Rosa de 12 de Octubre"/>
        <s v="SC-2685-2022"/>
        <s v="Teniente gobernador de Belén y representante de OEFA"/>
        <s v="Todos los monitores de las cuatro comunidades"/>
        <s v="Todos los monitores y los moradores de la comunidad"/>
        <s v="Todos los monitores y comuneros de San Juan de Bartra"/>
        <s v="Todos los monitores de la comunidad"/>
        <s v="Todos los monitores ambientales San Juan de bartra"/>
        <s v="Todos los monitores ambientales San Juan bartra"/>
        <s v="Otros monitores"/>
        <s v="Todos los monitores de San Juan de bartra"/>
        <s v="Meimer Sandi, Federico Carijano, Kenyo Sandi y otros comuneros."/>
        <s v="Todos los monitores ambientales y los comuneros"/>
        <s v="Meimer Sandi, Benjamín Carijano, Federico Carijano, Kenyo Sandi"/>
        <s v="Monitores ambientales"/>
        <s v="Todos los monitores"/>
        <s v="Federico Carijano, Reyver Sandi,  Arnoldo Rodriguez, Benjamin Carijano, Julio Manya,"/>
        <s v="Federico Carijano, Reyver Sandi, Artemio Cariajano, Kenyo Sandi"/>
        <s v="Todos los monitores ambientales de San Juan de bartra"/>
        <s v="Federico Carijano, Meimer Sandi, Kenyo Sandi, Aroldo Rodriguez, Reyver Sandi"/>
        <s v="Federico Cariajano,Julio Manya, Kenyo Sandi, Meimer Sandi, Aroldo Rodriguez"/>
        <s v="Todos los monitores ambientales de San Juan bartra"/>
        <s v="Meimer Sandi, Benjamín Carijano, Federico Carijano, Arnoldo Rodriguez"/>
        <s v="Odilio Sandi Pezo, José; Vicente Celis Llanca. (Los trabajadores ECOSAC"/>
        <s v="Toda la comunidad La Petrolera"/>
        <s v="Toda la comunidad sabe"/>
        <s v="Apu Daniel Hualinga Sandi"/>
      </sharedItems>
    </cacheField>
    <cacheField name="Hubo remediación o algúna limpieza?">
      <sharedItems containsBlank="1" containsMixedTypes="1" containsNumber="1" containsInteger="1">
        <s v="."/>
        <m/>
        <n v="1.0"/>
        <n v="0.0"/>
        <s v="Plan de contingencia"/>
      </sharedItems>
    </cacheField>
    <cacheField name="Que tipo de remediación?">
      <sharedItems containsBlank="1" containsMixedTypes="1" containsNumber="1" containsInteger="1">
        <s v="."/>
        <m/>
        <s v="Absorventes, recojo de crudo en bolsas de plastico"/>
        <s v="Absorventes"/>
        <s v="Recuperación de residuos y limpieza del crudo restante. Sin embargo, un derrame antiguo que se dio en el mismo sitio no fue adecuadamente remediado. "/>
        <s v="La remediación consistió en cubrir el área afectada con tierra. "/>
        <s v="Limpiar el área impactada."/>
        <s v="Comenzaron los trabajos de limpieza. Sin embargo, no está claro cuál fue el alcance de estos trabajos y si la zona se dejó completamente limpia. "/>
        <s v="Han usado espuma para recojer el crudo"/>
        <s v="Limpieza de la zona afectada."/>
        <s v="Según el informe, la zona quedó limpia, pero no hay información sobre los medios utilizados para conseguirlo ni sobre cuántos barriles se recuperaron."/>
        <s v="El petróleo fue recogido y colocado en bolsas. Plan de contingencia"/>
        <s v="Comunidad con apoyo de ejercito han actuado para contener el derrame"/>
        <n v="0.0"/>
        <s v="La resolución directoral 2674-2018-OEFA/DFAI indica que la empresa no se llevó a cabo trabajos de remediación en los sitios impactados. "/>
        <s v="Limpieza de la zona afectada y recuperación de crudo. "/>
        <s v="Limpieza de la zona impactada y cambio de tuberías."/>
        <s v="La empresa comunitaria remedia"/>
        <s v="Cleaning the affected area and oil recovery."/>
        <s v="Oficialmente, la empresa limpió la zona afectada. Sin embargo, un año después, la FECONACO visitó el lugar e informó de que aún quedaba contaminación en el suelo, especialmente en Carmen Caño."/>
        <s v="Limpieza del área afectada y recuperación del crudo"/>
        <s v="Around 2 barrels were recovered."/>
        <s v="La empresa hizo una limpieza en la zona y recuperó mucho del crudo. Sin embargo, en 2015, se reportaba que el sitio aún se encuentra contaminado. (información de ID 26. Fuente: Informe anual de monitoreo de FECONACO)"/>
        <s v="PAC"/>
        <s v="Limpieza del área afectada y recuperación de crudo. Según el informe, el 19/03/2013 se terminaron los trabajos de remediación. Sin embargo en 2013, el OEFA con la organizaciones de comunidades nativas de los ríos Pastaza, Tigre y Marañón se llevaron a cab"/>
        <s v="Trabajo de remediacion bidon absorvente espuma embolsado, balizas"/>
        <s v="Pluspetrol implementó su plan de contingencia, creando barreras de plástico para contener el agua contaminada pero en modo alguna implica remediación"/>
        <s v="Excavación de 2.5 m de profundidad por empresa IMAC"/>
        <s v="Cambio de parte de ducto. "/>
        <s v="Excavación y reparación de tuberías"/>
        <s v="Recuperación de crudo."/>
        <s v="La empresa quemó el petróleo"/>
        <s v="Según el informe, en una visita realizada en agosto de 2007 se informó de que no había contaminación visible en la zona. Sin embargo, no hay información sobre cómo se llevaron a cabo los trabajos de remediación/limpieza."/>
        <s v="En el momento en que se tomaron las fotos, se estaban llevando a cabo obras de remediación."/>
      </sharedItems>
    </cacheField>
    <cacheField name="Responsable" numFmtId="0">
      <sharedItems containsBlank="1">
        <s v="Laura"/>
        <s v="Cielo"/>
        <s v="Ale"/>
        <s v="Ana Paula"/>
        <s v="Claudia"/>
        <m/>
        <s v="Lady"/>
      </sharedItems>
    </cacheField>
    <cacheField name="Estado (por validar/validación parcial/validación final)" numFmtId="0">
      <sharedItems containsBlank="1">
        <s v="1. Validado parcial"/>
        <s v="2. Validado final"/>
        <m/>
        <s v="0. Por validar"/>
      </sharedItems>
    </cacheField>
    <cacheField name="Comentarios" numFmtId="0">
      <sharedItems containsBlank="1">
        <s v="De acuerdo a fuente Nina, se modificó Rafael Sandi a Rafael Dahua en columna V"/>
        <s v="Se agregó en columna M &quot;Frontera Energy&quot; y se agregó en columna E &quot;&amp; 1A&quot;"/>
        <s v="1. De acuerdo a fuente Nina, se modificó Rafael Sandi a Rafael Dahua en columna V&#10; 2. De acuerdo a fuente Nina, el valor en columna K es &quot;Antiguo&quot;, pero de acuerdo con &quot;antiguo Equidad&quot; es &quot;nuevo&quot;.&#10; 3. De acuerdo a fuente antigua Equidad, el valor es &quot;Duc"/>
        <s v="1. De acuerdo a fuente Nina, se modificó Rafael Sandi a Rafael Dahua en columna V&#10; 2. Se eliminó &quot;crudo&quot; &#10; 3. De acuerdo a fuente Nina, es &quot;Antiguo&quot; y de acuerdo a Antiguo Equidad es &quot;nuevo&quot;."/>
        <m/>
        <s v="UTM X y Y están OK. Se agrego Lat y log"/>
        <s v="Todo el UTM X y Y, y la log y lat están OK. Pero están en diferentes columnas."/>
        <s v="1.- Se modifico la columna &quot;F&quot; (¿cuándo se detectó el impacto?&quot;) en base al formato de&quot;día/mes/año&quot; 2.- Se traslado información de &quot;Descripción detallada&quot; a &quot;Descripción de ubicación&quot; "/>
        <s v="En la descripción se señala que la empresa a cargo es Petroperu S.A. Sin embargo en la columna Empresa involucrada se encuentra &quot;Pacific Stratus Energy del Perú, S.A.&quot;. Se agregó Petroperu S.A. a la menciona columna, corresponde verificar si se mantiene a"/>
        <s v="Se modifico la columna &quot;F&quot; (¿cuándo se detectó el impacto?&quot;) en base al formato de&quot;día/mes/año&quot;"/>
        <s v="UTM X y  UTM Y están OK. Se agregó long y lat."/>
        <s v="Se modificó la traducción de la columna N"/>
        <s v="1. Se agregó antiguo en columna K"/>
        <s v="Se corrigió traducción de la columna O"/>
        <s v="Tengo dudas sobre la traducción de la columna N. La frase en inglés original es &quot;Oil emerging&quot;."/>
        <s v="Se hicieron pequeños cambios en la redacción de la columna N"/>
        <s v="En la descripción se especifican las coordenadas de una instalación abandonada"/>
        <s v="Se cambió en la columna K de &quot;Operacional&quot; a &quot;Nuevo&quot;."/>
        <s v="No tiene código propio. Se modifico la columna &quot;F&quot; (¿cuándo se detectó el impacto?&quot;) en base al formato de&quot;día/mes/año&quot;"/>
        <s v="En la columna N se detallas dos eventos con coordenadas, las que podrían haber afectado al evento principal"/>
        <s v="La descripción señala dos coordenadas, una es detallada en el sistema Lat/Long y la otra en el sistema UTM"/>
        <s v="UTM X y UTM Y están OK. Se agregó long y lat."/>
        <s v="Al inicio de la descripcion de la columna N decía &quot;Derrame de petróleo del tanque 1450&quot;, sin embargo, en la base de datos &quot;antigua Equidad&quot; no se señala ese dato"/>
        <s v="UTM X em BD Original no inicia com 0 – el resto de números son iguales. UTM Y está OK. Se agregó long y lat."/>
        <s v="."/>
        <s v="Se agregó en columna K &quot;Nuevo&quot;"/>
        <s v="UTM X em BD Original no inicia com 0 – el resto de números son iguales. UTM Y está OK"/>
        <s v="Se corrigió la columna N"/>
        <s v="Las UTM X y Y están ok, pero la log y lat de acuerdo a la BD deberían ser: -2.5616635 y -76.193007, ya que las UTM no considera todas las decimales. Asimismo, están en columnas diferentes."/>
        <s v="UTM X em BD Original no inicia com 0 – el resto de números son iguales. UTM Y está OK. Se agregó long y lat. Traducción: Petroleo o crudo derramdo por un camión."/>
        <s v="No hay coordenadas en DD o DDU."/>
        <s v="No tiene código propio"/>
        <s v="Se transcribió Y"/>
        <s v="Se tradujo la columna Y"/>
        <s v="Se modifico la columna &quot;F&quot; (¿cuándo se detectó el impacto&quot;) en base al formato de&quot;día/mes/año&quot;"/>
        <s v="Se identifica la ausencia de información en torno al &quot;Descripción detallada&quot; y &quot;Descripción detallada de ubicación&quot;, sobre este último se hace mención de &quot;Información de un cuaderno N°289&quot;"/>
        <s v="Se identifica la ausencia de información en torno al &quot;Descripción detallada&quot; y &quot;Descripción detallada de ubicación&quot;, sobre este último se hace mención de &quot;Información de un cuaderno N°288&quot;"/>
        <s v="Se identifica la ausencia de información en torno al &quot;Descripción detallada&quot; y &quot;Descripción detallada de ubicación&quot;, sobre este último se hace mención de &quot;Información de un cuaderno N°290&quot;"/>
        <s v="Se identifica la ausencia de información en torno al &quot;Descripción detallada&quot; y &quot;Descripción detallada de ubicación&quot;, sobre este último se hace mención de &quot;Información de un cuaderno N°287&quot;"/>
        <s v="Se identifica la ausencia de información en torno al &quot;Descripción detallada&quot; y &quot;Descripción detallada de ubicación&quot;, sobre este último se hace mención de &quot;Información de un cuaderno N°291&quot;"/>
        <s v="De acuerdo a fuente Nina, es &quot;nuevo&quot; en columna K."/>
        <s v="1. De acuerdo a fuente Nina, se agregó &quot;&amp; 1A&quot; a &quot;San Jacinto&quot; en columna E. 2. Se cambió &quot;Oxy&quot; a &quot;Occidental Petroleum Corporation (OXY)&quot; en columna M"/>
        <s v="De acuerdo a fuente Nina, se agregó &quot;&amp; 1A&quot; a &quot;San Jacinto&quot; en columna E"/>
        <s v="El evento original se dio 19/12/2016"/>
        <s v="Se colocó parte de los datos que estaban en la columna O en la columna N, para que solo quede la ubicación específica. Se tradujo la columna Y. Se ajusto el formato de la fecha F."/>
        <s v="Se corrigió la traducción del dato de la columna N "/>
        <s v="Falta revisar traducción"/>
        <s v="Se ajustó la traducción en la columna N"/>
        <s v="No tiene un código propio"/>
        <s v="No tiene código propio "/>
        <s v="Se agregó en columna M &quot;Frontera Energy&quot;"/>
        <s v="Se corrigió la traducción del dato de la columna N"/>
        <s v="Se corrigió la traducción de la columna N"/>
        <s v="Se identificó el término &quot;Ducto&quot;, de acuerdo a fuente Antigua Equidad"/>
        <s v="De acuerdo con Nina Equidad, &quot;Depósito de material&quot; cambia a botadero"/>
        <s v="Se corrigió la columna N y O."/>
        <s v="De acuerdo con fuente antiguo equidad, se cambió la info"/>
        <s v="CA: Fecha modificada a formado D/M/A"/>
        <s v="Se corrigió la columna N y O. El evento original se produjo aproximadamente en 1998"/>
        <s v="&quot;De vido&quot; cambia a &quot;Debido&quot;"/>
        <s v="Se hicieron pequeños cambios en la traducción de la columna N y O"/>
        <s v="Se hicieron pequeños cambios en la traducción de la columna N"/>
        <s v="Decía COE201402 pero el monitor tiene los iniciales JG"/>
        <s v="1.- Se modifico la columna &quot;F&quot; (¿cuándo se detectó el impacto?&quot;) en base al formato de&quot;día/mes/año&quot; 2.- Se realizo la traducción de &quot;Tipo de remediación&quot;"/>
        <s v="No tiene código propio 1.- Se modifico la columna &quot;F&quot; (¿cuándo se detectó el impacto?&quot;) en base al formato de&quot;día/mes/año&quot; 2.- Se identifica  información en torno a &quot;Descripción detallada&quot;"/>
        <s v="Dudo sobre la traducción de &quot;topping plant&quot;, no traduje la frase."/>
        <s v="Cambio en columna W: El valor &quot;&amp;#233&quot; es una representación en HTML del carácter &quot;é&quot;"/>
        <s v="UTM X em BD Original no inicia com 0 – el resto de números son iguales. UTM Y está OK. Se agregó long y lat. Traducción: La compañia está remediando el derrame de petroleo. "/>
        <s v="No tiene código propio  1.- Se modifico la columna &quot;F&quot; (¿cuándo se detectó el impacto?&quot;) en base al formato de&quot;día/mes/año&quot; 2.- Se identifica  información en torno a &quot;Descripción detallada de ubicación&quot;, sin embargo, no se mencionan las coordenadas. "/>
        <s v="Dice COE en el codigo cuando los iniciales del monitor son FS (eso afecta a los codigos de otros casos porque el mismo monitor ha registrado varios casos en el mismo año)"/>
        <s v="Se tradujo columna Y"/>
        <s v="Se copió el dato de la columna O a la columna N"/>
        <s v="1. Por equis motivos decía la descripción en el código. Ya recuperé el código"/>
        <s v="1. Se tradujo la columna Y y se cambió &quot;fuga&quot; por &quot;derrame&quot; para estandarizar.&#10;2. Por equis motivos decía la descripción en el código. Ya recuperé el código"/>
        <s v="Se tradujo la columna N. El evento original se dio aprox 16/05/1980"/>
        <s v="Se realizó cambios en la traducción en la columna N. &quot;drums&quot; se tradujo como bidones"/>
        <s v="Se modificó la traducción en columna N"/>
        <s v="Se modificó la información de las celdas N y O"/>
        <s v="Se identifica la ausencia de información en torno al &quot;Descripción detallada&quot; y &quot;Descripción detallada de ubicación&quot;"/>
        <s v="Se identifica  información en torno a &quot;Descripción detallada de ubicación&quot;, sin embargo, no se mencionan las coordenadas. "/>
        <s v="Se corrigió redacción columna O"/>
        <s v="Se corrigió la redacción del texto de la columna N. No tiene coordenadas. "/>
        <s v="Se corrigió la redacción del texto de la columna N. No tiene coordenadas"/>
        <s v="Se corrigió la redacción del texto de la columna N."/>
        <s v="Se corrigió la redacción del texto de la columna N"/>
        <s v="Se agregó un dato adicional en la columna N. No tiene coordenadas"/>
        <s v="Se agregó dato a la columna O"/>
        <s v="No tiene un código propio 1.- Se modifico la columna &quot;F&quot; (¿cuándo se detectó el impacto?&quot;) en base al formato de&quot;día/mes/año&quot; 2.- Se identifica  información en torno a &quot;Descripción detallada de ubicación&quot;, sin embargo, no se mencionan las coordenadas. "/>
        <s v="No tiene coordenadas. Tengo dudas sobre la traducción de la columna N. La frase en inglés original es &quot;Oil emerging&quot;."/>
        <s v="No tiene coordenadas. Se ajustó la traducción de la columna N"/>
        <s v="No tiene coordenadas. Se ajusto el formato de la fecha F."/>
        <s v="No tiene coordenadas. Se agregó dato de la columna N a la columna O"/>
        <s v="No tiene coordenadas. Se agregó dato a la columna O"/>
        <s v="No tiene coordenadas. No estoy segura de la traducción de la frase &quot;flood area&quot; en la columna N. La traducción directa es &quot;área inundada&quot;"/>
        <s v="No tiene coordenadas. Cambios menores en la columna N"/>
        <s v="No tiene coordenadas."/>
        <s v="No tiene coordenadas"/>
        <s v="No tiene código propio 1.- Se modifico la columna &quot;F&quot; (¿cuándo se detectó el impacto?&quot;) en base al formato de&quot;día/mes/año&quot; 2.- Se identifica  información en torno a&quot;Descripción detallada de ubicación&quot;, sin embargo, no se mencionan las coordenadas. "/>
        <s v="No tiene código propio 1.- Se modifico la columna &quot;F&quot; (¿cuándo se detectó el impacto?&quot;) en base al formato de&quot;día/mes/año&quot; 2.- Se identifica  información en torno a &quot;Descripción detallada de ubicación&quot;, sin embargo, no se mencionan las coordenadas. "/>
        <s v="No hay identificador único"/>
        <s v="No hay coordenadas en DD o DDU. Traducción: Un repentino aumento del nivel de aceite en el área de tratamiento arrastró el aceite hacia los quemadores. Finalmente, cayó dentro de la zanja y llegó al tanque de sumidero, que se desbordó."/>
        <s v="No hay coordenadas en DD o DDU. Traducción: Leakage from a tank which is owned to PlusPetrol company"/>
        <s v="No hay coordenadas en DD o DDU. Traducción: Hubo un gran derrame de petróleo dentro de las instalaciones petroleras. El petróleo llegó a las cunetas de drenaje de agua y se extendió por los alrededores. Probablemente alcanzó cuerpos de agua. "/>
        <s v="No hay coordenadas en DD o DDU. traducción: El evento ocurrió debido a una falla al realizar una operación de bombeo de petróleo desde Batería 1 hasta un tanque ubicado en la Plataforma 114. El tanque se desbordó y 0.5 barriles de petróleo impactaron en e"/>
        <s v="No hay coordenadas en DD o DDU. Traducción: El derrame ocurrió en la parte inferior del tanque."/>
        <s v="No hay coordenadas en DD o DDU. No lo encontré en ninguna de las cuatro bases de datos. Lo encontré en uno que no tenía código. BD: Antigua Equidad. Site: Central Production Facility 7, platform x47 spill. The oil spill took place in the Comunidad  San Jo"/>
        <s v="Long y lati están OK. Los datos UTM X y Y si se encuentran en la base de datos de coordenadas, pero tienen decimales. "/>
        <s v="En la base de datos original, el texto de las descripción de ubicación es el de la fila 143 en esta tabla"/>
        <s v="El evento original se dio en 19/02/1999"/>
        <s v="De acuerdo con Nina Equidad, es Nuevo y no Operacional. Se revisó antigua Equidad y allí sí es Operacional."/>
        <s v="1.- Se modifico la columna &quot;F&quot; (¿cuándo se detectó el impacto?&quot;) en base al formato de&quot;día/mes/año&quot; 2.- Se traslado información de &quot;Descripción detallada&quot; a &quot;Descripción de ubicación&quot;, verificando la ausencia de información de las coordenadas."/>
        <s v="1.- Se modifico la columna &quot;F&quot; (¿cuándo se detectó el impacto?&quot;) en base al formato de&quot;día/mes/año&quot; 2.- Se realizo la traducción de &quot;Descripción detallada&quot;"/>
        <s v="1.- Se modifico la columna &quot;F&quot; (¿cuándo se detectó el impacto?&quot;) en base al formato de&quot;día/mes/año&quot; 2.- Se identifica nformación en torno a&quot;Descripción detallada de ubicación&quot;, sin embargo, no se mencionan las coordenadas. "/>
        <s v="1.- Se modifico la columna &quot;F&quot; (¿cuándo se detectó el impacto?&quot;) en base al formato de&quot;día/mes/año&quot; 2.- Se identifica la ausencia de información en torno a &quot;Descripción detallada&quot; y &quot;Descripción detallada de ubicación&quot;, por lo tanto, también de las coorde"/>
        <s v="1.- Se modifico la columna &quot;F&quot; (¿cuándo se detectó el impacto?&quot;) en base al formato de&quot;día/mes/año&quot; 2.- Se identifica la ausencia de información en torno a &quot;Descripción detallada de ubicación&quot;, por lo tanto, también de las coordenadas. "/>
        <s v="1.- Se modifico la columna &quot;F&quot; (¿cuándo se detectó el impacto?&quot;) en base al formato de&quot;día/mes/año&quot; 2.- Se identifica  información en torno a &quot;Descripción detallada de ubicación&quot;, sin embargo, no se mencionan las coordenadas. "/>
        <s v="1.- Se modifico la columna &quot;F&quot; (¿cuándo se detectó el impacto?&quot;) en base al formato de&quot;día/mes/año&quot; 2.- Se corrobora lo mencionado en &quot;Descripción detallada de ubicación&quot;, es decir, ausencia de las coordenadas"/>
        <s v=" Se identifica  información en torno a &quot;Descripción detallada de ubicación&quot;, sin embargo, no se mencionan las coordenadas. "/>
        <s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Agrupados por Federación" cacheId="0" dataCaption="" compact="0" compactData="0">
  <location ref="A1:B14" firstHeaderRow="0" firstDataRow="1" firstDataCol="0"/>
  <pivotFields>
    <pivotField name="Númer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name="Códi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t="default"/>
      </items>
    </pivotField>
    <pivotField name="Federación" axis="axisRow" compact="0" outline="0" multipleItemSelectionAllowed="1" showAll="0" sortType="ascending">
      <items>
        <item x="10"/>
        <item x="5"/>
        <item x="11"/>
        <item x="4"/>
        <item x="0"/>
        <item x="3"/>
        <item x="2"/>
        <item x="9"/>
        <item x="7"/>
        <item x="8"/>
        <item x="1"/>
        <item x="6"/>
        <item t="default"/>
      </items>
    </pivotField>
    <pivotField name="Fuente de inform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Zona de Monitoreo " compact="0" outline="0" multipleItemSelectionAllowed="1" showAll="0">
      <items>
        <item x="0"/>
        <item x="1"/>
        <item x="2"/>
        <item x="3"/>
        <item x="4"/>
        <item x="5"/>
        <item x="6"/>
        <item x="7"/>
        <item x="8"/>
        <item x="9"/>
        <item x="10"/>
        <item x="11"/>
        <item x="12"/>
        <item x="13"/>
        <item x="14"/>
        <item x="15"/>
        <item x="16"/>
        <item t="default"/>
      </items>
    </pivotField>
    <pivotField name="Cuando se detectó el imp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t="default"/>
      </items>
    </pivotField>
    <pivotField name="Cuando ocurrió?"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Año de occurre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ipo de impac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Fuente de impacto" compact="0" outline="0" multipleItemSelectionAllowed="1" showAll="0">
      <items>
        <item x="0"/>
        <item x="1"/>
        <item x="2"/>
        <item x="3"/>
        <item x="4"/>
        <item x="5"/>
        <item x="6"/>
        <item x="7"/>
        <item x="8"/>
        <item x="9"/>
        <item x="10"/>
        <item x="11"/>
        <item x="12"/>
        <item t="default"/>
      </items>
    </pivotField>
    <pivotField name="Impacto nuevo o antiguo" compact="0" outline="0" multipleItemSelectionAllowed="1" showAll="0">
      <items>
        <item x="0"/>
        <item x="1"/>
        <item x="2"/>
        <item x="3"/>
        <item t="default"/>
      </items>
    </pivotField>
    <pivotField name="Lote" compact="0" outline="0" multipleItemSelectionAllowed="1" showAll="0">
      <items>
        <item x="0"/>
        <item x="1"/>
        <item x="2"/>
        <item x="3"/>
        <item x="4"/>
        <item x="5"/>
        <item t="default"/>
      </items>
    </pivotField>
    <pivotField name="Empresa involucrada" compact="0" outline="0" multipleItemSelectionAllowed="1" showAll="0">
      <items>
        <item x="0"/>
        <item x="1"/>
        <item x="2"/>
        <item x="3"/>
        <item x="4"/>
        <item x="5"/>
        <item x="6"/>
        <item x="7"/>
        <item x="8"/>
        <item x="9"/>
        <item x="10"/>
        <item x="11"/>
        <item x="12"/>
        <item x="13"/>
        <item x="14"/>
        <item t="default"/>
      </items>
    </pivotField>
    <pivotField name="Descripción detall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t="default"/>
      </items>
    </pivotField>
    <pivotField name="Descripción detallada de ubic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Zona UTM" compact="0" outline="0" multipleItemSelectionAllowed="1" showAll="0">
      <items>
        <item x="0"/>
        <item x="1"/>
        <item x="2"/>
        <item x="3"/>
        <item x="4"/>
        <item x="5"/>
        <item x="6"/>
        <item t="default"/>
      </items>
    </pivotField>
    <pivotField name="Altitud y err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UTM 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t="default"/>
      </items>
    </pivotField>
    <pivotField name="UTM 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Lat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Long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name="Monito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Otros testig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Hubo remediación o algúna limpieza?" compact="0" outline="0" multipleItemSelectionAllowed="1" showAll="0">
      <items>
        <item x="0"/>
        <item x="1"/>
        <item x="2"/>
        <item x="3"/>
        <item x="4"/>
        <item t="default"/>
      </items>
    </pivotField>
    <pivotField name="Que tipo de remedi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Responsable" compact="0" outline="0" multipleItemSelectionAllowed="1" showAll="0">
      <items>
        <item x="0"/>
        <item x="1"/>
        <item x="2"/>
        <item x="3"/>
        <item x="4"/>
        <item x="5"/>
        <item x="6"/>
        <item t="default"/>
      </items>
    </pivotField>
    <pivotField name="Estado (por validar/validación parcial/validación final)" compact="0" outline="0" multipleItemSelectionAllowed="1" showAll="0">
      <items>
        <item x="0"/>
        <item x="1"/>
        <item x="2"/>
        <item x="3"/>
        <item t="default"/>
      </items>
    </pivotField>
    <pivotField name="Comentari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s>
  <rowFields>
    <field x="2"/>
  </rowFields>
  <dataFields>
    <dataField name="COUNT of Número" fld="0" subtotal="countNums" baseField="0"/>
  </dataFields>
</pivotTableDefinition>
</file>

<file path=xl/pivotTables/pivotTable2.xml><?xml version="1.0" encoding="utf-8"?>
<pivotTableDefinition xmlns="http://schemas.openxmlformats.org/spreadsheetml/2006/main" name="Seguimiento de validación - Eco" cacheId="1" dataCaption="" compact="0" compactData="0">
  <location ref="A1:F10" firstHeaderRow="0" firstDataRow="1" firstDataCol="1"/>
  <pivotFields>
    <pivotField name="Núme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t="default"/>
      </items>
    </pivotField>
    <pivotField name="Códig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t="default"/>
      </items>
    </pivotField>
    <pivotField name="Federación" compact="0" outline="0" multipleItemSelectionAllowed="1" showAll="0">
      <items>
        <item x="0"/>
        <item x="1"/>
        <item x="2"/>
        <item x="3"/>
        <item x="4"/>
        <item x="5"/>
        <item x="6"/>
        <item x="7"/>
        <item x="8"/>
        <item x="9"/>
        <item x="10"/>
        <item t="default"/>
      </items>
    </pivotField>
    <pivotField name="Fuente de inform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Zona de Monitoreo " compact="0" outline="0" multipleItemSelectionAllowed="1" showAll="0">
      <items>
        <item x="0"/>
        <item x="1"/>
        <item x="2"/>
        <item x="3"/>
        <item x="4"/>
        <item x="5"/>
        <item x="6"/>
        <item x="7"/>
        <item x="8"/>
        <item x="9"/>
        <item x="10"/>
        <item x="11"/>
        <item x="12"/>
        <item x="13"/>
        <item x="14"/>
        <item x="15"/>
        <item t="default"/>
      </items>
    </pivotField>
    <pivotField name="Cuando se detectó el imp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t="default"/>
      </items>
    </pivotField>
    <pivotField name="Cuando ocurrió?"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name="Año de occurre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Tipo de impac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Fuente de impacto" compact="0" outline="0" multipleItemSelectionAllowed="1" showAll="0">
      <items>
        <item x="0"/>
        <item x="1"/>
        <item x="2"/>
        <item x="3"/>
        <item x="4"/>
        <item x="5"/>
        <item x="6"/>
        <item x="7"/>
        <item x="8"/>
        <item x="9"/>
        <item x="10"/>
        <item x="11"/>
        <item t="default"/>
      </items>
    </pivotField>
    <pivotField name="Impacto nuevo o antiguo" compact="0" outline="0" multipleItemSelectionAllowed="1" showAll="0">
      <items>
        <item x="0"/>
        <item x="1"/>
        <item x="2"/>
        <item x="3"/>
        <item t="default"/>
      </items>
    </pivotField>
    <pivotField name="Lote" compact="0" outline="0" multipleItemSelectionAllowed="1" showAll="0">
      <items>
        <item x="0"/>
        <item x="1"/>
        <item x="2"/>
        <item x="3"/>
        <item x="4"/>
        <item x="5"/>
        <item t="default"/>
      </items>
    </pivotField>
    <pivotField name="Empresa involucrada" compact="0" outline="0" multipleItemSelectionAllowed="1" showAll="0">
      <items>
        <item x="0"/>
        <item x="1"/>
        <item x="2"/>
        <item x="3"/>
        <item x="4"/>
        <item x="5"/>
        <item x="6"/>
        <item x="7"/>
        <item x="8"/>
        <item x="9"/>
        <item x="10"/>
        <item x="11"/>
        <item x="12"/>
        <item x="13"/>
        <item x="14"/>
        <item t="default"/>
      </items>
    </pivotField>
    <pivotField name="Descripción detall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t="default"/>
      </items>
    </pivotField>
    <pivotField name="Descripción detallada de ubic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t="default"/>
      </items>
    </pivotField>
    <pivotField name="Zona UTM" compact="0" outline="0" multipleItemSelectionAllowed="1" showAll="0">
      <items>
        <item x="0"/>
        <item x="1"/>
        <item x="2"/>
        <item t="default"/>
      </items>
    </pivotField>
    <pivotField name="Altitud y err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UTM 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UTM 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t="default"/>
      </items>
    </pivotField>
    <pivotField name="Lat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Long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Monito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Otros testig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Hubo remediación o algúna limpieza?" compact="0" outline="0" multipleItemSelectionAllowed="1" showAll="0">
      <items>
        <item x="0"/>
        <item x="1"/>
        <item x="2"/>
        <item x="3"/>
        <item x="4"/>
        <item t="default"/>
      </items>
    </pivotField>
    <pivotField name="Que tipo de remedi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Responsable" axis="axisRow" compact="0" outline="0" multipleItemSelectionAllowed="1" showAll="0" sortType="ascending">
      <items>
        <item x="5"/>
        <item x="2"/>
        <item x="3"/>
        <item x="1"/>
        <item x="4"/>
        <item x="6"/>
        <item x="0"/>
        <item t="default"/>
      </items>
    </pivotField>
    <pivotField name="Estado (por validar/validación parcial/validación final)" axis="axisCol" compact="0" outline="0" multipleItemSelectionAllowed="1" showAll="0" sortType="ascending">
      <items>
        <item x="2"/>
        <item x="3"/>
        <item x="0"/>
        <item x="1"/>
        <item t="default"/>
      </items>
    </pivotField>
    <pivotField name="Comentari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s>
  <rowFields>
    <field x="25"/>
  </rowFields>
  <colFields>
    <field x="26"/>
  </colFields>
  <dataFields>
    <dataField name="COUNTA of Código" fld="1" subtotal="count" baseField="0"/>
  </dataFields>
</pivotTableDefinition>
</file>

<file path=xl/pivotTables/pivotTable3.xml><?xml version="1.0" encoding="utf-8"?>
<pivotTableDefinition xmlns="http://schemas.openxmlformats.org/spreadsheetml/2006/main" name="Seguimiento de validación - Eco 2" cacheId="1" dataCaption="" compact="0" compactData="0">
  <location ref="A11:B131" firstHeaderRow="0" firstDataRow="1" firstDataCol="0"/>
  <pivotFields>
    <pivotField name="Núme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t="default"/>
      </items>
    </pivotField>
    <pivotField name="Códig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t="default"/>
      </items>
    </pivotField>
    <pivotField name="Federación" compact="0" outline="0" multipleItemSelectionAllowed="1" showAll="0">
      <items>
        <item x="0"/>
        <item x="1"/>
        <item x="2"/>
        <item x="3"/>
        <item x="4"/>
        <item x="5"/>
        <item x="6"/>
        <item x="7"/>
        <item x="8"/>
        <item x="9"/>
        <item x="10"/>
        <item t="default"/>
      </items>
    </pivotField>
    <pivotField name="Fuente de inform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Zona de Monitoreo " compact="0" outline="0" multipleItemSelectionAllowed="1" showAll="0">
      <items>
        <item x="0"/>
        <item x="1"/>
        <item x="2"/>
        <item x="3"/>
        <item x="4"/>
        <item x="5"/>
        <item x="6"/>
        <item x="7"/>
        <item x="8"/>
        <item x="9"/>
        <item x="10"/>
        <item x="11"/>
        <item x="12"/>
        <item x="13"/>
        <item x="14"/>
        <item x="15"/>
        <item t="default"/>
      </items>
    </pivotField>
    <pivotField name="Cuando se detectó el imp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t="default"/>
      </items>
    </pivotField>
    <pivotField name="Cuando ocurrió?"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name="Año de occurre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Tipo de impac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Fuente de impacto" compact="0" outline="0" multipleItemSelectionAllowed="1" showAll="0">
      <items>
        <item x="0"/>
        <item x="1"/>
        <item x="2"/>
        <item x="3"/>
        <item x="4"/>
        <item x="5"/>
        <item x="6"/>
        <item x="7"/>
        <item x="8"/>
        <item x="9"/>
        <item x="10"/>
        <item x="11"/>
        <item t="default"/>
      </items>
    </pivotField>
    <pivotField name="Impacto nuevo o antiguo" compact="0" outline="0" multipleItemSelectionAllowed="1" showAll="0">
      <items>
        <item x="0"/>
        <item x="1"/>
        <item x="2"/>
        <item x="3"/>
        <item t="default"/>
      </items>
    </pivotField>
    <pivotField name="Lote" compact="0" outline="0" multipleItemSelectionAllowed="1" showAll="0">
      <items>
        <item x="0"/>
        <item x="1"/>
        <item x="2"/>
        <item x="3"/>
        <item x="4"/>
        <item x="5"/>
        <item t="default"/>
      </items>
    </pivotField>
    <pivotField name="Empresa involucrada" compact="0" outline="0" multipleItemSelectionAllowed="1" showAll="0">
      <items>
        <item x="0"/>
        <item x="1"/>
        <item x="2"/>
        <item x="3"/>
        <item x="4"/>
        <item x="5"/>
        <item x="6"/>
        <item x="7"/>
        <item x="8"/>
        <item x="9"/>
        <item x="10"/>
        <item x="11"/>
        <item x="12"/>
        <item x="13"/>
        <item x="14"/>
        <item t="default"/>
      </items>
    </pivotField>
    <pivotField name="Descripción detall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t="default"/>
      </items>
    </pivotField>
    <pivotField name="Descripción detallada de ubic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t="default"/>
      </items>
    </pivotField>
    <pivotField name="Zona UTM" compact="0" outline="0" multipleItemSelectionAllowed="1" showAll="0">
      <items>
        <item x="0"/>
        <item x="1"/>
        <item x="2"/>
        <item t="default"/>
      </items>
    </pivotField>
    <pivotField name="Altitud y err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UTM 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UTM 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t="default"/>
      </items>
    </pivotField>
    <pivotField name="Lat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Longitu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Monito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Otros testig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Hubo remediación o algúna limpieza?" compact="0" outline="0" multipleItemSelectionAllowed="1" showAll="0">
      <items>
        <item x="0"/>
        <item x="1"/>
        <item x="2"/>
        <item x="3"/>
        <item x="4"/>
        <item t="default"/>
      </items>
    </pivotField>
    <pivotField name="Que tipo de remedi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Responsable" compact="0" outline="0" multipleItemSelectionAllowed="1" showAll="0">
      <items>
        <item x="0"/>
        <item x="1"/>
        <item x="2"/>
        <item x="3"/>
        <item x="4"/>
        <item x="5"/>
        <item x="6"/>
        <item t="default"/>
      </items>
    </pivotField>
    <pivotField name="Estado (por validar/validación parcial/validación final)" compact="0" outline="0" multipleItemSelectionAllowed="1" showAll="0">
      <items>
        <item x="0"/>
        <item x="1"/>
        <item x="2"/>
        <item x="3"/>
        <item t="default"/>
      </items>
    </pivotField>
    <pivotField name="Comentarios" axis="axisRow" compact="0" outline="0" multipleItemSelectionAllowed="1" showAll="0" sortType="ascending">
      <items>
        <item x="4"/>
        <item x="118"/>
        <item x="117"/>
        <item x="24"/>
        <item x="59"/>
        <item x="41"/>
        <item x="2"/>
        <item x="3"/>
        <item x="72"/>
        <item x="12"/>
        <item x="73"/>
        <item x="116"/>
        <item x="115"/>
        <item x="114"/>
        <item x="113"/>
        <item x="112"/>
        <item x="111"/>
        <item x="63"/>
        <item x="7"/>
        <item x="110"/>
        <item x="22"/>
        <item x="57"/>
        <item x="66"/>
        <item x="40"/>
        <item x="42"/>
        <item x="0"/>
        <item x="56"/>
        <item x="54"/>
        <item x="109"/>
        <item x="62"/>
        <item x="69"/>
        <item x="65"/>
        <item x="43"/>
        <item x="108"/>
        <item x="107"/>
        <item x="19"/>
        <item x="16"/>
        <item x="8"/>
        <item x="46"/>
        <item x="20"/>
        <item x="28"/>
        <item x="106"/>
        <item x="30"/>
        <item x="105"/>
        <item x="104"/>
        <item x="103"/>
        <item x="102"/>
        <item x="101"/>
        <item x="100"/>
        <item x="99"/>
        <item x="31"/>
        <item x="49"/>
        <item x="68"/>
        <item x="98"/>
        <item x="64"/>
        <item x="97"/>
        <item x="18"/>
        <item x="96"/>
        <item x="95"/>
        <item x="94"/>
        <item x="93"/>
        <item x="92"/>
        <item x="91"/>
        <item x="90"/>
        <item x="89"/>
        <item x="88"/>
        <item x="48"/>
        <item x="87"/>
        <item x="86"/>
        <item x="25"/>
        <item x="50"/>
        <item x="1"/>
        <item x="85"/>
        <item x="47"/>
        <item x="17"/>
        <item x="44"/>
        <item x="71"/>
        <item x="27"/>
        <item x="55"/>
        <item x="58"/>
        <item x="84"/>
        <item x="83"/>
        <item x="82"/>
        <item x="81"/>
        <item x="52"/>
        <item x="51"/>
        <item x="45"/>
        <item x="80"/>
        <item x="13"/>
        <item x="15"/>
        <item x="61"/>
        <item x="60"/>
        <item x="79"/>
        <item x="78"/>
        <item x="38"/>
        <item x="36"/>
        <item x="35"/>
        <item x="37"/>
        <item x="39"/>
        <item x="53"/>
        <item x="9"/>
        <item x="34"/>
        <item x="77"/>
        <item x="11"/>
        <item x="76"/>
        <item x="75"/>
        <item x="70"/>
        <item x="74"/>
        <item x="33"/>
        <item x="32"/>
        <item x="14"/>
        <item x="6"/>
        <item x="26"/>
        <item x="23"/>
        <item x="67"/>
        <item x="29"/>
        <item x="10"/>
        <item x="21"/>
        <item x="5"/>
        <item t="default"/>
      </items>
    </pivotField>
  </pivotFields>
  <rowFields>
    <field x="27"/>
  </rowFields>
  <dataFields>
    <dataField name="COUNTA of Código"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7.25"/>
    <col customWidth="1" min="2" max="2" width="25.25"/>
    <col customWidth="1" min="3" max="3" width="14.38"/>
    <col customWidth="1" min="4" max="4" width="23.75"/>
    <col customWidth="1" min="5" max="5" width="14.38"/>
    <col customWidth="1" min="6" max="6" width="17.38"/>
    <col customWidth="1" min="7" max="8" width="14.38"/>
    <col customWidth="1" min="9" max="9" width="18.25"/>
    <col customWidth="1" min="10" max="13" width="14.38"/>
    <col customWidth="1" min="14" max="14" width="65.38"/>
    <col customWidth="1" min="15" max="15" width="73.88"/>
    <col customWidth="1" min="16" max="21" width="14.38"/>
    <col customWidth="1" min="22" max="22" width="24.63"/>
    <col customWidth="1" min="23" max="23" width="14.38"/>
    <col customWidth="1" min="24" max="24" width="13.63"/>
    <col customWidth="1" min="25" max="25" width="29.38"/>
    <col customWidth="1" min="26" max="26" width="14.38"/>
    <col customWidth="1" min="27" max="27" width="51.0"/>
    <col customWidth="1" min="28" max="28" width="24.25"/>
    <col customWidth="1" min="29" max="77" width="14.38"/>
  </cols>
  <sheetData>
    <row r="1" ht="35.25" customHeight="1">
      <c r="A1" s="1" t="s">
        <v>0</v>
      </c>
      <c r="B1" s="2" t="s">
        <v>1</v>
      </c>
      <c r="C1" s="3" t="s">
        <v>2</v>
      </c>
      <c r="D1" s="3" t="s">
        <v>3</v>
      </c>
      <c r="E1" s="3" t="s">
        <v>4</v>
      </c>
      <c r="F1" s="2" t="s">
        <v>5</v>
      </c>
      <c r="G1" s="2" t="s">
        <v>6</v>
      </c>
      <c r="H1" s="2" t="s">
        <v>7</v>
      </c>
      <c r="I1" s="3" t="s">
        <v>8</v>
      </c>
      <c r="J1" s="3" t="s">
        <v>9</v>
      </c>
      <c r="K1" s="3" t="s">
        <v>10</v>
      </c>
      <c r="L1" s="2" t="s">
        <v>11</v>
      </c>
      <c r="M1" s="3" t="s">
        <v>12</v>
      </c>
      <c r="N1" s="3" t="s">
        <v>13</v>
      </c>
      <c r="O1" s="3" t="s">
        <v>14</v>
      </c>
      <c r="P1" s="3" t="s">
        <v>15</v>
      </c>
      <c r="Q1" s="3" t="s">
        <v>16</v>
      </c>
      <c r="R1" s="3" t="s">
        <v>17</v>
      </c>
      <c r="S1" s="3" t="s">
        <v>18</v>
      </c>
      <c r="T1" s="3" t="s">
        <v>19</v>
      </c>
      <c r="U1" s="3" t="s">
        <v>20</v>
      </c>
      <c r="V1" s="3" t="s">
        <v>21</v>
      </c>
      <c r="W1" s="3" t="s">
        <v>22</v>
      </c>
      <c r="X1" s="3" t="s">
        <v>23</v>
      </c>
      <c r="Y1" s="3" t="s">
        <v>24</v>
      </c>
      <c r="Z1" s="4" t="s">
        <v>25</v>
      </c>
      <c r="AA1" s="5" t="s">
        <v>26</v>
      </c>
      <c r="AB1" s="4" t="s">
        <v>27</v>
      </c>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row>
    <row r="2" ht="15.75" customHeight="1">
      <c r="A2" s="8">
        <v>155.0</v>
      </c>
      <c r="B2" s="17" t="s">
        <v>31</v>
      </c>
      <c r="C2" s="8" t="s">
        <v>51</v>
      </c>
      <c r="D2" s="8" t="s">
        <v>89</v>
      </c>
      <c r="E2" s="8" t="s">
        <v>90</v>
      </c>
      <c r="F2" s="18">
        <v>43317.0</v>
      </c>
      <c r="G2" s="19">
        <v>36708.0</v>
      </c>
      <c r="H2" s="20" t="str">
        <f>TEXT(G2, "yyyy")</f>
        <v>2000</v>
      </c>
      <c r="I2" s="8" t="s">
        <v>97</v>
      </c>
      <c r="J2" s="8" t="s">
        <v>98</v>
      </c>
      <c r="K2" s="8" t="s">
        <v>99</v>
      </c>
      <c r="L2" s="17" t="s">
        <v>100</v>
      </c>
      <c r="M2" s="8" t="s">
        <v>101</v>
      </c>
      <c r="N2" s="21" t="s">
        <v>103</v>
      </c>
      <c r="O2" s="21" t="s">
        <v>105</v>
      </c>
      <c r="P2" s="8" t="s">
        <v>106</v>
      </c>
      <c r="Q2" s="8"/>
      <c r="R2" s="8">
        <v>2.39364</v>
      </c>
      <c r="S2" s="8">
        <v>76.30114</v>
      </c>
      <c r="T2" s="8"/>
      <c r="U2" s="8"/>
      <c r="V2" s="22" t="s">
        <v>109</v>
      </c>
      <c r="W2" s="8" t="s">
        <v>109</v>
      </c>
      <c r="X2" s="8" t="s">
        <v>112</v>
      </c>
      <c r="Y2" s="8" t="s">
        <v>112</v>
      </c>
      <c r="Z2" s="23" t="s">
        <v>42</v>
      </c>
      <c r="AA2" s="23" t="s">
        <v>115</v>
      </c>
      <c r="AB2" s="8" t="s">
        <v>116</v>
      </c>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row>
    <row r="3" ht="15.75" customHeight="1">
      <c r="A3" s="8">
        <v>46.0</v>
      </c>
      <c r="B3" s="17" t="s">
        <v>145</v>
      </c>
      <c r="C3" s="8" t="s">
        <v>57</v>
      </c>
      <c r="D3" s="8" t="s">
        <v>146</v>
      </c>
      <c r="E3" s="8" t="s">
        <v>147</v>
      </c>
      <c r="F3" s="27">
        <v>43556.0</v>
      </c>
      <c r="G3" s="17" t="s">
        <v>112</v>
      </c>
      <c r="H3" s="28" t="s">
        <v>112</v>
      </c>
      <c r="I3" s="8" t="s">
        <v>97</v>
      </c>
      <c r="J3" s="8" t="s">
        <v>112</v>
      </c>
      <c r="K3" s="8" t="s">
        <v>99</v>
      </c>
      <c r="L3" s="17" t="s">
        <v>100</v>
      </c>
      <c r="M3" s="29" t="s">
        <v>150</v>
      </c>
      <c r="N3" s="8" t="s">
        <v>151</v>
      </c>
      <c r="O3" s="8" t="s">
        <v>152</v>
      </c>
      <c r="P3" s="8" t="s">
        <v>106</v>
      </c>
      <c r="Q3" s="8">
        <v>166.0</v>
      </c>
      <c r="R3" s="8">
        <v>4056.0</v>
      </c>
      <c r="S3" s="8">
        <v>9748379.0</v>
      </c>
      <c r="T3" s="8"/>
      <c r="U3" s="8"/>
      <c r="V3" s="8" t="s">
        <v>153</v>
      </c>
      <c r="W3" s="8" t="s">
        <v>154</v>
      </c>
      <c r="X3" s="8" t="s">
        <v>112</v>
      </c>
      <c r="Y3" s="8" t="s">
        <v>112</v>
      </c>
      <c r="Z3" s="23" t="s">
        <v>42</v>
      </c>
      <c r="AA3" s="23" t="s">
        <v>115</v>
      </c>
      <c r="AB3" s="30" t="s">
        <v>155</v>
      </c>
      <c r="AE3" s="24"/>
      <c r="AM3" s="24"/>
    </row>
    <row r="4" ht="15.75" customHeight="1">
      <c r="A4" s="8">
        <v>153.0</v>
      </c>
      <c r="B4" s="17" t="s">
        <v>156</v>
      </c>
      <c r="C4" s="8" t="s">
        <v>51</v>
      </c>
      <c r="D4" s="8" t="s">
        <v>89</v>
      </c>
      <c r="E4" s="8" t="s">
        <v>90</v>
      </c>
      <c r="F4" s="18">
        <v>42833.0</v>
      </c>
      <c r="G4" s="19">
        <v>36708.0</v>
      </c>
      <c r="H4" s="20" t="str">
        <f t="shared" ref="H4:H14" si="1">TEXT(G4, "yyyy")</f>
        <v>2000</v>
      </c>
      <c r="I4" s="23" t="s">
        <v>157</v>
      </c>
      <c r="J4" s="31" t="s">
        <v>158</v>
      </c>
      <c r="K4" s="32" t="s">
        <v>99</v>
      </c>
      <c r="L4" s="17" t="s">
        <v>100</v>
      </c>
      <c r="M4" s="8" t="s">
        <v>101</v>
      </c>
      <c r="N4" s="21" t="s">
        <v>159</v>
      </c>
      <c r="O4" s="21" t="s">
        <v>160</v>
      </c>
      <c r="P4" s="8" t="s">
        <v>106</v>
      </c>
      <c r="Q4" s="8"/>
      <c r="R4" s="8">
        <v>324796.0</v>
      </c>
      <c r="S4" s="8">
        <v>9687104.0</v>
      </c>
      <c r="T4" s="8"/>
      <c r="U4" s="8"/>
      <c r="V4" s="22" t="s">
        <v>109</v>
      </c>
      <c r="W4" s="8" t="s">
        <v>109</v>
      </c>
      <c r="X4" s="8"/>
      <c r="Y4" s="8"/>
      <c r="Z4" s="23" t="s">
        <v>42</v>
      </c>
      <c r="AA4" s="23" t="s">
        <v>115</v>
      </c>
      <c r="AB4" s="33" t="s">
        <v>161</v>
      </c>
      <c r="AE4" s="24"/>
      <c r="AM4" s="24"/>
    </row>
    <row r="5" ht="15.75" customHeight="1">
      <c r="A5" s="8">
        <v>154.0</v>
      </c>
      <c r="B5" s="17" t="s">
        <v>162</v>
      </c>
      <c r="C5" s="8" t="s">
        <v>51</v>
      </c>
      <c r="D5" s="8" t="s">
        <v>89</v>
      </c>
      <c r="E5" s="8" t="s">
        <v>90</v>
      </c>
      <c r="F5" s="18">
        <v>42990.0</v>
      </c>
      <c r="G5" s="19">
        <v>36708.0</v>
      </c>
      <c r="H5" s="20" t="str">
        <f t="shared" si="1"/>
        <v>2000</v>
      </c>
      <c r="I5" s="8" t="s">
        <v>97</v>
      </c>
      <c r="J5" s="32" t="s">
        <v>163</v>
      </c>
      <c r="K5" s="32" t="s">
        <v>164</v>
      </c>
      <c r="L5" s="17" t="s">
        <v>100</v>
      </c>
      <c r="M5" s="8" t="s">
        <v>101</v>
      </c>
      <c r="N5" s="21" t="s">
        <v>165</v>
      </c>
      <c r="O5" s="21" t="s">
        <v>105</v>
      </c>
      <c r="P5" s="8" t="s">
        <v>106</v>
      </c>
      <c r="Q5" s="8"/>
      <c r="R5" s="8">
        <v>331903.0</v>
      </c>
      <c r="S5" s="8">
        <v>9706644.0</v>
      </c>
      <c r="T5" s="8"/>
      <c r="U5" s="8"/>
      <c r="V5" s="22" t="s">
        <v>109</v>
      </c>
      <c r="W5" s="8" t="s">
        <v>109</v>
      </c>
      <c r="X5" s="8"/>
      <c r="Y5" s="8"/>
      <c r="Z5" s="23" t="s">
        <v>42</v>
      </c>
      <c r="AA5" s="23" t="s">
        <v>115</v>
      </c>
      <c r="AB5" s="33" t="s">
        <v>166</v>
      </c>
      <c r="AE5" s="24"/>
      <c r="AM5" s="24"/>
    </row>
    <row r="6" ht="15.75" customHeight="1">
      <c r="A6" s="8">
        <v>566.0</v>
      </c>
      <c r="B6" s="34" t="s">
        <v>167</v>
      </c>
      <c r="C6" s="34" t="s">
        <v>51</v>
      </c>
      <c r="D6" s="34" t="s">
        <v>168</v>
      </c>
      <c r="E6" s="34" t="s">
        <v>112</v>
      </c>
      <c r="F6" s="35">
        <v>41757.0</v>
      </c>
      <c r="G6" s="36">
        <v>41730.0</v>
      </c>
      <c r="H6" s="20" t="str">
        <f t="shared" si="1"/>
        <v>2014</v>
      </c>
      <c r="I6" s="8" t="s">
        <v>63</v>
      </c>
      <c r="J6" s="34" t="s">
        <v>112</v>
      </c>
      <c r="K6" s="34" t="s">
        <v>112</v>
      </c>
      <c r="L6" s="34" t="s">
        <v>100</v>
      </c>
      <c r="M6" s="37" t="s">
        <v>112</v>
      </c>
      <c r="N6" s="34" t="s">
        <v>169</v>
      </c>
      <c r="O6" s="8" t="s">
        <v>170</v>
      </c>
      <c r="P6" s="34" t="s">
        <v>106</v>
      </c>
      <c r="Q6" s="34" t="s">
        <v>112</v>
      </c>
      <c r="R6" s="34">
        <v>332030.0</v>
      </c>
      <c r="S6" s="34">
        <v>9704786.0</v>
      </c>
      <c r="T6" s="38">
        <v>-2.6699406</v>
      </c>
      <c r="U6" s="38">
        <v>-76.510957</v>
      </c>
      <c r="V6" s="34" t="s">
        <v>109</v>
      </c>
      <c r="W6" s="34" t="s">
        <v>112</v>
      </c>
      <c r="X6" s="34" t="s">
        <v>112</v>
      </c>
      <c r="Y6" s="34" t="s">
        <v>112</v>
      </c>
      <c r="Z6" s="8" t="s">
        <v>149</v>
      </c>
      <c r="AA6" s="23" t="s">
        <v>115</v>
      </c>
      <c r="AB6" s="8"/>
      <c r="AE6" s="24"/>
      <c r="AM6" s="24"/>
    </row>
    <row r="7" ht="15.75" customHeight="1">
      <c r="A7" s="8">
        <v>561.0</v>
      </c>
      <c r="B7" s="34" t="s">
        <v>171</v>
      </c>
      <c r="C7" s="34" t="s">
        <v>51</v>
      </c>
      <c r="D7" s="34" t="s">
        <v>168</v>
      </c>
      <c r="E7" s="34" t="s">
        <v>112</v>
      </c>
      <c r="F7" s="35">
        <v>41729.0</v>
      </c>
      <c r="G7" s="36">
        <v>41699.0</v>
      </c>
      <c r="H7" s="20" t="str">
        <f t="shared" si="1"/>
        <v>2014</v>
      </c>
      <c r="I7" s="8" t="s">
        <v>172</v>
      </c>
      <c r="J7" s="34" t="s">
        <v>112</v>
      </c>
      <c r="K7" s="34" t="s">
        <v>112</v>
      </c>
      <c r="L7" s="34" t="s">
        <v>100</v>
      </c>
      <c r="M7" s="37" t="s">
        <v>112</v>
      </c>
      <c r="N7" s="34" t="s">
        <v>173</v>
      </c>
      <c r="O7" s="8" t="s">
        <v>174</v>
      </c>
      <c r="P7" s="34" t="s">
        <v>106</v>
      </c>
      <c r="Q7" s="34" t="s">
        <v>112</v>
      </c>
      <c r="R7" s="34">
        <v>332146.0</v>
      </c>
      <c r="S7" s="34">
        <v>9705682.0</v>
      </c>
      <c r="T7" s="38">
        <v>-2.6618385</v>
      </c>
      <c r="U7" s="38">
        <v>-76.509904</v>
      </c>
      <c r="V7" s="34" t="s">
        <v>109</v>
      </c>
      <c r="W7" s="34" t="s">
        <v>112</v>
      </c>
      <c r="X7" s="34" t="s">
        <v>112</v>
      </c>
      <c r="Y7" s="34" t="s">
        <v>112</v>
      </c>
      <c r="Z7" s="8" t="s">
        <v>149</v>
      </c>
      <c r="AA7" s="23" t="s">
        <v>115</v>
      </c>
      <c r="AB7" s="8"/>
      <c r="AE7" s="24"/>
      <c r="AM7" s="24"/>
    </row>
    <row r="8" ht="15.75" customHeight="1">
      <c r="A8" s="8">
        <v>463.0</v>
      </c>
      <c r="B8" s="39" t="s">
        <v>175</v>
      </c>
      <c r="C8" s="39" t="s">
        <v>51</v>
      </c>
      <c r="D8" s="39" t="s">
        <v>112</v>
      </c>
      <c r="E8" s="39" t="s">
        <v>112</v>
      </c>
      <c r="F8" s="40">
        <v>40716.0</v>
      </c>
      <c r="G8" s="41">
        <v>40695.0</v>
      </c>
      <c r="H8" s="42" t="str">
        <f t="shared" si="1"/>
        <v>2011</v>
      </c>
      <c r="I8" s="8" t="s">
        <v>176</v>
      </c>
      <c r="J8" s="39" t="s">
        <v>112</v>
      </c>
      <c r="K8" s="29" t="s">
        <v>99</v>
      </c>
      <c r="L8" s="39" t="s">
        <v>100</v>
      </c>
      <c r="M8" s="43" t="s">
        <v>177</v>
      </c>
      <c r="N8" s="44" t="s">
        <v>178</v>
      </c>
      <c r="O8" s="45" t="s">
        <v>179</v>
      </c>
      <c r="P8" s="39" t="s">
        <v>106</v>
      </c>
      <c r="Q8" s="39" t="s">
        <v>112</v>
      </c>
      <c r="R8" s="39">
        <v>332539.0</v>
      </c>
      <c r="S8" s="39">
        <v>9705841.0</v>
      </c>
      <c r="T8" s="46">
        <v>-2.6604049</v>
      </c>
      <c r="U8" s="46">
        <v>-76.506368</v>
      </c>
      <c r="V8" s="39" t="s">
        <v>180</v>
      </c>
      <c r="W8" s="39" t="s">
        <v>112</v>
      </c>
      <c r="X8" s="39" t="s">
        <v>112</v>
      </c>
      <c r="Y8" s="39" t="s">
        <v>112</v>
      </c>
      <c r="Z8" s="47" t="s">
        <v>37</v>
      </c>
      <c r="AA8" s="23" t="s">
        <v>115</v>
      </c>
      <c r="AB8" s="8" t="s">
        <v>181</v>
      </c>
      <c r="AE8" s="24"/>
      <c r="AM8" s="24"/>
    </row>
    <row r="9" ht="15.75" customHeight="1">
      <c r="A9" s="8">
        <v>920.0</v>
      </c>
      <c r="B9" s="34" t="s">
        <v>183</v>
      </c>
      <c r="C9" s="34" t="s">
        <v>51</v>
      </c>
      <c r="D9" s="34" t="s">
        <v>112</v>
      </c>
      <c r="E9" s="34" t="s">
        <v>112</v>
      </c>
      <c r="F9" s="48">
        <v>43182.0</v>
      </c>
      <c r="G9" s="36">
        <v>43160.0</v>
      </c>
      <c r="H9" s="20" t="str">
        <f t="shared" si="1"/>
        <v>2018</v>
      </c>
      <c r="I9" s="8" t="s">
        <v>186</v>
      </c>
      <c r="J9" s="34" t="s">
        <v>112</v>
      </c>
      <c r="K9" s="34" t="s">
        <v>112</v>
      </c>
      <c r="L9" s="34" t="s">
        <v>100</v>
      </c>
      <c r="M9" s="37" t="s">
        <v>187</v>
      </c>
      <c r="N9" s="34" t="s">
        <v>188</v>
      </c>
      <c r="O9" s="8" t="s">
        <v>189</v>
      </c>
      <c r="P9" s="34" t="s">
        <v>106</v>
      </c>
      <c r="Q9" s="34" t="s">
        <v>112</v>
      </c>
      <c r="R9" s="34">
        <v>332647.0</v>
      </c>
      <c r="S9" s="34">
        <v>9706120.0</v>
      </c>
      <c r="T9" s="34" t="s">
        <v>112</v>
      </c>
      <c r="U9" s="34" t="s">
        <v>112</v>
      </c>
      <c r="V9" s="34" t="s">
        <v>190</v>
      </c>
      <c r="W9" s="34" t="s">
        <v>112</v>
      </c>
      <c r="X9" s="34" t="s">
        <v>112</v>
      </c>
      <c r="Y9" s="34" t="s">
        <v>112</v>
      </c>
      <c r="Z9" s="8" t="s">
        <v>148</v>
      </c>
      <c r="AA9" s="23" t="s">
        <v>144</v>
      </c>
      <c r="AB9" s="8"/>
      <c r="AE9" s="24"/>
      <c r="AM9" s="24"/>
    </row>
    <row r="10" ht="15.75" customHeight="1">
      <c r="A10" s="8">
        <v>164.0</v>
      </c>
      <c r="B10" s="49" t="s">
        <v>191</v>
      </c>
      <c r="C10" s="8" t="s">
        <v>51</v>
      </c>
      <c r="D10" s="8" t="s">
        <v>89</v>
      </c>
      <c r="E10" s="8" t="s">
        <v>90</v>
      </c>
      <c r="F10" s="17" t="s">
        <v>192</v>
      </c>
      <c r="G10" s="19">
        <v>36708.0</v>
      </c>
      <c r="H10" s="50" t="str">
        <f t="shared" si="1"/>
        <v>2000</v>
      </c>
      <c r="I10" s="8" t="s">
        <v>97</v>
      </c>
      <c r="J10" s="8" t="s">
        <v>63</v>
      </c>
      <c r="K10" s="8" t="s">
        <v>164</v>
      </c>
      <c r="L10" s="17" t="s">
        <v>100</v>
      </c>
      <c r="M10" s="8" t="s">
        <v>101</v>
      </c>
      <c r="N10" s="45" t="s">
        <v>193</v>
      </c>
      <c r="O10" s="45" t="s">
        <v>105</v>
      </c>
      <c r="P10" s="8" t="s">
        <v>106</v>
      </c>
      <c r="Q10" s="8"/>
      <c r="R10" s="8">
        <v>332886.0</v>
      </c>
      <c r="S10" s="8">
        <v>9730175.0</v>
      </c>
      <c r="T10" s="8"/>
      <c r="U10" s="8"/>
      <c r="V10" s="8" t="s">
        <v>194</v>
      </c>
      <c r="W10" s="8" t="s">
        <v>109</v>
      </c>
      <c r="X10" s="8"/>
      <c r="Y10" s="8"/>
      <c r="Z10" s="8" t="s">
        <v>36</v>
      </c>
      <c r="AA10" s="23" t="s">
        <v>144</v>
      </c>
      <c r="AB10" s="21"/>
      <c r="AE10" s="24"/>
      <c r="AM10" s="24"/>
    </row>
    <row r="11" ht="15.75" customHeight="1">
      <c r="A11" s="8">
        <v>570.0</v>
      </c>
      <c r="B11" s="34" t="s">
        <v>195</v>
      </c>
      <c r="C11" s="34" t="s">
        <v>51</v>
      </c>
      <c r="D11" s="34" t="s">
        <v>168</v>
      </c>
      <c r="E11" s="34" t="s">
        <v>112</v>
      </c>
      <c r="F11" s="35">
        <v>41772.0</v>
      </c>
      <c r="G11" s="36">
        <v>41760.0</v>
      </c>
      <c r="H11" s="20" t="str">
        <f t="shared" si="1"/>
        <v>2014</v>
      </c>
      <c r="I11" s="8" t="s">
        <v>63</v>
      </c>
      <c r="J11" s="34" t="s">
        <v>112</v>
      </c>
      <c r="K11" s="34" t="s">
        <v>112</v>
      </c>
      <c r="L11" s="34" t="s">
        <v>100</v>
      </c>
      <c r="M11" s="37" t="s">
        <v>112</v>
      </c>
      <c r="N11" s="34" t="s">
        <v>196</v>
      </c>
      <c r="O11" s="8" t="s">
        <v>197</v>
      </c>
      <c r="P11" s="34" t="s">
        <v>106</v>
      </c>
      <c r="Q11" s="34" t="s">
        <v>112</v>
      </c>
      <c r="R11" s="34">
        <v>333050.0</v>
      </c>
      <c r="S11" s="34">
        <v>9704077.0</v>
      </c>
      <c r="T11" s="38">
        <v>-2.6763641</v>
      </c>
      <c r="U11" s="38">
        <v>-76.501792</v>
      </c>
      <c r="V11" s="34" t="s">
        <v>109</v>
      </c>
      <c r="W11" s="34" t="s">
        <v>112</v>
      </c>
      <c r="X11" s="34" t="s">
        <v>112</v>
      </c>
      <c r="Y11" s="34" t="s">
        <v>112</v>
      </c>
      <c r="Z11" s="8" t="s">
        <v>149</v>
      </c>
      <c r="AA11" s="23" t="s">
        <v>115</v>
      </c>
      <c r="AB11" s="8"/>
      <c r="AE11" s="24"/>
      <c r="AM11" s="24"/>
    </row>
    <row r="12" ht="15.75" customHeight="1">
      <c r="A12" s="8">
        <v>919.0</v>
      </c>
      <c r="B12" s="34" t="s">
        <v>198</v>
      </c>
      <c r="C12" s="34" t="s">
        <v>51</v>
      </c>
      <c r="D12" s="34" t="s">
        <v>112</v>
      </c>
      <c r="E12" s="34" t="s">
        <v>112</v>
      </c>
      <c r="F12" s="48">
        <v>43182.0</v>
      </c>
      <c r="G12" s="36">
        <v>43160.0</v>
      </c>
      <c r="H12" s="20" t="str">
        <f t="shared" si="1"/>
        <v>2018</v>
      </c>
      <c r="I12" s="8" t="s">
        <v>186</v>
      </c>
      <c r="J12" s="34" t="s">
        <v>112</v>
      </c>
      <c r="K12" s="34" t="s">
        <v>112</v>
      </c>
      <c r="L12" s="34" t="s">
        <v>100</v>
      </c>
      <c r="M12" s="37" t="s">
        <v>112</v>
      </c>
      <c r="N12" s="34" t="s">
        <v>199</v>
      </c>
      <c r="O12" s="8" t="s">
        <v>189</v>
      </c>
      <c r="P12" s="34" t="s">
        <v>106</v>
      </c>
      <c r="Q12" s="34" t="s">
        <v>112</v>
      </c>
      <c r="R12" s="34">
        <v>333139.0</v>
      </c>
      <c r="S12" s="34">
        <v>9704083.0</v>
      </c>
      <c r="T12" s="34" t="s">
        <v>112</v>
      </c>
      <c r="U12" s="34" t="s">
        <v>112</v>
      </c>
      <c r="V12" s="34" t="s">
        <v>190</v>
      </c>
      <c r="W12" s="34" t="s">
        <v>112</v>
      </c>
      <c r="X12" s="34" t="s">
        <v>112</v>
      </c>
      <c r="Y12" s="34" t="s">
        <v>112</v>
      </c>
      <c r="Z12" s="8" t="s">
        <v>148</v>
      </c>
      <c r="AA12" s="23" t="s">
        <v>144</v>
      </c>
      <c r="AB12" s="8"/>
      <c r="AE12" s="24"/>
      <c r="AM12" s="24"/>
    </row>
    <row r="13" ht="15.75" customHeight="1">
      <c r="A13" s="8">
        <v>565.0</v>
      </c>
      <c r="B13" s="34" t="s">
        <v>200</v>
      </c>
      <c r="C13" s="34" t="s">
        <v>51</v>
      </c>
      <c r="D13" s="34" t="s">
        <v>168</v>
      </c>
      <c r="E13" s="34" t="s">
        <v>112</v>
      </c>
      <c r="F13" s="35">
        <v>41754.0</v>
      </c>
      <c r="G13" s="36">
        <v>41730.0</v>
      </c>
      <c r="H13" s="20" t="str">
        <f t="shared" si="1"/>
        <v>2014</v>
      </c>
      <c r="I13" s="8" t="s">
        <v>176</v>
      </c>
      <c r="J13" s="34" t="s">
        <v>112</v>
      </c>
      <c r="K13" s="34" t="s">
        <v>112</v>
      </c>
      <c r="L13" s="34" t="s">
        <v>100</v>
      </c>
      <c r="M13" s="37" t="s">
        <v>177</v>
      </c>
      <c r="N13" s="34" t="s">
        <v>201</v>
      </c>
      <c r="O13" s="8" t="s">
        <v>202</v>
      </c>
      <c r="P13" s="34" t="s">
        <v>106</v>
      </c>
      <c r="Q13" s="34" t="s">
        <v>112</v>
      </c>
      <c r="R13" s="34">
        <v>333144.0</v>
      </c>
      <c r="S13" s="34">
        <v>9704084.0</v>
      </c>
      <c r="T13" s="38">
        <v>-2.6763019</v>
      </c>
      <c r="U13" s="38">
        <v>-76.500947</v>
      </c>
      <c r="V13" s="34" t="s">
        <v>109</v>
      </c>
      <c r="W13" s="34" t="s">
        <v>112</v>
      </c>
      <c r="X13" s="34" t="s">
        <v>112</v>
      </c>
      <c r="Y13" s="34" t="s">
        <v>112</v>
      </c>
      <c r="Z13" s="8" t="s">
        <v>149</v>
      </c>
      <c r="AA13" s="23" t="s">
        <v>115</v>
      </c>
      <c r="AB13" s="8"/>
      <c r="AE13" s="24"/>
      <c r="AM13" s="24"/>
    </row>
    <row r="14" ht="15.75" customHeight="1">
      <c r="A14" s="8">
        <v>449.0</v>
      </c>
      <c r="B14" s="39" t="s">
        <v>203</v>
      </c>
      <c r="C14" s="39" t="s">
        <v>51</v>
      </c>
      <c r="D14" s="39" t="s">
        <v>112</v>
      </c>
      <c r="E14" s="39" t="s">
        <v>112</v>
      </c>
      <c r="F14" s="40">
        <v>40339.0</v>
      </c>
      <c r="G14" s="41">
        <v>40330.0</v>
      </c>
      <c r="H14" s="42" t="str">
        <f t="shared" si="1"/>
        <v>2010</v>
      </c>
      <c r="I14" s="8" t="s">
        <v>176</v>
      </c>
      <c r="J14" s="39" t="s">
        <v>112</v>
      </c>
      <c r="K14" s="29" t="s">
        <v>99</v>
      </c>
      <c r="L14" s="39" t="s">
        <v>100</v>
      </c>
      <c r="M14" s="51" t="s">
        <v>177</v>
      </c>
      <c r="N14" s="44" t="s">
        <v>204</v>
      </c>
      <c r="O14" s="45" t="s">
        <v>179</v>
      </c>
      <c r="P14" s="39" t="s">
        <v>106</v>
      </c>
      <c r="Q14" s="39" t="s">
        <v>112</v>
      </c>
      <c r="R14" s="39">
        <v>333332.0</v>
      </c>
      <c r="S14" s="39">
        <v>9703284.0</v>
      </c>
      <c r="T14" s="39">
        <v>-76.499265057578</v>
      </c>
      <c r="U14" s="51">
        <v>-2.6835391888</v>
      </c>
      <c r="V14" s="39" t="s">
        <v>205</v>
      </c>
      <c r="W14" s="39" t="s">
        <v>112</v>
      </c>
      <c r="X14" s="39" t="s">
        <v>112</v>
      </c>
      <c r="Y14" s="39" t="s">
        <v>112</v>
      </c>
      <c r="Z14" s="47" t="s">
        <v>37</v>
      </c>
      <c r="AA14" s="23" t="s">
        <v>115</v>
      </c>
      <c r="AB14" s="8" t="s">
        <v>206</v>
      </c>
      <c r="AE14" s="24"/>
      <c r="AM14" s="24"/>
    </row>
    <row r="15" ht="15.75" customHeight="1">
      <c r="A15" s="52">
        <v>939.0</v>
      </c>
      <c r="B15" s="53" t="s">
        <v>207</v>
      </c>
      <c r="C15" s="53" t="s">
        <v>51</v>
      </c>
      <c r="D15" s="53" t="s">
        <v>208</v>
      </c>
      <c r="E15" s="53" t="s">
        <v>209</v>
      </c>
      <c r="F15" s="54">
        <v>44140.0</v>
      </c>
      <c r="G15" s="54">
        <v>43962.0</v>
      </c>
      <c r="H15" s="55">
        <v>2020.0</v>
      </c>
      <c r="I15" s="53" t="s">
        <v>97</v>
      </c>
      <c r="J15" s="53" t="s">
        <v>98</v>
      </c>
      <c r="K15" s="53" t="s">
        <v>164</v>
      </c>
      <c r="L15" s="53" t="s">
        <v>100</v>
      </c>
      <c r="M15" s="53" t="s">
        <v>150</v>
      </c>
      <c r="N15" s="56" t="s">
        <v>210</v>
      </c>
      <c r="O15" s="56" t="s">
        <v>211</v>
      </c>
      <c r="P15" s="53" t="s">
        <v>106</v>
      </c>
      <c r="Q15" s="53" t="s">
        <v>112</v>
      </c>
      <c r="R15" s="53">
        <v>333445.0</v>
      </c>
      <c r="S15" s="53">
        <v>9702979.0</v>
      </c>
      <c r="T15" s="57"/>
      <c r="U15" s="58"/>
      <c r="V15" s="56" t="s">
        <v>109</v>
      </c>
      <c r="W15" s="58"/>
      <c r="X15" s="58"/>
      <c r="Y15" s="58"/>
      <c r="Z15" s="58"/>
      <c r="AA15" s="58"/>
      <c r="AB15" s="58"/>
      <c r="AE15" s="24"/>
      <c r="AM15" s="24"/>
    </row>
    <row r="16" ht="15.75" customHeight="1">
      <c r="A16" s="8">
        <v>723.0</v>
      </c>
      <c r="B16" s="39" t="s">
        <v>212</v>
      </c>
      <c r="C16" s="59" t="s">
        <v>51</v>
      </c>
      <c r="D16" s="39" t="s">
        <v>213</v>
      </c>
      <c r="E16" s="39" t="s">
        <v>112</v>
      </c>
      <c r="F16" s="60" t="s">
        <v>214</v>
      </c>
      <c r="G16" s="41">
        <v>42491.0</v>
      </c>
      <c r="H16" s="42" t="str">
        <f t="shared" ref="H16:H30" si="2">TEXT(G16, "yyyy")</f>
        <v>2016</v>
      </c>
      <c r="I16" s="8" t="s">
        <v>63</v>
      </c>
      <c r="J16" s="39" t="s">
        <v>112</v>
      </c>
      <c r="K16" s="39" t="s">
        <v>112</v>
      </c>
      <c r="L16" s="39" t="s">
        <v>100</v>
      </c>
      <c r="M16" s="43" t="s">
        <v>187</v>
      </c>
      <c r="N16" s="59" t="s">
        <v>219</v>
      </c>
      <c r="O16" s="29" t="s">
        <v>220</v>
      </c>
      <c r="P16" s="39" t="s">
        <v>106</v>
      </c>
      <c r="Q16" s="39" t="s">
        <v>112</v>
      </c>
      <c r="R16" s="39">
        <v>333611.5</v>
      </c>
      <c r="S16" s="39">
        <v>9702339.5</v>
      </c>
      <c r="T16" s="39">
        <v>-76.49676197</v>
      </c>
      <c r="U16" s="39">
        <v>-2.69208464</v>
      </c>
      <c r="V16" s="59" t="s">
        <v>221</v>
      </c>
      <c r="W16" s="39" t="s">
        <v>112</v>
      </c>
      <c r="X16" s="39" t="s">
        <v>112</v>
      </c>
      <c r="Y16" s="39" t="s">
        <v>112</v>
      </c>
      <c r="Z16" s="8" t="s">
        <v>69</v>
      </c>
      <c r="AA16" s="23" t="s">
        <v>115</v>
      </c>
      <c r="AB16" s="8" t="s">
        <v>222</v>
      </c>
      <c r="AE16" s="24"/>
      <c r="AM16" s="24"/>
    </row>
    <row r="17" ht="15.75" customHeight="1">
      <c r="A17" s="8">
        <v>934.0</v>
      </c>
      <c r="B17" s="17" t="s">
        <v>224</v>
      </c>
      <c r="C17" s="8" t="s">
        <v>51</v>
      </c>
      <c r="D17" s="8" t="s">
        <v>225</v>
      </c>
      <c r="E17" s="8" t="s">
        <v>209</v>
      </c>
      <c r="F17" s="27">
        <v>43719.0</v>
      </c>
      <c r="G17" s="27">
        <v>43719.0</v>
      </c>
      <c r="H17" s="42" t="str">
        <f t="shared" si="2"/>
        <v>2019</v>
      </c>
      <c r="I17" s="8" t="s">
        <v>97</v>
      </c>
      <c r="J17" s="8" t="s">
        <v>230</v>
      </c>
      <c r="K17" s="8" t="s">
        <v>232</v>
      </c>
      <c r="L17" s="17" t="s">
        <v>100</v>
      </c>
      <c r="M17" s="8" t="s">
        <v>150</v>
      </c>
      <c r="N17" s="8" t="s">
        <v>235</v>
      </c>
      <c r="O17" s="8" t="s">
        <v>237</v>
      </c>
      <c r="P17" s="8" t="s">
        <v>106</v>
      </c>
      <c r="Q17" s="8"/>
      <c r="R17" s="8">
        <v>333623.0</v>
      </c>
      <c r="S17" s="8">
        <v>9702324.0</v>
      </c>
      <c r="T17" s="8"/>
      <c r="U17" s="8"/>
      <c r="V17" s="8" t="s">
        <v>109</v>
      </c>
      <c r="W17" s="8" t="s">
        <v>243</v>
      </c>
      <c r="X17" s="8">
        <v>1.0</v>
      </c>
      <c r="Y17" s="8" t="s">
        <v>245</v>
      </c>
      <c r="Z17" s="8" t="s">
        <v>148</v>
      </c>
      <c r="AA17" s="23" t="s">
        <v>144</v>
      </c>
      <c r="AB17" s="8"/>
      <c r="AE17" s="24"/>
      <c r="AM17" s="24"/>
    </row>
    <row r="18" ht="15.75" customHeight="1">
      <c r="A18" s="8">
        <v>572.0</v>
      </c>
      <c r="B18" s="34" t="s">
        <v>250</v>
      </c>
      <c r="C18" s="34" t="s">
        <v>51</v>
      </c>
      <c r="D18" s="34" t="s">
        <v>168</v>
      </c>
      <c r="E18" s="34" t="s">
        <v>112</v>
      </c>
      <c r="F18" s="35">
        <v>41775.0</v>
      </c>
      <c r="G18" s="36">
        <v>41760.0</v>
      </c>
      <c r="H18" s="20" t="str">
        <f t="shared" si="2"/>
        <v>2014</v>
      </c>
      <c r="I18" s="8" t="s">
        <v>63</v>
      </c>
      <c r="J18" s="34" t="s">
        <v>112</v>
      </c>
      <c r="K18" s="34" t="s">
        <v>112</v>
      </c>
      <c r="L18" s="34" t="s">
        <v>100</v>
      </c>
      <c r="M18" s="37" t="s">
        <v>112</v>
      </c>
      <c r="N18" s="34" t="s">
        <v>352</v>
      </c>
      <c r="O18" s="8" t="s">
        <v>353</v>
      </c>
      <c r="P18" s="34" t="s">
        <v>106</v>
      </c>
      <c r="Q18" s="34" t="s">
        <v>112</v>
      </c>
      <c r="R18" s="34">
        <v>333755.0</v>
      </c>
      <c r="S18" s="34">
        <v>9703530.0</v>
      </c>
      <c r="T18" s="38">
        <v>-2.681319</v>
      </c>
      <c r="U18" s="38">
        <v>-76.495458</v>
      </c>
      <c r="V18" s="34" t="s">
        <v>109</v>
      </c>
      <c r="W18" s="34" t="s">
        <v>112</v>
      </c>
      <c r="X18" s="34" t="s">
        <v>112</v>
      </c>
      <c r="Y18" s="34" t="s">
        <v>112</v>
      </c>
      <c r="Z18" s="8" t="s">
        <v>149</v>
      </c>
      <c r="AA18" s="23" t="s">
        <v>115</v>
      </c>
      <c r="AB18" s="8"/>
      <c r="AE18" s="24"/>
      <c r="AM18" s="24"/>
    </row>
    <row r="19" ht="15.75" customHeight="1">
      <c r="A19" s="8">
        <v>587.0</v>
      </c>
      <c r="B19" s="34" t="s">
        <v>354</v>
      </c>
      <c r="C19" s="34" t="s">
        <v>51</v>
      </c>
      <c r="D19" s="34" t="s">
        <v>213</v>
      </c>
      <c r="E19" s="34" t="s">
        <v>112</v>
      </c>
      <c r="F19" s="35">
        <v>41895.0</v>
      </c>
      <c r="G19" s="36">
        <v>41883.0</v>
      </c>
      <c r="H19" s="20" t="str">
        <f t="shared" si="2"/>
        <v>2014</v>
      </c>
      <c r="I19" s="8" t="s">
        <v>176</v>
      </c>
      <c r="J19" s="34" t="s">
        <v>112</v>
      </c>
      <c r="K19" s="34" t="s">
        <v>112</v>
      </c>
      <c r="L19" s="34" t="s">
        <v>100</v>
      </c>
      <c r="M19" s="37" t="s">
        <v>177</v>
      </c>
      <c r="N19" s="34" t="s">
        <v>355</v>
      </c>
      <c r="O19" s="8" t="s">
        <v>356</v>
      </c>
      <c r="P19" s="34" t="s">
        <v>106</v>
      </c>
      <c r="Q19" s="34" t="s">
        <v>112</v>
      </c>
      <c r="R19" s="34">
        <v>333889.0</v>
      </c>
      <c r="S19" s="34">
        <v>9703391.0</v>
      </c>
      <c r="T19" s="65">
        <v>-2.6825776</v>
      </c>
      <c r="U19" s="65">
        <v>-76.494254</v>
      </c>
      <c r="V19" s="34" t="s">
        <v>109</v>
      </c>
      <c r="W19" s="34" t="s">
        <v>112</v>
      </c>
      <c r="X19" s="34" t="s">
        <v>112</v>
      </c>
      <c r="Y19" s="34" t="s">
        <v>112</v>
      </c>
      <c r="Z19" s="8" t="s">
        <v>149</v>
      </c>
      <c r="AA19" s="23" t="s">
        <v>115</v>
      </c>
      <c r="AB19" s="8"/>
      <c r="AE19" s="24"/>
      <c r="AM19" s="24"/>
    </row>
    <row r="20" ht="15.75" customHeight="1">
      <c r="A20" s="8">
        <v>564.0</v>
      </c>
      <c r="B20" s="34" t="s">
        <v>372</v>
      </c>
      <c r="C20" s="34" t="s">
        <v>51</v>
      </c>
      <c r="D20" s="34" t="s">
        <v>168</v>
      </c>
      <c r="E20" s="34" t="s">
        <v>112</v>
      </c>
      <c r="F20" s="35">
        <v>41752.0</v>
      </c>
      <c r="G20" s="36">
        <v>41730.0</v>
      </c>
      <c r="H20" s="20" t="str">
        <f t="shared" si="2"/>
        <v>2014</v>
      </c>
      <c r="I20" s="8" t="s">
        <v>176</v>
      </c>
      <c r="J20" s="34" t="s">
        <v>112</v>
      </c>
      <c r="K20" s="34" t="s">
        <v>112</v>
      </c>
      <c r="L20" s="34" t="s">
        <v>100</v>
      </c>
      <c r="M20" s="37" t="s">
        <v>177</v>
      </c>
      <c r="N20" s="34" t="s">
        <v>389</v>
      </c>
      <c r="O20" s="8" t="s">
        <v>390</v>
      </c>
      <c r="P20" s="34" t="s">
        <v>106</v>
      </c>
      <c r="Q20" s="34" t="s">
        <v>112</v>
      </c>
      <c r="R20" s="34">
        <v>334270.0</v>
      </c>
      <c r="S20" s="34">
        <v>9702430.0</v>
      </c>
      <c r="T20" s="38">
        <v>-2.6912731</v>
      </c>
      <c r="U20" s="38">
        <v>-76.490838</v>
      </c>
      <c r="V20" s="34" t="s">
        <v>109</v>
      </c>
      <c r="W20" s="34" t="s">
        <v>112</v>
      </c>
      <c r="X20" s="34" t="s">
        <v>112</v>
      </c>
      <c r="Y20" s="34" t="s">
        <v>112</v>
      </c>
      <c r="Z20" s="8" t="s">
        <v>149</v>
      </c>
      <c r="AA20" s="23" t="s">
        <v>115</v>
      </c>
      <c r="AB20" s="8"/>
      <c r="AE20" s="24"/>
      <c r="AM20" s="24"/>
    </row>
    <row r="21" ht="15.75" customHeight="1">
      <c r="A21" s="8">
        <v>930.0</v>
      </c>
      <c r="B21" s="34" t="s">
        <v>397</v>
      </c>
      <c r="C21" s="34" t="s">
        <v>53</v>
      </c>
      <c r="D21" s="34" t="s">
        <v>398</v>
      </c>
      <c r="E21" s="34" t="s">
        <v>112</v>
      </c>
      <c r="F21" s="48">
        <v>43245.0</v>
      </c>
      <c r="G21" s="36">
        <v>43221.0</v>
      </c>
      <c r="H21" s="20" t="str">
        <f t="shared" si="2"/>
        <v>2018</v>
      </c>
      <c r="I21" s="8" t="s">
        <v>176</v>
      </c>
      <c r="J21" s="34" t="s">
        <v>112</v>
      </c>
      <c r="K21" s="34" t="s">
        <v>112</v>
      </c>
      <c r="L21" s="34" t="s">
        <v>100</v>
      </c>
      <c r="M21" s="28" t="s">
        <v>399</v>
      </c>
      <c r="N21" s="67" t="s">
        <v>400</v>
      </c>
      <c r="O21" s="8" t="s">
        <v>401</v>
      </c>
      <c r="P21" s="34" t="s">
        <v>106</v>
      </c>
      <c r="Q21" s="34" t="s">
        <v>112</v>
      </c>
      <c r="R21" s="34">
        <v>334369.0</v>
      </c>
      <c r="S21" s="34">
        <v>9690372.0</v>
      </c>
      <c r="T21" s="68" t="s">
        <v>402</v>
      </c>
      <c r="U21" s="68" t="s">
        <v>403</v>
      </c>
      <c r="V21" s="34" t="s">
        <v>190</v>
      </c>
      <c r="W21" s="34" t="s">
        <v>112</v>
      </c>
      <c r="X21" s="34" t="s">
        <v>112</v>
      </c>
      <c r="Y21" s="34" t="s">
        <v>112</v>
      </c>
      <c r="Z21" s="8" t="s">
        <v>148</v>
      </c>
      <c r="AA21" s="23" t="s">
        <v>115</v>
      </c>
      <c r="AB21" s="8" t="s">
        <v>289</v>
      </c>
      <c r="AE21" s="24"/>
      <c r="AM21" s="24"/>
    </row>
    <row r="22" ht="15.75" customHeight="1">
      <c r="A22" s="8">
        <v>724.0</v>
      </c>
      <c r="B22" s="39" t="s">
        <v>404</v>
      </c>
      <c r="C22" s="59" t="s">
        <v>51</v>
      </c>
      <c r="D22" s="39" t="s">
        <v>213</v>
      </c>
      <c r="E22" s="39" t="s">
        <v>112</v>
      </c>
      <c r="F22" s="60" t="s">
        <v>214</v>
      </c>
      <c r="G22" s="41">
        <v>42491.0</v>
      </c>
      <c r="H22" s="42" t="str">
        <f t="shared" si="2"/>
        <v>2016</v>
      </c>
      <c r="I22" s="8" t="s">
        <v>186</v>
      </c>
      <c r="J22" s="39" t="s">
        <v>112</v>
      </c>
      <c r="K22" s="39" t="s">
        <v>112</v>
      </c>
      <c r="L22" s="39" t="s">
        <v>100</v>
      </c>
      <c r="M22" s="43" t="s">
        <v>187</v>
      </c>
      <c r="N22" s="39" t="s">
        <v>405</v>
      </c>
      <c r="O22" s="8" t="s">
        <v>406</v>
      </c>
      <c r="P22" s="39" t="s">
        <v>106</v>
      </c>
      <c r="Q22" s="39" t="s">
        <v>112</v>
      </c>
      <c r="R22" s="39">
        <v>336581.8</v>
      </c>
      <c r="S22" s="39">
        <v>9701600.2</v>
      </c>
      <c r="T22" s="39">
        <v>-76.4700566</v>
      </c>
      <c r="U22" s="39">
        <v>-2.69880302</v>
      </c>
      <c r="V22" s="59" t="s">
        <v>221</v>
      </c>
      <c r="W22" s="39" t="s">
        <v>112</v>
      </c>
      <c r="X22" s="39" t="s">
        <v>112</v>
      </c>
      <c r="Y22" s="39" t="s">
        <v>112</v>
      </c>
      <c r="Z22" s="8" t="s">
        <v>69</v>
      </c>
      <c r="AA22" s="23" t="s">
        <v>115</v>
      </c>
      <c r="AB22" s="8" t="s">
        <v>378</v>
      </c>
      <c r="AE22" s="24"/>
      <c r="AM22" s="24"/>
    </row>
    <row r="23" ht="15.75" customHeight="1">
      <c r="A23" s="8">
        <v>502.0</v>
      </c>
      <c r="B23" s="34" t="s">
        <v>424</v>
      </c>
      <c r="C23" s="28" t="s">
        <v>51</v>
      </c>
      <c r="D23" s="34" t="s">
        <v>112</v>
      </c>
      <c r="E23" s="34" t="s">
        <v>112</v>
      </c>
      <c r="F23" s="35">
        <v>41408.0</v>
      </c>
      <c r="G23" s="36">
        <v>41395.0</v>
      </c>
      <c r="H23" s="20" t="str">
        <f t="shared" si="2"/>
        <v>2013</v>
      </c>
      <c r="I23" s="8" t="s">
        <v>186</v>
      </c>
      <c r="J23" s="34" t="s">
        <v>112</v>
      </c>
      <c r="K23" s="34" t="s">
        <v>112</v>
      </c>
      <c r="L23" s="34" t="s">
        <v>100</v>
      </c>
      <c r="M23" s="68" t="s">
        <v>177</v>
      </c>
      <c r="N23" s="34" t="s">
        <v>425</v>
      </c>
      <c r="O23" s="8" t="s">
        <v>426</v>
      </c>
      <c r="P23" s="34" t="s">
        <v>106</v>
      </c>
      <c r="Q23" s="34" t="s">
        <v>112</v>
      </c>
      <c r="R23" s="34">
        <v>336589.0</v>
      </c>
      <c r="S23" s="34">
        <v>9701583.0</v>
      </c>
      <c r="T23" s="65">
        <v>-2.6989589</v>
      </c>
      <c r="U23" s="65">
        <v>-76.469991</v>
      </c>
      <c r="V23" s="28" t="s">
        <v>427</v>
      </c>
      <c r="W23" s="34" t="s">
        <v>112</v>
      </c>
      <c r="X23" s="34" t="s">
        <v>112</v>
      </c>
      <c r="Y23" s="34" t="s">
        <v>112</v>
      </c>
      <c r="Z23" s="8" t="s">
        <v>149</v>
      </c>
      <c r="AA23" s="23" t="s">
        <v>115</v>
      </c>
      <c r="AB23" s="8"/>
      <c r="AE23" s="24"/>
      <c r="AM23" s="24"/>
    </row>
    <row r="24" ht="15.75" customHeight="1">
      <c r="A24" s="8">
        <v>573.0</v>
      </c>
      <c r="B24" s="34" t="s">
        <v>428</v>
      </c>
      <c r="C24" s="34" t="s">
        <v>51</v>
      </c>
      <c r="D24" s="34" t="s">
        <v>168</v>
      </c>
      <c r="E24" s="34" t="s">
        <v>112</v>
      </c>
      <c r="F24" s="35">
        <v>41775.0</v>
      </c>
      <c r="G24" s="36">
        <v>41760.0</v>
      </c>
      <c r="H24" s="20" t="str">
        <f t="shared" si="2"/>
        <v>2014</v>
      </c>
      <c r="I24" s="8" t="s">
        <v>186</v>
      </c>
      <c r="J24" s="34" t="s">
        <v>112</v>
      </c>
      <c r="K24" s="34" t="s">
        <v>112</v>
      </c>
      <c r="L24" s="34" t="s">
        <v>100</v>
      </c>
      <c r="M24" s="37" t="s">
        <v>112</v>
      </c>
      <c r="N24" s="34" t="s">
        <v>429</v>
      </c>
      <c r="O24" s="8" t="s">
        <v>430</v>
      </c>
      <c r="P24" s="34" t="s">
        <v>106</v>
      </c>
      <c r="Q24" s="34" t="s">
        <v>112</v>
      </c>
      <c r="R24" s="34">
        <v>336596.0</v>
      </c>
      <c r="S24" s="34">
        <v>9701584.0</v>
      </c>
      <c r="T24" s="38">
        <v>-2.69895</v>
      </c>
      <c r="U24" s="38">
        <v>-76.469928</v>
      </c>
      <c r="V24" s="34" t="s">
        <v>109</v>
      </c>
      <c r="W24" s="34" t="s">
        <v>112</v>
      </c>
      <c r="X24" s="34" t="s">
        <v>112</v>
      </c>
      <c r="Y24" s="34" t="s">
        <v>112</v>
      </c>
      <c r="Z24" s="8" t="s">
        <v>149</v>
      </c>
      <c r="AA24" s="23" t="s">
        <v>115</v>
      </c>
      <c r="AB24" s="8"/>
      <c r="AE24" s="24"/>
      <c r="AM24" s="24"/>
    </row>
    <row r="25" ht="15.75" customHeight="1">
      <c r="A25" s="8">
        <v>361.0</v>
      </c>
      <c r="B25" s="39" t="s">
        <v>431</v>
      </c>
      <c r="C25" s="39" t="s">
        <v>53</v>
      </c>
      <c r="D25" s="51" t="s">
        <v>432</v>
      </c>
      <c r="E25" s="39" t="s">
        <v>112</v>
      </c>
      <c r="F25" s="40">
        <v>39901.0</v>
      </c>
      <c r="G25" s="41">
        <v>39873.0</v>
      </c>
      <c r="H25" s="42" t="str">
        <f t="shared" si="2"/>
        <v>2009</v>
      </c>
      <c r="I25" s="8" t="s">
        <v>176</v>
      </c>
      <c r="J25" s="39" t="s">
        <v>112</v>
      </c>
      <c r="K25" s="29" t="s">
        <v>99</v>
      </c>
      <c r="L25" s="39" t="s">
        <v>100</v>
      </c>
      <c r="M25" s="51" t="s">
        <v>177</v>
      </c>
      <c r="N25" s="44" t="s">
        <v>433</v>
      </c>
      <c r="O25" s="45" t="s">
        <v>434</v>
      </c>
      <c r="P25" s="39" t="s">
        <v>106</v>
      </c>
      <c r="Q25" s="39" t="s">
        <v>112</v>
      </c>
      <c r="R25" s="39">
        <v>337227.0</v>
      </c>
      <c r="S25" s="39">
        <v>9689742.0</v>
      </c>
      <c r="T25" s="46">
        <v>-2.8060574</v>
      </c>
      <c r="U25" s="46">
        <v>-76.464384</v>
      </c>
      <c r="V25" s="39" t="s">
        <v>435</v>
      </c>
      <c r="W25" s="39" t="s">
        <v>112</v>
      </c>
      <c r="X25" s="39" t="s">
        <v>112</v>
      </c>
      <c r="Y25" s="39" t="s">
        <v>112</v>
      </c>
      <c r="Z25" s="47" t="s">
        <v>37</v>
      </c>
      <c r="AA25" s="23" t="s">
        <v>115</v>
      </c>
      <c r="AB25" s="8" t="s">
        <v>395</v>
      </c>
      <c r="AE25" s="24"/>
      <c r="AM25" s="24"/>
    </row>
    <row r="26" ht="15.75" customHeight="1">
      <c r="A26" s="8">
        <v>580.0</v>
      </c>
      <c r="B26" s="34" t="s">
        <v>436</v>
      </c>
      <c r="C26" s="34" t="s">
        <v>51</v>
      </c>
      <c r="D26" s="34" t="s">
        <v>168</v>
      </c>
      <c r="E26" s="34" t="s">
        <v>112</v>
      </c>
      <c r="F26" s="35">
        <v>41806.0</v>
      </c>
      <c r="G26" s="36">
        <v>41791.0</v>
      </c>
      <c r="H26" s="20" t="str">
        <f t="shared" si="2"/>
        <v>2014</v>
      </c>
      <c r="I26" s="8" t="s">
        <v>186</v>
      </c>
      <c r="J26" s="34" t="s">
        <v>112</v>
      </c>
      <c r="K26" s="34" t="s">
        <v>112</v>
      </c>
      <c r="L26" s="34" t="s">
        <v>100</v>
      </c>
      <c r="M26" s="37" t="s">
        <v>112</v>
      </c>
      <c r="N26" s="34" t="s">
        <v>437</v>
      </c>
      <c r="O26" s="8"/>
      <c r="P26" s="34" t="s">
        <v>106</v>
      </c>
      <c r="Q26" s="34" t="s">
        <v>112</v>
      </c>
      <c r="R26" s="34">
        <v>337258.0</v>
      </c>
      <c r="S26" s="34">
        <v>9700140.0</v>
      </c>
      <c r="T26" s="38">
        <v>-2.7120169</v>
      </c>
      <c r="U26" s="38">
        <v>-76.46399</v>
      </c>
      <c r="V26" s="34" t="s">
        <v>109</v>
      </c>
      <c r="W26" s="34" t="s">
        <v>112</v>
      </c>
      <c r="X26" s="34" t="s">
        <v>112</v>
      </c>
      <c r="Y26" s="34" t="s">
        <v>112</v>
      </c>
      <c r="Z26" s="8" t="s">
        <v>149</v>
      </c>
      <c r="AA26" s="23" t="s">
        <v>115</v>
      </c>
      <c r="AB26" s="8"/>
      <c r="AE26" s="24"/>
      <c r="AM26" s="24"/>
    </row>
    <row r="27" ht="15.75" customHeight="1">
      <c r="A27" s="8">
        <v>679.0</v>
      </c>
      <c r="B27" s="39" t="s">
        <v>438</v>
      </c>
      <c r="C27" s="59" t="s">
        <v>51</v>
      </c>
      <c r="D27" s="39" t="s">
        <v>213</v>
      </c>
      <c r="E27" s="39" t="s">
        <v>112</v>
      </c>
      <c r="F27" s="60" t="s">
        <v>439</v>
      </c>
      <c r="G27" s="41">
        <v>42430.0</v>
      </c>
      <c r="H27" s="42" t="str">
        <f t="shared" si="2"/>
        <v>2016</v>
      </c>
      <c r="I27" s="8" t="s">
        <v>186</v>
      </c>
      <c r="J27" s="39" t="s">
        <v>112</v>
      </c>
      <c r="K27" s="39" t="s">
        <v>112</v>
      </c>
      <c r="L27" s="39" t="s">
        <v>100</v>
      </c>
      <c r="M27" s="43" t="s">
        <v>187</v>
      </c>
      <c r="N27" s="39" t="s">
        <v>440</v>
      </c>
      <c r="O27" s="8" t="s">
        <v>441</v>
      </c>
      <c r="P27" s="39" t="s">
        <v>106</v>
      </c>
      <c r="Q27" s="39" t="s">
        <v>112</v>
      </c>
      <c r="R27" s="39">
        <v>337537.3</v>
      </c>
      <c r="S27" s="39">
        <v>9690075.3</v>
      </c>
      <c r="T27" s="39">
        <v>-76.46158992</v>
      </c>
      <c r="U27" s="39">
        <v>-2.80304659</v>
      </c>
      <c r="V27" s="39" t="s">
        <v>442</v>
      </c>
      <c r="W27" s="39" t="s">
        <v>112</v>
      </c>
      <c r="X27" s="39" t="s">
        <v>112</v>
      </c>
      <c r="Y27" s="39" t="s">
        <v>112</v>
      </c>
      <c r="Z27" s="8" t="s">
        <v>69</v>
      </c>
      <c r="AA27" s="23" t="s">
        <v>115</v>
      </c>
      <c r="AB27" s="8" t="s">
        <v>378</v>
      </c>
      <c r="AE27" s="24"/>
      <c r="AM27" s="24"/>
    </row>
    <row r="28" ht="15.75" customHeight="1">
      <c r="A28" s="8">
        <v>699.0</v>
      </c>
      <c r="B28" s="39" t="s">
        <v>443</v>
      </c>
      <c r="C28" s="59" t="s">
        <v>51</v>
      </c>
      <c r="D28" s="39" t="s">
        <v>112</v>
      </c>
      <c r="E28" s="39" t="s">
        <v>112</v>
      </c>
      <c r="F28" s="73">
        <v>42478.0</v>
      </c>
      <c r="G28" s="74">
        <v>42461.0</v>
      </c>
      <c r="H28" s="42" t="str">
        <f t="shared" si="2"/>
        <v>2016</v>
      </c>
      <c r="I28" s="8" t="s">
        <v>186</v>
      </c>
      <c r="J28" s="39" t="s">
        <v>112</v>
      </c>
      <c r="K28" s="39" t="s">
        <v>112</v>
      </c>
      <c r="L28" s="39" t="s">
        <v>100</v>
      </c>
      <c r="M28" s="74" t="s">
        <v>112</v>
      </c>
      <c r="N28" s="39" t="s">
        <v>444</v>
      </c>
      <c r="O28" s="23" t="s">
        <v>445</v>
      </c>
      <c r="P28" s="39" t="s">
        <v>106</v>
      </c>
      <c r="Q28" s="39" t="s">
        <v>112</v>
      </c>
      <c r="R28" s="39">
        <v>337613.8</v>
      </c>
      <c r="S28" s="39">
        <v>9689687.8</v>
      </c>
      <c r="T28" s="51">
        <v>-76.4609056</v>
      </c>
      <c r="U28" s="51">
        <v>-2.80655222</v>
      </c>
      <c r="V28" s="59" t="s">
        <v>446</v>
      </c>
      <c r="W28" s="39" t="s">
        <v>112</v>
      </c>
      <c r="X28" s="39" t="s">
        <v>112</v>
      </c>
      <c r="Y28" s="39" t="s">
        <v>112</v>
      </c>
      <c r="Z28" s="8" t="s">
        <v>69</v>
      </c>
      <c r="AA28" s="23" t="s">
        <v>115</v>
      </c>
      <c r="AB28" s="8"/>
      <c r="AE28" s="24"/>
      <c r="AM28" s="24"/>
    </row>
    <row r="29" ht="15.75" customHeight="1">
      <c r="A29" s="8">
        <v>898.0</v>
      </c>
      <c r="B29" s="34" t="s">
        <v>447</v>
      </c>
      <c r="C29" s="34" t="s">
        <v>51</v>
      </c>
      <c r="D29" s="34" t="s">
        <v>112</v>
      </c>
      <c r="E29" s="34" t="s">
        <v>112</v>
      </c>
      <c r="F29" s="48">
        <v>43175.0</v>
      </c>
      <c r="G29" s="36">
        <v>43160.0</v>
      </c>
      <c r="H29" s="20" t="str">
        <f t="shared" si="2"/>
        <v>2018</v>
      </c>
      <c r="I29" s="8" t="s">
        <v>186</v>
      </c>
      <c r="J29" s="34" t="s">
        <v>112</v>
      </c>
      <c r="K29" s="34" t="s">
        <v>112</v>
      </c>
      <c r="L29" s="34" t="s">
        <v>100</v>
      </c>
      <c r="M29" s="37" t="s">
        <v>187</v>
      </c>
      <c r="N29" s="34" t="s">
        <v>448</v>
      </c>
      <c r="O29" s="8" t="s">
        <v>449</v>
      </c>
      <c r="P29" s="34" t="s">
        <v>106</v>
      </c>
      <c r="Q29" s="34" t="s">
        <v>112</v>
      </c>
      <c r="R29" s="34">
        <v>337726.0</v>
      </c>
      <c r="S29" s="34">
        <v>9689793.0</v>
      </c>
      <c r="T29" s="68">
        <v>-76.4598955704509</v>
      </c>
      <c r="U29" s="68">
        <v>-2.8056018624406</v>
      </c>
      <c r="V29" s="34" t="s">
        <v>190</v>
      </c>
      <c r="W29" s="34" t="s">
        <v>112</v>
      </c>
      <c r="X29" s="34" t="s">
        <v>112</v>
      </c>
      <c r="Y29" s="34" t="s">
        <v>112</v>
      </c>
      <c r="Z29" s="8" t="s">
        <v>148</v>
      </c>
      <c r="AA29" s="23" t="s">
        <v>144</v>
      </c>
      <c r="AB29" s="8" t="s">
        <v>381</v>
      </c>
      <c r="AE29" s="24"/>
      <c r="AM29" s="24"/>
    </row>
    <row r="30" ht="15.75" customHeight="1">
      <c r="A30" s="8">
        <v>897.0</v>
      </c>
      <c r="B30" s="34" t="s">
        <v>450</v>
      </c>
      <c r="C30" s="34" t="s">
        <v>51</v>
      </c>
      <c r="D30" s="34" t="s">
        <v>112</v>
      </c>
      <c r="E30" s="34" t="s">
        <v>112</v>
      </c>
      <c r="F30" s="48">
        <v>43174.0</v>
      </c>
      <c r="G30" s="36">
        <v>43160.0</v>
      </c>
      <c r="H30" s="20" t="str">
        <f t="shared" si="2"/>
        <v>2018</v>
      </c>
      <c r="I30" s="8" t="s">
        <v>186</v>
      </c>
      <c r="J30" s="34" t="s">
        <v>112</v>
      </c>
      <c r="K30" s="34" t="s">
        <v>112</v>
      </c>
      <c r="L30" s="34" t="s">
        <v>100</v>
      </c>
      <c r="M30" s="37" t="s">
        <v>112</v>
      </c>
      <c r="N30" s="34" t="s">
        <v>112</v>
      </c>
      <c r="O30" s="8"/>
      <c r="P30" s="34" t="s">
        <v>106</v>
      </c>
      <c r="Q30" s="34" t="s">
        <v>112</v>
      </c>
      <c r="R30" s="34">
        <v>337839.0</v>
      </c>
      <c r="S30" s="34">
        <v>9689911.0</v>
      </c>
      <c r="T30" s="34" t="s">
        <v>112</v>
      </c>
      <c r="U30" s="34" t="s">
        <v>112</v>
      </c>
      <c r="V30" s="34" t="s">
        <v>190</v>
      </c>
      <c r="W30" s="34" t="s">
        <v>112</v>
      </c>
      <c r="X30" s="34" t="s">
        <v>112</v>
      </c>
      <c r="Y30" s="34" t="s">
        <v>112</v>
      </c>
      <c r="Z30" s="8" t="s">
        <v>148</v>
      </c>
      <c r="AA30" s="23" t="s">
        <v>144</v>
      </c>
      <c r="AB30" s="8"/>
      <c r="AE30" s="24"/>
      <c r="AM30" s="24"/>
    </row>
    <row r="31" ht="15.75" customHeight="1">
      <c r="A31" s="8">
        <v>127.0</v>
      </c>
      <c r="B31" s="17" t="s">
        <v>451</v>
      </c>
      <c r="C31" s="8" t="s">
        <v>51</v>
      </c>
      <c r="D31" s="8" t="s">
        <v>452</v>
      </c>
      <c r="E31" s="8" t="s">
        <v>209</v>
      </c>
      <c r="F31" s="17" t="s">
        <v>453</v>
      </c>
      <c r="G31" s="17" t="s">
        <v>112</v>
      </c>
      <c r="H31" s="28" t="s">
        <v>112</v>
      </c>
      <c r="I31" s="8"/>
      <c r="J31" s="8" t="s">
        <v>112</v>
      </c>
      <c r="K31" s="29" t="s">
        <v>99</v>
      </c>
      <c r="L31" s="17" t="s">
        <v>100</v>
      </c>
      <c r="M31" s="8" t="s">
        <v>101</v>
      </c>
      <c r="N31" s="8" t="s">
        <v>454</v>
      </c>
      <c r="O31" s="8" t="s">
        <v>455</v>
      </c>
      <c r="P31" s="8" t="s">
        <v>106</v>
      </c>
      <c r="Q31" s="8" t="s">
        <v>112</v>
      </c>
      <c r="R31" s="8">
        <v>337850.0</v>
      </c>
      <c r="S31" s="8">
        <v>9694847.0</v>
      </c>
      <c r="T31" s="8"/>
      <c r="U31" s="8"/>
      <c r="V31" s="8" t="s">
        <v>109</v>
      </c>
      <c r="W31" s="8" t="s">
        <v>456</v>
      </c>
      <c r="X31" s="8" t="s">
        <v>112</v>
      </c>
      <c r="Y31" s="8" t="s">
        <v>112</v>
      </c>
      <c r="Z31" s="23" t="s">
        <v>42</v>
      </c>
      <c r="AA31" s="23" t="s">
        <v>115</v>
      </c>
      <c r="AB31" s="8" t="s">
        <v>227</v>
      </c>
      <c r="AE31" s="24"/>
      <c r="AM31" s="24"/>
    </row>
    <row r="32" ht="15.75" customHeight="1">
      <c r="A32" s="8">
        <v>904.0</v>
      </c>
      <c r="B32" s="34" t="s">
        <v>457</v>
      </c>
      <c r="C32" s="34" t="s">
        <v>51</v>
      </c>
      <c r="D32" s="34" t="s">
        <v>112</v>
      </c>
      <c r="E32" s="34" t="s">
        <v>112</v>
      </c>
      <c r="F32" s="48">
        <v>43177.0</v>
      </c>
      <c r="G32" s="36">
        <v>43160.0</v>
      </c>
      <c r="H32" s="20" t="str">
        <f t="shared" ref="H32:H38" si="3">TEXT(G32, "yyyy")</f>
        <v>2018</v>
      </c>
      <c r="I32" s="8" t="s">
        <v>186</v>
      </c>
      <c r="J32" s="34" t="s">
        <v>112</v>
      </c>
      <c r="K32" s="34" t="s">
        <v>112</v>
      </c>
      <c r="L32" s="34" t="s">
        <v>100</v>
      </c>
      <c r="M32" s="37" t="s">
        <v>177</v>
      </c>
      <c r="N32" s="34" t="s">
        <v>458</v>
      </c>
      <c r="O32" s="8" t="s">
        <v>459</v>
      </c>
      <c r="P32" s="34" t="s">
        <v>106</v>
      </c>
      <c r="Q32" s="34" t="s">
        <v>112</v>
      </c>
      <c r="R32" s="34">
        <v>337890.0</v>
      </c>
      <c r="S32" s="34">
        <v>9690488.0</v>
      </c>
      <c r="T32" s="34" t="s">
        <v>112</v>
      </c>
      <c r="U32" s="34" t="s">
        <v>112</v>
      </c>
      <c r="V32" s="34" t="s">
        <v>190</v>
      </c>
      <c r="W32" s="34" t="s">
        <v>112</v>
      </c>
      <c r="X32" s="34" t="s">
        <v>112</v>
      </c>
      <c r="Y32" s="34" t="s">
        <v>112</v>
      </c>
      <c r="Z32" s="8" t="s">
        <v>148</v>
      </c>
      <c r="AA32" s="23" t="s">
        <v>144</v>
      </c>
      <c r="AB32" s="8" t="s">
        <v>365</v>
      </c>
      <c r="AE32" s="24"/>
      <c r="AM32" s="24"/>
    </row>
    <row r="33" ht="15.75" customHeight="1">
      <c r="A33" s="8">
        <v>678.0</v>
      </c>
      <c r="B33" s="39" t="s">
        <v>460</v>
      </c>
      <c r="C33" s="59" t="s">
        <v>51</v>
      </c>
      <c r="D33" s="39" t="s">
        <v>213</v>
      </c>
      <c r="E33" s="39" t="s">
        <v>112</v>
      </c>
      <c r="F33" s="60" t="s">
        <v>439</v>
      </c>
      <c r="G33" s="41">
        <v>42430.0</v>
      </c>
      <c r="H33" s="42" t="str">
        <f t="shared" si="3"/>
        <v>2016</v>
      </c>
      <c r="I33" s="8" t="s">
        <v>186</v>
      </c>
      <c r="J33" s="39" t="s">
        <v>112</v>
      </c>
      <c r="K33" s="39" t="s">
        <v>112</v>
      </c>
      <c r="L33" s="39" t="s">
        <v>100</v>
      </c>
      <c r="M33" s="43" t="s">
        <v>187</v>
      </c>
      <c r="N33" s="39" t="s">
        <v>461</v>
      </c>
      <c r="O33" s="8" t="s">
        <v>462</v>
      </c>
      <c r="P33" s="39" t="s">
        <v>106</v>
      </c>
      <c r="Q33" s="39" t="s">
        <v>112</v>
      </c>
      <c r="R33" s="39">
        <v>338034.9</v>
      </c>
      <c r="S33" s="39">
        <v>9690086.0</v>
      </c>
      <c r="T33" s="39">
        <v>-76.46190053</v>
      </c>
      <c r="U33" s="39">
        <v>2.80278826</v>
      </c>
      <c r="V33" s="39" t="s">
        <v>442</v>
      </c>
      <c r="W33" s="39" t="s">
        <v>112</v>
      </c>
      <c r="X33" s="39" t="s">
        <v>112</v>
      </c>
      <c r="Y33" s="39" t="s">
        <v>112</v>
      </c>
      <c r="Z33" s="8" t="s">
        <v>69</v>
      </c>
      <c r="AA33" s="23" t="s">
        <v>115</v>
      </c>
      <c r="AB33" s="8" t="s">
        <v>378</v>
      </c>
      <c r="AE33" s="24"/>
      <c r="AM33" s="24"/>
    </row>
    <row r="34" ht="15.75" customHeight="1">
      <c r="A34" s="8">
        <v>890.0</v>
      </c>
      <c r="B34" s="34" t="s">
        <v>463</v>
      </c>
      <c r="C34" s="34" t="s">
        <v>51</v>
      </c>
      <c r="D34" s="34" t="s">
        <v>213</v>
      </c>
      <c r="E34" s="34" t="s">
        <v>112</v>
      </c>
      <c r="F34" s="48">
        <v>43146.0</v>
      </c>
      <c r="G34" s="36">
        <v>43132.0</v>
      </c>
      <c r="H34" s="20" t="str">
        <f t="shared" si="3"/>
        <v>2018</v>
      </c>
      <c r="I34" s="8" t="s">
        <v>63</v>
      </c>
      <c r="J34" s="34" t="s">
        <v>112</v>
      </c>
      <c r="K34" s="34" t="s">
        <v>112</v>
      </c>
      <c r="L34" s="34" t="s">
        <v>100</v>
      </c>
      <c r="M34" s="37" t="s">
        <v>187</v>
      </c>
      <c r="N34" s="34" t="s">
        <v>464</v>
      </c>
      <c r="O34" s="23" t="s">
        <v>465</v>
      </c>
      <c r="P34" s="34" t="s">
        <v>106</v>
      </c>
      <c r="Q34" s="34" t="s">
        <v>112</v>
      </c>
      <c r="R34" s="34">
        <v>338034.9</v>
      </c>
      <c r="S34" s="34">
        <v>9690086.0</v>
      </c>
      <c r="T34" s="34">
        <v>-76.45711428</v>
      </c>
      <c r="U34" s="28">
        <v>-2.80295501</v>
      </c>
      <c r="V34" s="34" t="s">
        <v>466</v>
      </c>
      <c r="W34" s="34" t="s">
        <v>112</v>
      </c>
      <c r="X34" s="34" t="s">
        <v>112</v>
      </c>
      <c r="Y34" s="34" t="s">
        <v>112</v>
      </c>
      <c r="Z34" s="8" t="s">
        <v>148</v>
      </c>
      <c r="AA34" s="23" t="s">
        <v>144</v>
      </c>
      <c r="AB34" s="8"/>
      <c r="AE34" s="24"/>
      <c r="AM34" s="24"/>
    </row>
    <row r="35" ht="15.75" customHeight="1">
      <c r="A35" s="8">
        <v>889.0</v>
      </c>
      <c r="B35" s="34" t="s">
        <v>467</v>
      </c>
      <c r="C35" s="34" t="s">
        <v>51</v>
      </c>
      <c r="D35" s="34" t="s">
        <v>213</v>
      </c>
      <c r="E35" s="34" t="s">
        <v>112</v>
      </c>
      <c r="F35" s="48">
        <v>43146.0</v>
      </c>
      <c r="G35" s="36">
        <v>43132.0</v>
      </c>
      <c r="H35" s="20" t="str">
        <f t="shared" si="3"/>
        <v>2018</v>
      </c>
      <c r="I35" s="8" t="s">
        <v>186</v>
      </c>
      <c r="J35" s="34" t="s">
        <v>112</v>
      </c>
      <c r="K35" s="34" t="s">
        <v>112</v>
      </c>
      <c r="L35" s="34" t="s">
        <v>100</v>
      </c>
      <c r="M35" s="37" t="s">
        <v>187</v>
      </c>
      <c r="N35" s="34" t="s">
        <v>468</v>
      </c>
      <c r="O35" s="8" t="s">
        <v>469</v>
      </c>
      <c r="P35" s="34" t="s">
        <v>106</v>
      </c>
      <c r="Q35" s="34" t="s">
        <v>112</v>
      </c>
      <c r="R35" s="34">
        <v>338093.5</v>
      </c>
      <c r="S35" s="34">
        <v>9689225.3</v>
      </c>
      <c r="T35" s="34">
        <v>-76.45659665</v>
      </c>
      <c r="U35" s="34">
        <v>-2.81074066</v>
      </c>
      <c r="V35" s="67" t="s">
        <v>470</v>
      </c>
      <c r="W35" s="34" t="s">
        <v>112</v>
      </c>
      <c r="X35" s="34" t="s">
        <v>112</v>
      </c>
      <c r="Y35" s="34" t="s">
        <v>112</v>
      </c>
      <c r="Z35" s="8" t="s">
        <v>148</v>
      </c>
      <c r="AA35" s="23" t="s">
        <v>144</v>
      </c>
      <c r="AB35" s="8"/>
      <c r="AE35" s="24"/>
      <c r="AM35" s="24"/>
    </row>
    <row r="36" ht="15.75" customHeight="1">
      <c r="A36" s="8">
        <v>560.0</v>
      </c>
      <c r="B36" s="34" t="s">
        <v>471</v>
      </c>
      <c r="C36" s="34" t="s">
        <v>51</v>
      </c>
      <c r="D36" s="34" t="s">
        <v>168</v>
      </c>
      <c r="E36" s="34" t="s">
        <v>112</v>
      </c>
      <c r="F36" s="35">
        <v>41729.0</v>
      </c>
      <c r="G36" s="36">
        <v>41699.0</v>
      </c>
      <c r="H36" s="20" t="str">
        <f t="shared" si="3"/>
        <v>2014</v>
      </c>
      <c r="I36" s="8" t="s">
        <v>63</v>
      </c>
      <c r="J36" s="34" t="s">
        <v>112</v>
      </c>
      <c r="K36" s="34" t="s">
        <v>112</v>
      </c>
      <c r="L36" s="34" t="s">
        <v>100</v>
      </c>
      <c r="M36" s="37" t="s">
        <v>112</v>
      </c>
      <c r="N36" s="34" t="s">
        <v>472</v>
      </c>
      <c r="O36" s="8" t="s">
        <v>473</v>
      </c>
      <c r="P36" s="34" t="s">
        <v>106</v>
      </c>
      <c r="Q36" s="34" t="s">
        <v>112</v>
      </c>
      <c r="R36" s="34">
        <v>338236.0</v>
      </c>
      <c r="S36" s="34">
        <v>9694882.0</v>
      </c>
      <c r="T36" s="38">
        <v>-2.7595818</v>
      </c>
      <c r="U36" s="38">
        <v>-76.455251</v>
      </c>
      <c r="V36" s="34" t="s">
        <v>109</v>
      </c>
      <c r="W36" s="34" t="s">
        <v>112</v>
      </c>
      <c r="X36" s="34" t="s">
        <v>112</v>
      </c>
      <c r="Y36" s="34" t="s">
        <v>112</v>
      </c>
      <c r="Z36" s="8" t="s">
        <v>149</v>
      </c>
      <c r="AA36" s="23" t="s">
        <v>115</v>
      </c>
      <c r="AB36" s="8"/>
      <c r="AE36" s="24"/>
      <c r="AM36" s="24"/>
    </row>
    <row r="37" ht="15.75" customHeight="1">
      <c r="A37" s="8">
        <v>709.0</v>
      </c>
      <c r="B37" s="39" t="s">
        <v>474</v>
      </c>
      <c r="C37" s="59" t="s">
        <v>51</v>
      </c>
      <c r="D37" s="39" t="s">
        <v>213</v>
      </c>
      <c r="E37" s="39" t="s">
        <v>112</v>
      </c>
      <c r="F37" s="60" t="s">
        <v>475</v>
      </c>
      <c r="G37" s="74">
        <v>42461.0</v>
      </c>
      <c r="H37" s="42" t="str">
        <f t="shared" si="3"/>
        <v>2016</v>
      </c>
      <c r="I37" s="8" t="s">
        <v>186</v>
      </c>
      <c r="J37" s="39" t="s">
        <v>112</v>
      </c>
      <c r="K37" s="39" t="s">
        <v>112</v>
      </c>
      <c r="L37" s="39" t="s">
        <v>100</v>
      </c>
      <c r="M37" s="43" t="s">
        <v>112</v>
      </c>
      <c r="N37" s="39" t="s">
        <v>476</v>
      </c>
      <c r="O37" s="8" t="s">
        <v>477</v>
      </c>
      <c r="P37" s="39" t="s">
        <v>106</v>
      </c>
      <c r="Q37" s="39" t="s">
        <v>112</v>
      </c>
      <c r="R37" s="39">
        <v>338311.3</v>
      </c>
      <c r="S37" s="39">
        <v>9690155.6</v>
      </c>
      <c r="T37" s="39">
        <v>-76.45462687</v>
      </c>
      <c r="U37" s="39">
        <v>-2.80232926</v>
      </c>
      <c r="V37" s="39" t="s">
        <v>442</v>
      </c>
      <c r="W37" s="39" t="s">
        <v>112</v>
      </c>
      <c r="X37" s="39" t="s">
        <v>112</v>
      </c>
      <c r="Y37" s="39" t="s">
        <v>112</v>
      </c>
      <c r="Z37" s="8" t="s">
        <v>69</v>
      </c>
      <c r="AA37" s="23" t="s">
        <v>115</v>
      </c>
      <c r="AB37" s="8" t="s">
        <v>378</v>
      </c>
      <c r="AE37" s="24"/>
      <c r="AM37" s="24"/>
    </row>
    <row r="38" ht="15.75" customHeight="1">
      <c r="A38" s="8">
        <v>454.0</v>
      </c>
      <c r="B38" s="39" t="s">
        <v>478</v>
      </c>
      <c r="C38" s="39" t="s">
        <v>51</v>
      </c>
      <c r="D38" s="39" t="s">
        <v>112</v>
      </c>
      <c r="E38" s="39" t="s">
        <v>112</v>
      </c>
      <c r="F38" s="40">
        <v>40469.0</v>
      </c>
      <c r="G38" s="41">
        <v>40452.0</v>
      </c>
      <c r="H38" s="42" t="str">
        <f t="shared" si="3"/>
        <v>2010</v>
      </c>
      <c r="I38" s="8" t="s">
        <v>176</v>
      </c>
      <c r="J38" s="39" t="s">
        <v>112</v>
      </c>
      <c r="K38" s="29" t="s">
        <v>99</v>
      </c>
      <c r="L38" s="39" t="s">
        <v>100</v>
      </c>
      <c r="M38" s="43" t="s">
        <v>177</v>
      </c>
      <c r="N38" s="44" t="s">
        <v>112</v>
      </c>
      <c r="O38" s="45" t="s">
        <v>479</v>
      </c>
      <c r="P38" s="39" t="s">
        <v>106</v>
      </c>
      <c r="Q38" s="39" t="s">
        <v>112</v>
      </c>
      <c r="R38" s="39">
        <v>338386.0</v>
      </c>
      <c r="S38" s="39">
        <v>9689255.0</v>
      </c>
      <c r="T38" s="46">
        <v>-2.810475</v>
      </c>
      <c r="U38" s="46">
        <v>-76.453965</v>
      </c>
      <c r="V38" s="39" t="s">
        <v>480</v>
      </c>
      <c r="W38" s="39" t="s">
        <v>112</v>
      </c>
      <c r="X38" s="39" t="s">
        <v>112</v>
      </c>
      <c r="Y38" s="39" t="s">
        <v>112</v>
      </c>
      <c r="Z38" s="47" t="s">
        <v>37</v>
      </c>
      <c r="AA38" s="23" t="s">
        <v>115</v>
      </c>
      <c r="AB38" s="8" t="s">
        <v>181</v>
      </c>
      <c r="AE38" s="24"/>
      <c r="AM38" s="24"/>
    </row>
    <row r="39" ht="15.75" customHeight="1">
      <c r="A39" s="52">
        <v>965.0</v>
      </c>
      <c r="B39" s="53" t="s">
        <v>481</v>
      </c>
      <c r="C39" s="53" t="s">
        <v>51</v>
      </c>
      <c r="D39" s="53" t="s">
        <v>482</v>
      </c>
      <c r="E39" s="75" t="s">
        <v>209</v>
      </c>
      <c r="F39" s="53" t="s">
        <v>483</v>
      </c>
      <c r="G39" s="53" t="s">
        <v>483</v>
      </c>
      <c r="H39" s="55">
        <v>2021.0</v>
      </c>
      <c r="I39" s="53" t="s">
        <v>484</v>
      </c>
      <c r="J39" s="53" t="s">
        <v>230</v>
      </c>
      <c r="K39" s="53" t="s">
        <v>164</v>
      </c>
      <c r="L39" s="53" t="s">
        <v>100</v>
      </c>
      <c r="M39" s="53" t="s">
        <v>485</v>
      </c>
      <c r="N39" s="53" t="s">
        <v>486</v>
      </c>
      <c r="O39" s="53" t="s">
        <v>487</v>
      </c>
      <c r="P39" s="53" t="s">
        <v>106</v>
      </c>
      <c r="Q39" s="53"/>
      <c r="R39" s="53">
        <v>338401.0</v>
      </c>
      <c r="S39" s="53">
        <v>9693251.0</v>
      </c>
      <c r="T39" s="57"/>
      <c r="U39" s="58"/>
      <c r="V39" s="53" t="s">
        <v>488</v>
      </c>
      <c r="W39" s="58"/>
      <c r="X39" s="58"/>
      <c r="Y39" s="58"/>
      <c r="Z39" s="58"/>
      <c r="AA39" s="58"/>
      <c r="AB39" s="58"/>
      <c r="AE39" s="24"/>
      <c r="AM39" s="24"/>
    </row>
    <row r="40" ht="15.75" customHeight="1">
      <c r="A40" s="8">
        <v>903.0</v>
      </c>
      <c r="B40" s="34" t="s">
        <v>489</v>
      </c>
      <c r="C40" s="34" t="s">
        <v>51</v>
      </c>
      <c r="D40" s="34" t="s">
        <v>112</v>
      </c>
      <c r="E40" s="34" t="s">
        <v>112</v>
      </c>
      <c r="F40" s="48">
        <v>43177.0</v>
      </c>
      <c r="G40" s="36">
        <v>43160.0</v>
      </c>
      <c r="H40" s="20" t="str">
        <f t="shared" ref="H40:H48" si="4">TEXT(G40, "yyyy")</f>
        <v>2018</v>
      </c>
      <c r="I40" s="8" t="s">
        <v>186</v>
      </c>
      <c r="J40" s="34" t="s">
        <v>112</v>
      </c>
      <c r="K40" s="34" t="s">
        <v>112</v>
      </c>
      <c r="L40" s="34" t="s">
        <v>100</v>
      </c>
      <c r="M40" s="37" t="s">
        <v>112</v>
      </c>
      <c r="N40" s="34" t="s">
        <v>490</v>
      </c>
      <c r="O40" s="8" t="s">
        <v>449</v>
      </c>
      <c r="P40" s="34" t="s">
        <v>106</v>
      </c>
      <c r="Q40" s="34" t="s">
        <v>112</v>
      </c>
      <c r="R40" s="34">
        <v>338472.0</v>
      </c>
      <c r="S40" s="34">
        <v>9689958.0</v>
      </c>
      <c r="T40" s="34" t="s">
        <v>112</v>
      </c>
      <c r="U40" s="34" t="s">
        <v>112</v>
      </c>
      <c r="V40" s="34" t="s">
        <v>190</v>
      </c>
      <c r="W40" s="34" t="s">
        <v>112</v>
      </c>
      <c r="X40" s="34" t="s">
        <v>112</v>
      </c>
      <c r="Y40" s="34" t="s">
        <v>112</v>
      </c>
      <c r="Z40" s="8" t="s">
        <v>148</v>
      </c>
      <c r="AA40" s="23" t="s">
        <v>144</v>
      </c>
      <c r="AB40" s="8"/>
      <c r="AE40" s="24"/>
      <c r="AM40" s="24"/>
    </row>
    <row r="41" ht="15.75" customHeight="1">
      <c r="A41" s="8">
        <v>899.0</v>
      </c>
      <c r="B41" s="34" t="s">
        <v>491</v>
      </c>
      <c r="C41" s="34" t="s">
        <v>51</v>
      </c>
      <c r="D41" s="34" t="s">
        <v>112</v>
      </c>
      <c r="E41" s="34" t="s">
        <v>112</v>
      </c>
      <c r="F41" s="48">
        <v>43177.0</v>
      </c>
      <c r="G41" s="36">
        <v>43160.0</v>
      </c>
      <c r="H41" s="20" t="str">
        <f t="shared" si="4"/>
        <v>2018</v>
      </c>
      <c r="I41" s="8" t="s">
        <v>186</v>
      </c>
      <c r="J41" s="34" t="s">
        <v>112</v>
      </c>
      <c r="K41" s="34" t="s">
        <v>112</v>
      </c>
      <c r="L41" s="34" t="s">
        <v>100</v>
      </c>
      <c r="M41" s="37" t="s">
        <v>112</v>
      </c>
      <c r="N41" s="67" t="s">
        <v>492</v>
      </c>
      <c r="O41" s="8" t="s">
        <v>449</v>
      </c>
      <c r="P41" s="34" t="s">
        <v>106</v>
      </c>
      <c r="Q41" s="34" t="s">
        <v>112</v>
      </c>
      <c r="R41" s="34">
        <v>338536.0</v>
      </c>
      <c r="S41" s="34">
        <v>9690193.0</v>
      </c>
      <c r="T41" s="68" t="s">
        <v>112</v>
      </c>
      <c r="U41" s="34" t="s">
        <v>112</v>
      </c>
      <c r="V41" s="34" t="s">
        <v>190</v>
      </c>
      <c r="W41" s="34" t="s">
        <v>112</v>
      </c>
      <c r="X41" s="34" t="s">
        <v>112</v>
      </c>
      <c r="Y41" s="34" t="s">
        <v>112</v>
      </c>
      <c r="Z41" s="8" t="s">
        <v>148</v>
      </c>
      <c r="AA41" s="23" t="s">
        <v>115</v>
      </c>
      <c r="AB41" s="8" t="s">
        <v>388</v>
      </c>
      <c r="AE41" s="24"/>
      <c r="AM41" s="24"/>
    </row>
    <row r="42" ht="15.75" customHeight="1">
      <c r="A42" s="8">
        <v>574.0</v>
      </c>
      <c r="B42" s="34" t="s">
        <v>493</v>
      </c>
      <c r="C42" s="34" t="s">
        <v>51</v>
      </c>
      <c r="D42" s="34" t="s">
        <v>168</v>
      </c>
      <c r="E42" s="34" t="s">
        <v>112</v>
      </c>
      <c r="F42" s="35">
        <v>41775.0</v>
      </c>
      <c r="G42" s="36">
        <v>41760.0</v>
      </c>
      <c r="H42" s="20" t="str">
        <f t="shared" si="4"/>
        <v>2014</v>
      </c>
      <c r="I42" s="8" t="s">
        <v>186</v>
      </c>
      <c r="J42" s="34" t="s">
        <v>112</v>
      </c>
      <c r="K42" s="34" t="s">
        <v>112</v>
      </c>
      <c r="L42" s="34" t="s">
        <v>100</v>
      </c>
      <c r="M42" s="37" t="s">
        <v>112</v>
      </c>
      <c r="N42" s="34" t="s">
        <v>494</v>
      </c>
      <c r="O42" s="8" t="s">
        <v>495</v>
      </c>
      <c r="P42" s="34" t="s">
        <v>106</v>
      </c>
      <c r="Q42" s="34" t="s">
        <v>112</v>
      </c>
      <c r="R42" s="34">
        <v>338569.0</v>
      </c>
      <c r="S42" s="34">
        <v>9693173.0</v>
      </c>
      <c r="T42" s="38">
        <v>-2.775042</v>
      </c>
      <c r="U42" s="38">
        <v>-76.452275</v>
      </c>
      <c r="V42" s="34" t="s">
        <v>109</v>
      </c>
      <c r="W42" s="34" t="s">
        <v>112</v>
      </c>
      <c r="X42" s="34" t="s">
        <v>112</v>
      </c>
      <c r="Y42" s="34" t="s">
        <v>112</v>
      </c>
      <c r="Z42" s="8" t="s">
        <v>149</v>
      </c>
      <c r="AA42" s="23" t="s">
        <v>115</v>
      </c>
      <c r="AB42" s="8"/>
      <c r="AE42" s="24"/>
      <c r="AM42" s="24"/>
    </row>
    <row r="43" ht="15.75" customHeight="1">
      <c r="A43" s="8">
        <v>902.0</v>
      </c>
      <c r="B43" s="34" t="s">
        <v>496</v>
      </c>
      <c r="C43" s="34" t="s">
        <v>51</v>
      </c>
      <c r="D43" s="34" t="s">
        <v>112</v>
      </c>
      <c r="E43" s="34" t="s">
        <v>112</v>
      </c>
      <c r="F43" s="48">
        <v>43177.0</v>
      </c>
      <c r="G43" s="36">
        <v>43160.0</v>
      </c>
      <c r="H43" s="20" t="str">
        <f t="shared" si="4"/>
        <v>2018</v>
      </c>
      <c r="I43" s="8" t="s">
        <v>186</v>
      </c>
      <c r="J43" s="34" t="s">
        <v>112</v>
      </c>
      <c r="K43" s="34" t="s">
        <v>112</v>
      </c>
      <c r="L43" s="34" t="s">
        <v>100</v>
      </c>
      <c r="M43" s="37" t="s">
        <v>187</v>
      </c>
      <c r="N43" s="34" t="s">
        <v>497</v>
      </c>
      <c r="O43" s="8" t="s">
        <v>449</v>
      </c>
      <c r="P43" s="34" t="s">
        <v>106</v>
      </c>
      <c r="Q43" s="34" t="s">
        <v>112</v>
      </c>
      <c r="R43" s="34">
        <v>338622.0</v>
      </c>
      <c r="S43" s="34">
        <v>9689775.0</v>
      </c>
      <c r="T43" s="68">
        <v>-76.4515578577779</v>
      </c>
      <c r="U43" s="68">
        <v>-2.80579317462717</v>
      </c>
      <c r="V43" s="34" t="s">
        <v>190</v>
      </c>
      <c r="W43" s="34" t="s">
        <v>112</v>
      </c>
      <c r="X43" s="34" t="s">
        <v>112</v>
      </c>
      <c r="Y43" s="34" t="s">
        <v>112</v>
      </c>
      <c r="Z43" s="8" t="s">
        <v>148</v>
      </c>
      <c r="AA43" s="23" t="s">
        <v>144</v>
      </c>
      <c r="AB43" s="8"/>
      <c r="AE43" s="24"/>
      <c r="AM43" s="24"/>
    </row>
    <row r="44" ht="15.75" customHeight="1">
      <c r="A44" s="8">
        <v>901.0</v>
      </c>
      <c r="B44" s="34" t="s">
        <v>498</v>
      </c>
      <c r="C44" s="34" t="s">
        <v>51</v>
      </c>
      <c r="D44" s="34" t="s">
        <v>112</v>
      </c>
      <c r="E44" s="34" t="s">
        <v>112</v>
      </c>
      <c r="F44" s="48">
        <v>43177.0</v>
      </c>
      <c r="G44" s="36">
        <v>43160.0</v>
      </c>
      <c r="H44" s="20" t="str">
        <f t="shared" si="4"/>
        <v>2018</v>
      </c>
      <c r="I44" s="8" t="s">
        <v>186</v>
      </c>
      <c r="J44" s="34" t="s">
        <v>112</v>
      </c>
      <c r="K44" s="34" t="s">
        <v>112</v>
      </c>
      <c r="L44" s="34" t="s">
        <v>100</v>
      </c>
      <c r="M44" s="37" t="s">
        <v>187</v>
      </c>
      <c r="N44" s="34" t="s">
        <v>499</v>
      </c>
      <c r="O44" s="8" t="s">
        <v>500</v>
      </c>
      <c r="P44" s="34" t="s">
        <v>106</v>
      </c>
      <c r="Q44" s="34" t="s">
        <v>112</v>
      </c>
      <c r="R44" s="34">
        <v>338662.0</v>
      </c>
      <c r="S44" s="34">
        <v>9689815.0</v>
      </c>
      <c r="T44" s="68">
        <v>-76.451476438246</v>
      </c>
      <c r="U44" s="68">
        <v>-2.80541342029677</v>
      </c>
      <c r="V44" s="34" t="s">
        <v>190</v>
      </c>
      <c r="W44" s="34" t="s">
        <v>112</v>
      </c>
      <c r="X44" s="34" t="s">
        <v>112</v>
      </c>
      <c r="Y44" s="34" t="s">
        <v>112</v>
      </c>
      <c r="Z44" s="8" t="s">
        <v>148</v>
      </c>
      <c r="AA44" s="23" t="s">
        <v>144</v>
      </c>
      <c r="AB44" s="8" t="s">
        <v>366</v>
      </c>
      <c r="AE44" s="24"/>
      <c r="AM44" s="24"/>
    </row>
    <row r="45" ht="15.75" customHeight="1">
      <c r="A45" s="8">
        <v>715.0</v>
      </c>
      <c r="B45" s="39" t="s">
        <v>501</v>
      </c>
      <c r="C45" s="59" t="s">
        <v>51</v>
      </c>
      <c r="D45" s="39" t="s">
        <v>213</v>
      </c>
      <c r="E45" s="39" t="s">
        <v>112</v>
      </c>
      <c r="F45" s="60" t="s">
        <v>502</v>
      </c>
      <c r="G45" s="74">
        <v>42461.0</v>
      </c>
      <c r="H45" s="42" t="str">
        <f t="shared" si="4"/>
        <v>2016</v>
      </c>
      <c r="I45" s="8" t="s">
        <v>63</v>
      </c>
      <c r="J45" s="39" t="s">
        <v>112</v>
      </c>
      <c r="K45" s="39" t="s">
        <v>112</v>
      </c>
      <c r="L45" s="39" t="s">
        <v>100</v>
      </c>
      <c r="M45" s="43" t="s">
        <v>112</v>
      </c>
      <c r="N45" s="39" t="s">
        <v>503</v>
      </c>
      <c r="O45" s="8" t="s">
        <v>504</v>
      </c>
      <c r="P45" s="39" t="s">
        <v>106</v>
      </c>
      <c r="Q45" s="39" t="s">
        <v>112</v>
      </c>
      <c r="R45" s="39">
        <v>338992.4</v>
      </c>
      <c r="S45" s="39">
        <v>9693065.8</v>
      </c>
      <c r="T45" s="51">
        <v>-76.44846829</v>
      </c>
      <c r="U45" s="51">
        <v>-2.77601632</v>
      </c>
      <c r="V45" s="59" t="s">
        <v>446</v>
      </c>
      <c r="W45" s="39" t="s">
        <v>112</v>
      </c>
      <c r="X45" s="39" t="s">
        <v>112</v>
      </c>
      <c r="Y45" s="39" t="s">
        <v>112</v>
      </c>
      <c r="Z45" s="8" t="s">
        <v>69</v>
      </c>
      <c r="AA45" s="23" t="s">
        <v>115</v>
      </c>
      <c r="AB45" s="8" t="s">
        <v>378</v>
      </c>
      <c r="AE45" s="24"/>
      <c r="AM45" s="24"/>
    </row>
    <row r="46" ht="15.75" customHeight="1">
      <c r="A46" s="8">
        <v>910.0</v>
      </c>
      <c r="B46" s="34" t="s">
        <v>505</v>
      </c>
      <c r="C46" s="34" t="s">
        <v>51</v>
      </c>
      <c r="D46" s="34" t="s">
        <v>112</v>
      </c>
      <c r="E46" s="34" t="s">
        <v>112</v>
      </c>
      <c r="F46" s="48">
        <v>43179.0</v>
      </c>
      <c r="G46" s="36">
        <v>43160.0</v>
      </c>
      <c r="H46" s="20" t="str">
        <f t="shared" si="4"/>
        <v>2018</v>
      </c>
      <c r="I46" s="8" t="s">
        <v>63</v>
      </c>
      <c r="J46" s="34" t="s">
        <v>112</v>
      </c>
      <c r="K46" s="34" t="s">
        <v>112</v>
      </c>
      <c r="L46" s="34" t="s">
        <v>100</v>
      </c>
      <c r="M46" s="37" t="s">
        <v>187</v>
      </c>
      <c r="N46" s="34" t="s">
        <v>506</v>
      </c>
      <c r="O46" s="8" t="s">
        <v>449</v>
      </c>
      <c r="P46" s="34" t="s">
        <v>106</v>
      </c>
      <c r="Q46" s="34" t="s">
        <v>112</v>
      </c>
      <c r="R46" s="34">
        <v>339018.0</v>
      </c>
      <c r="S46" s="34">
        <v>9693139.0</v>
      </c>
      <c r="T46" s="34">
        <v>-76.448256116621</v>
      </c>
      <c r="U46" s="34">
        <v>-2.77580671219505</v>
      </c>
      <c r="V46" s="34" t="s">
        <v>190</v>
      </c>
      <c r="W46" s="34" t="s">
        <v>112</v>
      </c>
      <c r="X46" s="34" t="s">
        <v>112</v>
      </c>
      <c r="Y46" s="34" t="s">
        <v>112</v>
      </c>
      <c r="Z46" s="8" t="s">
        <v>148</v>
      </c>
      <c r="AA46" s="23" t="s">
        <v>115</v>
      </c>
      <c r="AB46" s="8" t="s">
        <v>286</v>
      </c>
      <c r="AE46" s="24"/>
      <c r="AM46" s="24"/>
    </row>
    <row r="47" ht="15.75" customHeight="1">
      <c r="A47" s="8">
        <v>578.0</v>
      </c>
      <c r="B47" s="34" t="s">
        <v>507</v>
      </c>
      <c r="C47" s="34" t="s">
        <v>51</v>
      </c>
      <c r="D47" s="34" t="s">
        <v>508</v>
      </c>
      <c r="E47" s="34" t="s">
        <v>112</v>
      </c>
      <c r="F47" s="76">
        <v>41802.0</v>
      </c>
      <c r="G47" s="77">
        <v>41791.0</v>
      </c>
      <c r="H47" s="20" t="str">
        <f t="shared" si="4"/>
        <v>2014</v>
      </c>
      <c r="I47" s="8" t="s">
        <v>176</v>
      </c>
      <c r="J47" s="34" t="s">
        <v>112</v>
      </c>
      <c r="K47" s="34" t="s">
        <v>112</v>
      </c>
      <c r="L47" s="34" t="s">
        <v>100</v>
      </c>
      <c r="M47" s="37" t="s">
        <v>177</v>
      </c>
      <c r="N47" s="34" t="s">
        <v>112</v>
      </c>
      <c r="O47" s="23" t="s">
        <v>509</v>
      </c>
      <c r="P47" s="34" t="s">
        <v>106</v>
      </c>
      <c r="Q47" s="34" t="s">
        <v>112</v>
      </c>
      <c r="R47" s="34">
        <v>339031.0</v>
      </c>
      <c r="S47" s="34">
        <v>9688485.0</v>
      </c>
      <c r="T47" s="65">
        <v>-2.8174463</v>
      </c>
      <c r="U47" s="65">
        <v>-76.448172</v>
      </c>
      <c r="V47" s="34" t="s">
        <v>109</v>
      </c>
      <c r="W47" s="34" t="s">
        <v>112</v>
      </c>
      <c r="X47" s="34" t="s">
        <v>112</v>
      </c>
      <c r="Y47" s="34" t="s">
        <v>112</v>
      </c>
      <c r="Z47" s="8" t="s">
        <v>149</v>
      </c>
      <c r="AA47" s="23" t="s">
        <v>115</v>
      </c>
      <c r="AB47" s="8"/>
      <c r="AE47" s="24"/>
      <c r="AM47" s="24"/>
    </row>
    <row r="48" ht="15.75" customHeight="1">
      <c r="A48" s="8">
        <v>747.0</v>
      </c>
      <c r="B48" s="39" t="s">
        <v>510</v>
      </c>
      <c r="C48" s="59" t="s">
        <v>53</v>
      </c>
      <c r="D48" s="39" t="s">
        <v>511</v>
      </c>
      <c r="E48" s="39" t="s">
        <v>112</v>
      </c>
      <c r="F48" s="60" t="s">
        <v>512</v>
      </c>
      <c r="G48" s="41">
        <v>42614.0</v>
      </c>
      <c r="H48" s="42" t="str">
        <f t="shared" si="4"/>
        <v>2016</v>
      </c>
      <c r="I48" s="8" t="s">
        <v>176</v>
      </c>
      <c r="J48" s="39" t="s">
        <v>112</v>
      </c>
      <c r="K48" s="39" t="s">
        <v>112</v>
      </c>
      <c r="L48" s="39" t="s">
        <v>100</v>
      </c>
      <c r="M48" s="78" t="s">
        <v>513</v>
      </c>
      <c r="N48" s="39" t="s">
        <v>514</v>
      </c>
      <c r="O48" s="8" t="s">
        <v>515</v>
      </c>
      <c r="P48" s="39" t="s">
        <v>106</v>
      </c>
      <c r="Q48" s="39" t="s">
        <v>112</v>
      </c>
      <c r="R48" s="51">
        <v>339568.0</v>
      </c>
      <c r="S48" s="51">
        <v>9688832.0</v>
      </c>
      <c r="T48" s="39" t="s">
        <v>112</v>
      </c>
      <c r="U48" s="39" t="s">
        <v>112</v>
      </c>
      <c r="V48" s="59" t="s">
        <v>190</v>
      </c>
      <c r="W48" s="39" t="s">
        <v>112</v>
      </c>
      <c r="X48" s="39" t="s">
        <v>112</v>
      </c>
      <c r="Y48" s="39" t="s">
        <v>112</v>
      </c>
      <c r="Z48" s="8" t="s">
        <v>69</v>
      </c>
      <c r="AA48" s="23" t="s">
        <v>115</v>
      </c>
      <c r="AB48" s="8" t="s">
        <v>378</v>
      </c>
      <c r="AE48" s="24"/>
      <c r="AM48" s="24"/>
    </row>
    <row r="49" ht="15.75" customHeight="1">
      <c r="A49" s="8">
        <v>5.0</v>
      </c>
      <c r="B49" s="17" t="s">
        <v>516</v>
      </c>
      <c r="C49" s="8" t="s">
        <v>51</v>
      </c>
      <c r="D49" s="8" t="s">
        <v>225</v>
      </c>
      <c r="E49" s="8" t="s">
        <v>90</v>
      </c>
      <c r="F49" s="27">
        <v>43477.0</v>
      </c>
      <c r="G49" s="17" t="s">
        <v>112</v>
      </c>
      <c r="H49" s="28" t="s">
        <v>112</v>
      </c>
      <c r="I49" s="8" t="s">
        <v>97</v>
      </c>
      <c r="J49" s="8" t="s">
        <v>230</v>
      </c>
      <c r="K49" s="8" t="s">
        <v>164</v>
      </c>
      <c r="L49" s="17" t="s">
        <v>100</v>
      </c>
      <c r="M49" s="8" t="s">
        <v>150</v>
      </c>
      <c r="N49" s="8" t="s">
        <v>517</v>
      </c>
      <c r="O49" s="23" t="s">
        <v>518</v>
      </c>
      <c r="P49" s="8" t="s">
        <v>106</v>
      </c>
      <c r="Q49" s="8"/>
      <c r="R49" s="8">
        <v>339739.0</v>
      </c>
      <c r="S49" s="8">
        <v>9691248.0</v>
      </c>
      <c r="T49" s="8"/>
      <c r="U49" s="8"/>
      <c r="V49" s="8" t="s">
        <v>519</v>
      </c>
      <c r="W49" s="8" t="s">
        <v>520</v>
      </c>
      <c r="X49" s="8">
        <v>1.0</v>
      </c>
      <c r="Y49" s="8" t="s">
        <v>521</v>
      </c>
      <c r="Z49" s="23" t="s">
        <v>42</v>
      </c>
      <c r="AA49" s="23" t="s">
        <v>115</v>
      </c>
      <c r="AB49" s="8" t="s">
        <v>346</v>
      </c>
      <c r="AE49" s="24"/>
      <c r="AM49" s="24"/>
    </row>
    <row r="50" ht="15.75" customHeight="1">
      <c r="A50" s="8">
        <v>508.0</v>
      </c>
      <c r="B50" s="34" t="s">
        <v>522</v>
      </c>
      <c r="C50" s="34" t="s">
        <v>53</v>
      </c>
      <c r="D50" s="34" t="s">
        <v>523</v>
      </c>
      <c r="E50" s="34" t="s">
        <v>112</v>
      </c>
      <c r="F50" s="35">
        <v>41412.0</v>
      </c>
      <c r="G50" s="36">
        <v>41395.0</v>
      </c>
      <c r="H50" s="20" t="str">
        <f t="shared" ref="H50:H67" si="5">TEXT(G50, "yyyy")</f>
        <v>2013</v>
      </c>
      <c r="I50" s="8" t="s">
        <v>63</v>
      </c>
      <c r="J50" s="34" t="s">
        <v>112</v>
      </c>
      <c r="K50" s="34" t="s">
        <v>112</v>
      </c>
      <c r="L50" s="34" t="s">
        <v>100</v>
      </c>
      <c r="M50" s="37" t="s">
        <v>524</v>
      </c>
      <c r="N50" s="34" t="s">
        <v>525</v>
      </c>
      <c r="O50" s="8" t="s">
        <v>526</v>
      </c>
      <c r="P50" s="34" t="s">
        <v>106</v>
      </c>
      <c r="Q50" s="34" t="s">
        <v>112</v>
      </c>
      <c r="R50" s="34">
        <v>339742.0</v>
      </c>
      <c r="S50" s="34">
        <v>9691903.0</v>
      </c>
      <c r="T50" s="38">
        <v>-2.7865411</v>
      </c>
      <c r="U50" s="38">
        <v>-76.441739</v>
      </c>
      <c r="V50" s="34" t="s">
        <v>527</v>
      </c>
      <c r="W50" s="34" t="s">
        <v>112</v>
      </c>
      <c r="X50" s="34">
        <v>1.0</v>
      </c>
      <c r="Y50" s="34" t="s">
        <v>528</v>
      </c>
      <c r="Z50" s="8" t="s">
        <v>149</v>
      </c>
      <c r="AA50" s="23" t="s">
        <v>115</v>
      </c>
      <c r="AB50" s="8"/>
      <c r="AE50" s="24"/>
      <c r="AM50" s="24"/>
    </row>
    <row r="51" ht="15.75" customHeight="1">
      <c r="A51" s="8">
        <v>909.0</v>
      </c>
      <c r="B51" s="34" t="s">
        <v>529</v>
      </c>
      <c r="C51" s="34" t="s">
        <v>51</v>
      </c>
      <c r="D51" s="34" t="s">
        <v>112</v>
      </c>
      <c r="E51" s="34" t="s">
        <v>112</v>
      </c>
      <c r="F51" s="48">
        <v>43178.0</v>
      </c>
      <c r="G51" s="36">
        <v>43160.0</v>
      </c>
      <c r="H51" s="20" t="str">
        <f t="shared" si="5"/>
        <v>2018</v>
      </c>
      <c r="I51" s="8" t="s">
        <v>186</v>
      </c>
      <c r="J51" s="34" t="s">
        <v>112</v>
      </c>
      <c r="K51" s="34" t="s">
        <v>112</v>
      </c>
      <c r="L51" s="34" t="s">
        <v>100</v>
      </c>
      <c r="M51" s="37" t="s">
        <v>112</v>
      </c>
      <c r="N51" s="34" t="s">
        <v>530</v>
      </c>
      <c r="O51" s="23" t="s">
        <v>449</v>
      </c>
      <c r="P51" s="34" t="s">
        <v>106</v>
      </c>
      <c r="Q51" s="34" t="s">
        <v>112</v>
      </c>
      <c r="R51" s="68">
        <v>339747.0</v>
      </c>
      <c r="S51" s="68">
        <v>9691919.0</v>
      </c>
      <c r="T51" s="34" t="s">
        <v>112</v>
      </c>
      <c r="U51" s="34" t="s">
        <v>112</v>
      </c>
      <c r="V51" s="34" t="s">
        <v>190</v>
      </c>
      <c r="W51" s="34" t="s">
        <v>112</v>
      </c>
      <c r="X51" s="34" t="s">
        <v>112</v>
      </c>
      <c r="Y51" s="34" t="s">
        <v>112</v>
      </c>
      <c r="Z51" s="8" t="s">
        <v>148</v>
      </c>
      <c r="AA51" s="23" t="s">
        <v>144</v>
      </c>
      <c r="AB51" s="8"/>
      <c r="AE51" s="24"/>
      <c r="AM51" s="24"/>
    </row>
    <row r="52" ht="15.75" customHeight="1">
      <c r="A52" s="8">
        <v>687.0</v>
      </c>
      <c r="B52" s="39" t="s">
        <v>531</v>
      </c>
      <c r="C52" s="59" t="s">
        <v>51</v>
      </c>
      <c r="D52" s="39" t="s">
        <v>213</v>
      </c>
      <c r="E52" s="39" t="s">
        <v>112</v>
      </c>
      <c r="F52" s="60" t="s">
        <v>532</v>
      </c>
      <c r="G52" s="41">
        <v>42430.0</v>
      </c>
      <c r="H52" s="42" t="str">
        <f t="shared" si="5"/>
        <v>2016</v>
      </c>
      <c r="I52" s="8" t="s">
        <v>63</v>
      </c>
      <c r="J52" s="39" t="s">
        <v>112</v>
      </c>
      <c r="K52" s="39" t="s">
        <v>112</v>
      </c>
      <c r="L52" s="39" t="s">
        <v>100</v>
      </c>
      <c r="M52" s="43" t="s">
        <v>112</v>
      </c>
      <c r="N52" s="39" t="s">
        <v>533</v>
      </c>
      <c r="O52" s="8" t="s">
        <v>534</v>
      </c>
      <c r="P52" s="39" t="s">
        <v>106</v>
      </c>
      <c r="Q52" s="39" t="s">
        <v>112</v>
      </c>
      <c r="R52" s="39">
        <v>339747.3</v>
      </c>
      <c r="S52" s="39">
        <v>9691918.6</v>
      </c>
      <c r="T52" s="51">
        <v>-76.44169127</v>
      </c>
      <c r="U52" s="51">
        <v>-2.78640005</v>
      </c>
      <c r="V52" s="59" t="s">
        <v>446</v>
      </c>
      <c r="W52" s="39" t="s">
        <v>112</v>
      </c>
      <c r="X52" s="39" t="s">
        <v>112</v>
      </c>
      <c r="Y52" s="39" t="s">
        <v>112</v>
      </c>
      <c r="Z52" s="8" t="s">
        <v>69</v>
      </c>
      <c r="AA52" s="23" t="s">
        <v>115</v>
      </c>
      <c r="AB52" s="8" t="s">
        <v>378</v>
      </c>
      <c r="AE52" s="24"/>
      <c r="AM52" s="24"/>
    </row>
    <row r="53" ht="15.75" customHeight="1">
      <c r="A53" s="8">
        <v>510.0</v>
      </c>
      <c r="B53" s="34" t="s">
        <v>535</v>
      </c>
      <c r="C53" s="34" t="s">
        <v>53</v>
      </c>
      <c r="D53" s="34" t="s">
        <v>523</v>
      </c>
      <c r="E53" s="34" t="s">
        <v>112</v>
      </c>
      <c r="F53" s="35">
        <v>41589.0</v>
      </c>
      <c r="G53" s="36">
        <v>41579.0</v>
      </c>
      <c r="H53" s="20" t="str">
        <f t="shared" si="5"/>
        <v>2013</v>
      </c>
      <c r="I53" s="8" t="s">
        <v>186</v>
      </c>
      <c r="J53" s="34" t="s">
        <v>112</v>
      </c>
      <c r="K53" s="34" t="s">
        <v>112</v>
      </c>
      <c r="L53" s="34" t="s">
        <v>100</v>
      </c>
      <c r="M53" s="68" t="s">
        <v>177</v>
      </c>
      <c r="N53" s="34" t="s">
        <v>536</v>
      </c>
      <c r="O53" s="8" t="s">
        <v>537</v>
      </c>
      <c r="P53" s="34" t="s">
        <v>106</v>
      </c>
      <c r="Q53" s="34" t="s">
        <v>112</v>
      </c>
      <c r="R53" s="34">
        <v>340033.0</v>
      </c>
      <c r="S53" s="34">
        <v>9689079.0</v>
      </c>
      <c r="T53" s="65">
        <v>-2.8120852</v>
      </c>
      <c r="U53" s="65">
        <v>-76.439153</v>
      </c>
      <c r="V53" s="34" t="s">
        <v>112</v>
      </c>
      <c r="W53" s="34" t="s">
        <v>112</v>
      </c>
      <c r="X53" s="34">
        <v>0.0</v>
      </c>
      <c r="Y53" s="34" t="s">
        <v>112</v>
      </c>
      <c r="Z53" s="8" t="s">
        <v>149</v>
      </c>
      <c r="AA53" s="23" t="s">
        <v>115</v>
      </c>
      <c r="AB53" s="8"/>
      <c r="AE53" s="24"/>
      <c r="AM53" s="24"/>
    </row>
    <row r="54" ht="15.75" customHeight="1">
      <c r="A54" s="8">
        <v>507.0</v>
      </c>
      <c r="B54" s="34" t="s">
        <v>538</v>
      </c>
      <c r="C54" s="34" t="s">
        <v>51</v>
      </c>
      <c r="D54" s="34" t="s">
        <v>112</v>
      </c>
      <c r="E54" s="34" t="s">
        <v>112</v>
      </c>
      <c r="F54" s="35">
        <v>41412.0</v>
      </c>
      <c r="G54" s="36">
        <v>41395.0</v>
      </c>
      <c r="H54" s="20" t="str">
        <f t="shared" si="5"/>
        <v>2013</v>
      </c>
      <c r="I54" s="8" t="s">
        <v>186</v>
      </c>
      <c r="J54" s="34" t="s">
        <v>112</v>
      </c>
      <c r="K54" s="34" t="s">
        <v>112</v>
      </c>
      <c r="L54" s="34" t="s">
        <v>100</v>
      </c>
      <c r="M54" s="37" t="s">
        <v>524</v>
      </c>
      <c r="N54" s="34" t="s">
        <v>539</v>
      </c>
      <c r="O54" s="8" t="s">
        <v>540</v>
      </c>
      <c r="P54" s="34" t="s">
        <v>106</v>
      </c>
      <c r="Q54" s="34" t="s">
        <v>112</v>
      </c>
      <c r="R54" s="34">
        <v>340066.0</v>
      </c>
      <c r="S54" s="34">
        <v>9691912.0</v>
      </c>
      <c r="T54" s="38">
        <v>-2.7864633</v>
      </c>
      <c r="U54" s="38">
        <v>-76.438824</v>
      </c>
      <c r="V54" s="34" t="s">
        <v>541</v>
      </c>
      <c r="W54" s="34" t="s">
        <v>112</v>
      </c>
      <c r="X54" s="34" t="s">
        <v>112</v>
      </c>
      <c r="Y54" s="34" t="s">
        <v>112</v>
      </c>
      <c r="Z54" s="8" t="s">
        <v>149</v>
      </c>
      <c r="AA54" s="23" t="s">
        <v>115</v>
      </c>
      <c r="AB54" s="8"/>
      <c r="AE54" s="24"/>
      <c r="AM54" s="24"/>
    </row>
    <row r="55" ht="15.75" customHeight="1">
      <c r="A55" s="8">
        <v>716.0</v>
      </c>
      <c r="B55" s="39" t="s">
        <v>542</v>
      </c>
      <c r="C55" s="59" t="s">
        <v>51</v>
      </c>
      <c r="D55" s="39" t="s">
        <v>213</v>
      </c>
      <c r="E55" s="39" t="s">
        <v>112</v>
      </c>
      <c r="F55" s="60" t="s">
        <v>502</v>
      </c>
      <c r="G55" s="74">
        <v>42461.0</v>
      </c>
      <c r="H55" s="42" t="str">
        <f t="shared" si="5"/>
        <v>2016</v>
      </c>
      <c r="I55" s="8" t="s">
        <v>186</v>
      </c>
      <c r="J55" s="39" t="s">
        <v>112</v>
      </c>
      <c r="K55" s="39" t="s">
        <v>112</v>
      </c>
      <c r="L55" s="39" t="s">
        <v>100</v>
      </c>
      <c r="M55" s="43" t="s">
        <v>177</v>
      </c>
      <c r="N55" s="39" t="s">
        <v>543</v>
      </c>
      <c r="O55" s="8" t="s">
        <v>544</v>
      </c>
      <c r="P55" s="39" t="s">
        <v>106</v>
      </c>
      <c r="Q55" s="39" t="s">
        <v>112</v>
      </c>
      <c r="R55" s="39">
        <v>340490.1</v>
      </c>
      <c r="S55" s="39">
        <v>9692263.6</v>
      </c>
      <c r="T55" s="51">
        <v>-76.43500695</v>
      </c>
      <c r="U55" s="51">
        <v>-2.78328811</v>
      </c>
      <c r="V55" s="59" t="s">
        <v>446</v>
      </c>
      <c r="W55" s="39" t="s">
        <v>112</v>
      </c>
      <c r="X55" s="39" t="s">
        <v>112</v>
      </c>
      <c r="Y55" s="39" t="s">
        <v>112</v>
      </c>
      <c r="Z55" s="8" t="s">
        <v>69</v>
      </c>
      <c r="AA55" s="23" t="s">
        <v>115</v>
      </c>
      <c r="AB55" s="8" t="s">
        <v>378</v>
      </c>
      <c r="AE55" s="24"/>
      <c r="AM55" s="24"/>
    </row>
    <row r="56" ht="15.75" customHeight="1">
      <c r="A56" s="8">
        <v>797.0</v>
      </c>
      <c r="B56" s="34" t="s">
        <v>545</v>
      </c>
      <c r="C56" s="34" t="s">
        <v>51</v>
      </c>
      <c r="D56" s="34" t="s">
        <v>112</v>
      </c>
      <c r="E56" s="34" t="s">
        <v>112</v>
      </c>
      <c r="F56" s="48">
        <v>42844.0</v>
      </c>
      <c r="G56" s="36">
        <v>42826.0</v>
      </c>
      <c r="H56" s="20" t="str">
        <f t="shared" si="5"/>
        <v>2017</v>
      </c>
      <c r="I56" s="8" t="s">
        <v>186</v>
      </c>
      <c r="J56" s="34" t="s">
        <v>112</v>
      </c>
      <c r="K56" s="34" t="s">
        <v>112</v>
      </c>
      <c r="L56" s="34" t="s">
        <v>100</v>
      </c>
      <c r="M56" s="37" t="s">
        <v>112</v>
      </c>
      <c r="N56" s="34" t="s">
        <v>546</v>
      </c>
      <c r="O56" s="8" t="s">
        <v>547</v>
      </c>
      <c r="P56" s="34" t="s">
        <v>106</v>
      </c>
      <c r="Q56" s="34" t="s">
        <v>112</v>
      </c>
      <c r="R56" s="34">
        <v>340493.1</v>
      </c>
      <c r="S56" s="34">
        <v>9692281.8</v>
      </c>
      <c r="T56" s="68">
        <v>-76.43497895</v>
      </c>
      <c r="U56" s="68">
        <v>-2.78312316</v>
      </c>
      <c r="V56" s="34" t="s">
        <v>548</v>
      </c>
      <c r="W56" s="34" t="s">
        <v>112</v>
      </c>
      <c r="X56" s="34" t="s">
        <v>112</v>
      </c>
      <c r="Y56" s="34" t="s">
        <v>112</v>
      </c>
      <c r="Z56" s="8" t="s">
        <v>148</v>
      </c>
      <c r="AA56" s="23" t="s">
        <v>144</v>
      </c>
      <c r="AB56" s="8"/>
      <c r="AE56" s="24"/>
      <c r="AM56" s="24"/>
    </row>
    <row r="57" ht="15.75" customHeight="1">
      <c r="A57" s="8">
        <v>477.0</v>
      </c>
      <c r="B57" s="34" t="s">
        <v>549</v>
      </c>
      <c r="C57" s="34" t="s">
        <v>51</v>
      </c>
      <c r="D57" s="34" t="s">
        <v>112</v>
      </c>
      <c r="E57" s="34" t="s">
        <v>112</v>
      </c>
      <c r="F57" s="35">
        <v>41051.0</v>
      </c>
      <c r="G57" s="36">
        <v>41030.0</v>
      </c>
      <c r="H57" s="20" t="str">
        <f t="shared" si="5"/>
        <v>2012</v>
      </c>
      <c r="I57" s="8" t="s">
        <v>186</v>
      </c>
      <c r="J57" s="34" t="s">
        <v>112</v>
      </c>
      <c r="K57" s="34" t="s">
        <v>112</v>
      </c>
      <c r="L57" s="34" t="s">
        <v>100</v>
      </c>
      <c r="M57" s="37" t="s">
        <v>112</v>
      </c>
      <c r="N57" s="34" t="s">
        <v>550</v>
      </c>
      <c r="O57" s="8" t="s">
        <v>551</v>
      </c>
      <c r="P57" s="34" t="s">
        <v>106</v>
      </c>
      <c r="Q57" s="34" t="s">
        <v>112</v>
      </c>
      <c r="R57" s="34">
        <v>340535.0</v>
      </c>
      <c r="S57" s="34">
        <v>9692316.0</v>
      </c>
      <c r="T57" s="38">
        <v>-2.7828146</v>
      </c>
      <c r="U57" s="38">
        <v>-76.434602</v>
      </c>
      <c r="V57" s="34" t="s">
        <v>480</v>
      </c>
      <c r="W57" s="34" t="s">
        <v>112</v>
      </c>
      <c r="X57" s="34">
        <v>0.0</v>
      </c>
      <c r="Y57" s="34" t="s">
        <v>112</v>
      </c>
      <c r="Z57" s="8" t="s">
        <v>149</v>
      </c>
      <c r="AA57" s="23" t="s">
        <v>115</v>
      </c>
      <c r="AB57" s="8"/>
      <c r="AE57" s="24"/>
      <c r="AM57" s="24"/>
    </row>
    <row r="58" ht="15.75" customHeight="1">
      <c r="A58" s="8">
        <v>905.0</v>
      </c>
      <c r="B58" s="34" t="s">
        <v>552</v>
      </c>
      <c r="C58" s="34" t="s">
        <v>51</v>
      </c>
      <c r="D58" s="34" t="s">
        <v>112</v>
      </c>
      <c r="E58" s="34" t="s">
        <v>112</v>
      </c>
      <c r="F58" s="48">
        <v>43178.0</v>
      </c>
      <c r="G58" s="36">
        <v>43160.0</v>
      </c>
      <c r="H58" s="20" t="str">
        <f t="shared" si="5"/>
        <v>2018</v>
      </c>
      <c r="I58" s="8" t="s">
        <v>186</v>
      </c>
      <c r="J58" s="34" t="s">
        <v>112</v>
      </c>
      <c r="K58" s="34" t="s">
        <v>112</v>
      </c>
      <c r="L58" s="34" t="s">
        <v>100</v>
      </c>
      <c r="M58" s="37" t="s">
        <v>112</v>
      </c>
      <c r="N58" s="34" t="s">
        <v>553</v>
      </c>
      <c r="O58" s="8" t="s">
        <v>449</v>
      </c>
      <c r="P58" s="34" t="s">
        <v>106</v>
      </c>
      <c r="Q58" s="34" t="s">
        <v>112</v>
      </c>
      <c r="R58" s="34">
        <v>340541.0</v>
      </c>
      <c r="S58" s="34">
        <v>9691816.0</v>
      </c>
      <c r="T58" s="68">
        <v>-76.4345536208</v>
      </c>
      <c r="U58" s="79">
        <v>-2.78733684340023</v>
      </c>
      <c r="V58" s="34" t="s">
        <v>190</v>
      </c>
      <c r="W58" s="34" t="s">
        <v>112</v>
      </c>
      <c r="X58" s="34" t="s">
        <v>112</v>
      </c>
      <c r="Y58" s="34" t="s">
        <v>112</v>
      </c>
      <c r="Z58" s="8" t="s">
        <v>148</v>
      </c>
      <c r="AA58" s="23" t="s">
        <v>144</v>
      </c>
      <c r="AB58" s="8"/>
      <c r="AE58" s="24"/>
      <c r="AM58" s="24"/>
    </row>
    <row r="59" ht="15.75" customHeight="1">
      <c r="A59" s="8">
        <v>734.0</v>
      </c>
      <c r="B59" s="80" t="s">
        <v>554</v>
      </c>
      <c r="C59" s="59" t="s">
        <v>51</v>
      </c>
      <c r="D59" s="39" t="s">
        <v>112</v>
      </c>
      <c r="E59" s="39" t="s">
        <v>112</v>
      </c>
      <c r="F59" s="60" t="s">
        <v>555</v>
      </c>
      <c r="G59" s="41">
        <v>42552.0</v>
      </c>
      <c r="H59" s="42" t="str">
        <f t="shared" si="5"/>
        <v>2016</v>
      </c>
      <c r="I59" s="8" t="s">
        <v>186</v>
      </c>
      <c r="J59" s="39" t="s">
        <v>112</v>
      </c>
      <c r="K59" s="39" t="s">
        <v>112</v>
      </c>
      <c r="L59" s="39" t="s">
        <v>100</v>
      </c>
      <c r="M59" s="43" t="s">
        <v>112</v>
      </c>
      <c r="N59" s="39" t="s">
        <v>556</v>
      </c>
      <c r="O59" s="8" t="s">
        <v>557</v>
      </c>
      <c r="P59" s="39" t="s">
        <v>106</v>
      </c>
      <c r="Q59" s="39" t="s">
        <v>112</v>
      </c>
      <c r="R59" s="39">
        <v>340541.4</v>
      </c>
      <c r="S59" s="39">
        <v>9691798.1</v>
      </c>
      <c r="T59" s="51">
        <v>-76.43455015</v>
      </c>
      <c r="U59" s="51">
        <v>-2.78749902</v>
      </c>
      <c r="V59" s="39" t="s">
        <v>548</v>
      </c>
      <c r="W59" s="39" t="s">
        <v>112</v>
      </c>
      <c r="X59" s="39" t="s">
        <v>112</v>
      </c>
      <c r="Y59" s="39" t="s">
        <v>112</v>
      </c>
      <c r="Z59" s="8" t="s">
        <v>69</v>
      </c>
      <c r="AA59" s="23" t="s">
        <v>115</v>
      </c>
      <c r="AB59" s="8" t="s">
        <v>329</v>
      </c>
      <c r="AE59" s="24"/>
      <c r="AM59" s="24"/>
    </row>
    <row r="60" ht="15.75" customHeight="1">
      <c r="A60" s="8">
        <v>906.0</v>
      </c>
      <c r="B60" s="34" t="s">
        <v>558</v>
      </c>
      <c r="C60" s="34" t="s">
        <v>51</v>
      </c>
      <c r="D60" s="34" t="s">
        <v>112</v>
      </c>
      <c r="E60" s="34" t="s">
        <v>112</v>
      </c>
      <c r="F60" s="48">
        <v>43178.0</v>
      </c>
      <c r="G60" s="36">
        <v>43160.0</v>
      </c>
      <c r="H60" s="20" t="str">
        <f t="shared" si="5"/>
        <v>2018</v>
      </c>
      <c r="I60" s="8" t="s">
        <v>186</v>
      </c>
      <c r="J60" s="34" t="s">
        <v>112</v>
      </c>
      <c r="K60" s="34" t="s">
        <v>112</v>
      </c>
      <c r="L60" s="34" t="s">
        <v>100</v>
      </c>
      <c r="M60" s="37" t="s">
        <v>112</v>
      </c>
      <c r="N60" s="34" t="s">
        <v>112</v>
      </c>
      <c r="O60" s="8" t="s">
        <v>449</v>
      </c>
      <c r="P60" s="34" t="s">
        <v>106</v>
      </c>
      <c r="Q60" s="34" t="s">
        <v>112</v>
      </c>
      <c r="R60" s="34">
        <v>340550.0</v>
      </c>
      <c r="S60" s="34">
        <v>9691818.0</v>
      </c>
      <c r="T60" s="34" t="s">
        <v>112</v>
      </c>
      <c r="U60" s="34" t="s">
        <v>112</v>
      </c>
      <c r="V60" s="34" t="s">
        <v>190</v>
      </c>
      <c r="W60" s="34" t="s">
        <v>112</v>
      </c>
      <c r="X60" s="34" t="s">
        <v>112</v>
      </c>
      <c r="Y60" s="34" t="s">
        <v>112</v>
      </c>
      <c r="Z60" s="8" t="s">
        <v>148</v>
      </c>
      <c r="AA60" s="23" t="s">
        <v>144</v>
      </c>
      <c r="AB60" s="8"/>
      <c r="AE60" s="24"/>
      <c r="AM60" s="24"/>
    </row>
    <row r="61" ht="15.75" customHeight="1">
      <c r="A61" s="8">
        <v>907.0</v>
      </c>
      <c r="B61" s="34" t="s">
        <v>559</v>
      </c>
      <c r="C61" s="34" t="s">
        <v>51</v>
      </c>
      <c r="D61" s="34" t="s">
        <v>112</v>
      </c>
      <c r="E61" s="34" t="s">
        <v>112</v>
      </c>
      <c r="F61" s="48">
        <v>43178.0</v>
      </c>
      <c r="G61" s="36">
        <v>43160.0</v>
      </c>
      <c r="H61" s="20" t="str">
        <f t="shared" si="5"/>
        <v>2018</v>
      </c>
      <c r="I61" s="8" t="s">
        <v>186</v>
      </c>
      <c r="J61" s="34" t="s">
        <v>112</v>
      </c>
      <c r="K61" s="34" t="s">
        <v>112</v>
      </c>
      <c r="L61" s="34" t="s">
        <v>100</v>
      </c>
      <c r="M61" s="37" t="s">
        <v>112</v>
      </c>
      <c r="N61" s="34" t="s">
        <v>553</v>
      </c>
      <c r="O61" s="8"/>
      <c r="P61" s="34" t="s">
        <v>106</v>
      </c>
      <c r="Q61" s="34" t="s">
        <v>112</v>
      </c>
      <c r="R61" s="34">
        <v>340576.0</v>
      </c>
      <c r="S61" s="34">
        <v>9691831.0</v>
      </c>
      <c r="T61" s="34" t="s">
        <v>112</v>
      </c>
      <c r="U61" s="34" t="s">
        <v>112</v>
      </c>
      <c r="V61" s="34" t="s">
        <v>190</v>
      </c>
      <c r="W61" s="34" t="s">
        <v>112</v>
      </c>
      <c r="X61" s="34" t="s">
        <v>112</v>
      </c>
      <c r="Y61" s="34" t="s">
        <v>112</v>
      </c>
      <c r="Z61" s="8" t="s">
        <v>148</v>
      </c>
      <c r="AA61" s="23" t="s">
        <v>144</v>
      </c>
      <c r="AB61" s="8"/>
      <c r="AE61" s="24"/>
      <c r="AM61" s="24"/>
    </row>
    <row r="62" ht="15.75" customHeight="1">
      <c r="A62" s="8">
        <v>908.0</v>
      </c>
      <c r="B62" s="34" t="s">
        <v>560</v>
      </c>
      <c r="C62" s="34" t="s">
        <v>51</v>
      </c>
      <c r="D62" s="34" t="s">
        <v>112</v>
      </c>
      <c r="E62" s="34" t="s">
        <v>112</v>
      </c>
      <c r="F62" s="48">
        <v>43178.0</v>
      </c>
      <c r="G62" s="36">
        <v>43160.0</v>
      </c>
      <c r="H62" s="20" t="str">
        <f t="shared" si="5"/>
        <v>2018</v>
      </c>
      <c r="I62" s="8" t="s">
        <v>186</v>
      </c>
      <c r="J62" s="34" t="s">
        <v>112</v>
      </c>
      <c r="K62" s="34" t="s">
        <v>112</v>
      </c>
      <c r="L62" s="34" t="s">
        <v>100</v>
      </c>
      <c r="M62" s="37" t="s">
        <v>112</v>
      </c>
      <c r="N62" s="34" t="s">
        <v>553</v>
      </c>
      <c r="O62" s="8"/>
      <c r="P62" s="34" t="s">
        <v>106</v>
      </c>
      <c r="Q62" s="34" t="s">
        <v>112</v>
      </c>
      <c r="R62" s="34">
        <v>340581.0</v>
      </c>
      <c r="S62" s="34">
        <v>9691812.0</v>
      </c>
      <c r="T62" s="34" t="s">
        <v>112</v>
      </c>
      <c r="U62" s="34" t="s">
        <v>112</v>
      </c>
      <c r="V62" s="34" t="s">
        <v>190</v>
      </c>
      <c r="W62" s="34" t="s">
        <v>112</v>
      </c>
      <c r="X62" s="34" t="s">
        <v>112</v>
      </c>
      <c r="Y62" s="34" t="s">
        <v>112</v>
      </c>
      <c r="Z62" s="8" t="s">
        <v>148</v>
      </c>
      <c r="AA62" s="23" t="s">
        <v>144</v>
      </c>
      <c r="AB62" s="8"/>
      <c r="AE62" s="24"/>
      <c r="AM62" s="24"/>
    </row>
    <row r="63" ht="15.75" customHeight="1">
      <c r="A63" s="8">
        <v>479.0</v>
      </c>
      <c r="B63" s="34" t="s">
        <v>561</v>
      </c>
      <c r="C63" s="34" t="s">
        <v>51</v>
      </c>
      <c r="D63" s="34" t="s">
        <v>112</v>
      </c>
      <c r="E63" s="34" t="s">
        <v>112</v>
      </c>
      <c r="F63" s="35">
        <v>41061.0</v>
      </c>
      <c r="G63" s="36">
        <v>41061.0</v>
      </c>
      <c r="H63" s="20" t="str">
        <f t="shared" si="5"/>
        <v>2012</v>
      </c>
      <c r="I63" s="8" t="s">
        <v>63</v>
      </c>
      <c r="J63" s="34" t="s">
        <v>112</v>
      </c>
      <c r="K63" s="34" t="s">
        <v>112</v>
      </c>
      <c r="L63" s="34" t="s">
        <v>100</v>
      </c>
      <c r="M63" s="37" t="s">
        <v>112</v>
      </c>
      <c r="N63" s="34" t="s">
        <v>112</v>
      </c>
      <c r="O63" s="8" t="s">
        <v>562</v>
      </c>
      <c r="P63" s="34" t="s">
        <v>106</v>
      </c>
      <c r="Q63" s="34" t="s">
        <v>112</v>
      </c>
      <c r="R63" s="34">
        <v>340649.0</v>
      </c>
      <c r="S63" s="34">
        <v>9692316.0</v>
      </c>
      <c r="T63" s="38">
        <v>-2.7828159</v>
      </c>
      <c r="U63" s="38">
        <v>-76.433576</v>
      </c>
      <c r="V63" s="34" t="s">
        <v>480</v>
      </c>
      <c r="W63" s="34" t="s">
        <v>112</v>
      </c>
      <c r="X63" s="34" t="s">
        <v>112</v>
      </c>
      <c r="Y63" s="34" t="s">
        <v>112</v>
      </c>
      <c r="Z63" s="8" t="s">
        <v>149</v>
      </c>
      <c r="AA63" s="23" t="s">
        <v>115</v>
      </c>
      <c r="AB63" s="8"/>
      <c r="AE63" s="24"/>
      <c r="AM63" s="24"/>
    </row>
    <row r="64" ht="15.75" customHeight="1">
      <c r="A64" s="8">
        <v>913.0</v>
      </c>
      <c r="B64" s="81" t="s">
        <v>563</v>
      </c>
      <c r="C64" s="81" t="s">
        <v>51</v>
      </c>
      <c r="D64" s="81" t="s">
        <v>112</v>
      </c>
      <c r="E64" s="81" t="s">
        <v>112</v>
      </c>
      <c r="F64" s="48">
        <v>43180.0</v>
      </c>
      <c r="G64" s="82">
        <v>43160.0</v>
      </c>
      <c r="H64" s="83" t="str">
        <f t="shared" si="5"/>
        <v>2018</v>
      </c>
      <c r="I64" s="8" t="s">
        <v>186</v>
      </c>
      <c r="J64" s="81" t="s">
        <v>112</v>
      </c>
      <c r="K64" s="81" t="s">
        <v>112</v>
      </c>
      <c r="L64" s="81" t="s">
        <v>100</v>
      </c>
      <c r="M64" s="84" t="s">
        <v>112</v>
      </c>
      <c r="N64" s="81" t="s">
        <v>564</v>
      </c>
      <c r="O64" s="8" t="s">
        <v>565</v>
      </c>
      <c r="P64" s="81" t="s">
        <v>106</v>
      </c>
      <c r="Q64" s="81" t="s">
        <v>112</v>
      </c>
      <c r="R64" s="81">
        <v>340702.0</v>
      </c>
      <c r="S64" s="81">
        <v>9691694.0</v>
      </c>
      <c r="T64" s="81" t="s">
        <v>112</v>
      </c>
      <c r="U64" s="81" t="s">
        <v>112</v>
      </c>
      <c r="V64" s="81" t="s">
        <v>190</v>
      </c>
      <c r="W64" s="81" t="s">
        <v>112</v>
      </c>
      <c r="X64" s="81" t="s">
        <v>112</v>
      </c>
      <c r="Y64" s="81" t="s">
        <v>112</v>
      </c>
      <c r="Z64" s="8" t="s">
        <v>148</v>
      </c>
      <c r="AA64" s="23" t="s">
        <v>115</v>
      </c>
      <c r="AB64" s="85" t="s">
        <v>285</v>
      </c>
      <c r="AE64" s="24"/>
      <c r="AM64" s="24"/>
    </row>
    <row r="65" ht="15.75" customHeight="1">
      <c r="A65" s="8">
        <v>918.0</v>
      </c>
      <c r="B65" s="34" t="s">
        <v>566</v>
      </c>
      <c r="C65" s="34" t="s">
        <v>51</v>
      </c>
      <c r="D65" s="34" t="s">
        <v>112</v>
      </c>
      <c r="E65" s="34" t="s">
        <v>112</v>
      </c>
      <c r="F65" s="48">
        <v>43180.0</v>
      </c>
      <c r="G65" s="36">
        <v>43160.0</v>
      </c>
      <c r="H65" s="20" t="str">
        <f t="shared" si="5"/>
        <v>2018</v>
      </c>
      <c r="I65" s="8" t="s">
        <v>186</v>
      </c>
      <c r="J65" s="34" t="s">
        <v>112</v>
      </c>
      <c r="K65" s="34" t="s">
        <v>112</v>
      </c>
      <c r="L65" s="34" t="s">
        <v>100</v>
      </c>
      <c r="M65" s="37" t="s">
        <v>112</v>
      </c>
      <c r="N65" s="34" t="s">
        <v>567</v>
      </c>
      <c r="O65" s="8" t="s">
        <v>449</v>
      </c>
      <c r="P65" s="34" t="s">
        <v>106</v>
      </c>
      <c r="Q65" s="34" t="s">
        <v>112</v>
      </c>
      <c r="R65" s="34">
        <v>340744.0</v>
      </c>
      <c r="S65" s="34">
        <v>9691324.0</v>
      </c>
      <c r="T65" s="68">
        <v>-76.4326608857663</v>
      </c>
      <c r="U65" s="68">
        <v>-2.79155378704304</v>
      </c>
      <c r="V65" s="34" t="s">
        <v>190</v>
      </c>
      <c r="W65" s="34" t="s">
        <v>112</v>
      </c>
      <c r="X65" s="34" t="s">
        <v>112</v>
      </c>
      <c r="Y65" s="34" t="s">
        <v>112</v>
      </c>
      <c r="Z65" s="8" t="s">
        <v>148</v>
      </c>
      <c r="AA65" s="23" t="s">
        <v>115</v>
      </c>
      <c r="AB65" s="8" t="s">
        <v>292</v>
      </c>
      <c r="AE65" s="24"/>
      <c r="AM65" s="24"/>
    </row>
    <row r="66" ht="15.75" customHeight="1">
      <c r="A66" s="8">
        <v>917.0</v>
      </c>
      <c r="B66" s="34" t="s">
        <v>568</v>
      </c>
      <c r="C66" s="34" t="s">
        <v>51</v>
      </c>
      <c r="D66" s="34" t="s">
        <v>112</v>
      </c>
      <c r="E66" s="34" t="s">
        <v>112</v>
      </c>
      <c r="F66" s="48">
        <v>43180.0</v>
      </c>
      <c r="G66" s="36">
        <v>43160.0</v>
      </c>
      <c r="H66" s="20" t="str">
        <f t="shared" si="5"/>
        <v>2018</v>
      </c>
      <c r="I66" s="8" t="s">
        <v>186</v>
      </c>
      <c r="J66" s="34" t="s">
        <v>112</v>
      </c>
      <c r="K66" s="34" t="s">
        <v>112</v>
      </c>
      <c r="L66" s="34" t="s">
        <v>100</v>
      </c>
      <c r="M66" s="37" t="s">
        <v>112</v>
      </c>
      <c r="N66" s="34" t="s">
        <v>553</v>
      </c>
      <c r="O66" s="8"/>
      <c r="P66" s="34" t="s">
        <v>106</v>
      </c>
      <c r="Q66" s="34" t="s">
        <v>112</v>
      </c>
      <c r="R66" s="34">
        <v>340752.0</v>
      </c>
      <c r="S66" s="34">
        <v>9691350.0</v>
      </c>
      <c r="T66" s="34" t="s">
        <v>112</v>
      </c>
      <c r="U66" s="34" t="s">
        <v>112</v>
      </c>
      <c r="V66" s="34" t="s">
        <v>190</v>
      </c>
      <c r="W66" s="34" t="s">
        <v>112</v>
      </c>
      <c r="X66" s="34" t="s">
        <v>112</v>
      </c>
      <c r="Y66" s="34" t="s">
        <v>112</v>
      </c>
      <c r="Z66" s="8" t="s">
        <v>148</v>
      </c>
      <c r="AA66" s="23" t="s">
        <v>144</v>
      </c>
      <c r="AB66" s="8"/>
      <c r="AE66" s="24"/>
      <c r="AM66" s="24"/>
    </row>
    <row r="67" ht="15.75" customHeight="1">
      <c r="A67" s="8">
        <v>506.0</v>
      </c>
      <c r="B67" s="34" t="s">
        <v>569</v>
      </c>
      <c r="C67" s="34" t="s">
        <v>51</v>
      </c>
      <c r="D67" s="34" t="s">
        <v>112</v>
      </c>
      <c r="E67" s="34" t="s">
        <v>112</v>
      </c>
      <c r="F67" s="35">
        <v>41411.0</v>
      </c>
      <c r="G67" s="36">
        <v>41395.0</v>
      </c>
      <c r="H67" s="20" t="str">
        <f t="shared" si="5"/>
        <v>2013</v>
      </c>
      <c r="I67" s="8" t="s">
        <v>186</v>
      </c>
      <c r="J67" s="34" t="s">
        <v>112</v>
      </c>
      <c r="K67" s="34" t="s">
        <v>112</v>
      </c>
      <c r="L67" s="34" t="s">
        <v>100</v>
      </c>
      <c r="M67" s="68" t="s">
        <v>177</v>
      </c>
      <c r="N67" s="34" t="s">
        <v>570</v>
      </c>
      <c r="O67" s="8" t="s">
        <v>571</v>
      </c>
      <c r="P67" s="34" t="s">
        <v>106</v>
      </c>
      <c r="Q67" s="34" t="s">
        <v>112</v>
      </c>
      <c r="R67" s="34">
        <v>340780.0</v>
      </c>
      <c r="S67" s="34">
        <v>9689542.0</v>
      </c>
      <c r="T67" s="38">
        <v>-2.8079061</v>
      </c>
      <c r="U67" s="38">
        <v>-76.432428</v>
      </c>
      <c r="V67" s="34" t="s">
        <v>572</v>
      </c>
      <c r="W67" s="34" t="s">
        <v>112</v>
      </c>
      <c r="X67" s="34" t="s">
        <v>112</v>
      </c>
      <c r="Y67" s="34" t="s">
        <v>112</v>
      </c>
      <c r="Z67" s="8" t="s">
        <v>149</v>
      </c>
      <c r="AA67" s="23" t="s">
        <v>115</v>
      </c>
      <c r="AB67" s="8"/>
      <c r="AE67" s="24"/>
      <c r="AM67" s="24"/>
    </row>
    <row r="68" ht="15.75" customHeight="1">
      <c r="A68" s="52">
        <v>948.0</v>
      </c>
      <c r="B68" s="53" t="s">
        <v>573</v>
      </c>
      <c r="C68" s="53" t="s">
        <v>51</v>
      </c>
      <c r="D68" s="53" t="s">
        <v>482</v>
      </c>
      <c r="E68" s="53" t="s">
        <v>90</v>
      </c>
      <c r="F68" s="53" t="s">
        <v>574</v>
      </c>
      <c r="G68" s="53" t="s">
        <v>574</v>
      </c>
      <c r="H68" s="55">
        <v>2020.0</v>
      </c>
      <c r="I68" s="53" t="s">
        <v>97</v>
      </c>
      <c r="J68" s="53" t="s">
        <v>98</v>
      </c>
      <c r="K68" s="53" t="s">
        <v>164</v>
      </c>
      <c r="L68" s="53" t="s">
        <v>100</v>
      </c>
      <c r="M68" s="53" t="s">
        <v>150</v>
      </c>
      <c r="N68" s="56" t="s">
        <v>575</v>
      </c>
      <c r="O68" s="56" t="s">
        <v>576</v>
      </c>
      <c r="P68" s="53" t="s">
        <v>106</v>
      </c>
      <c r="Q68" s="53" t="s">
        <v>112</v>
      </c>
      <c r="R68" s="53">
        <v>340780.0</v>
      </c>
      <c r="S68" s="53">
        <v>9690361.0</v>
      </c>
      <c r="T68" s="57"/>
      <c r="U68" s="58"/>
      <c r="V68" s="53" t="s">
        <v>112</v>
      </c>
      <c r="W68" s="58"/>
      <c r="X68" s="58"/>
      <c r="Y68" s="58"/>
      <c r="Z68" s="58"/>
      <c r="AA68" s="58"/>
      <c r="AB68" s="58"/>
      <c r="AE68" s="24"/>
      <c r="AM68" s="24"/>
    </row>
    <row r="69" ht="15.75" customHeight="1">
      <c r="A69" s="8">
        <v>708.0</v>
      </c>
      <c r="B69" s="39" t="s">
        <v>577</v>
      </c>
      <c r="C69" s="59" t="s">
        <v>51</v>
      </c>
      <c r="D69" s="39" t="s">
        <v>213</v>
      </c>
      <c r="E69" s="39" t="s">
        <v>112</v>
      </c>
      <c r="F69" s="60" t="s">
        <v>475</v>
      </c>
      <c r="G69" s="74">
        <v>42461.0</v>
      </c>
      <c r="H69" s="42" t="str">
        <f t="shared" ref="H69:H96" si="6">TEXT(G69, "yyyy")</f>
        <v>2016</v>
      </c>
      <c r="I69" s="8" t="s">
        <v>186</v>
      </c>
      <c r="J69" s="39" t="s">
        <v>112</v>
      </c>
      <c r="K69" s="39" t="s">
        <v>112</v>
      </c>
      <c r="L69" s="39" t="s">
        <v>100</v>
      </c>
      <c r="M69" s="43" t="s">
        <v>187</v>
      </c>
      <c r="N69" s="39" t="s">
        <v>578</v>
      </c>
      <c r="O69" s="8" t="s">
        <v>579</v>
      </c>
      <c r="P69" s="39" t="s">
        <v>106</v>
      </c>
      <c r="Q69" s="39" t="s">
        <v>112</v>
      </c>
      <c r="R69" s="39">
        <v>340796.2</v>
      </c>
      <c r="S69" s="39">
        <v>9689710.1</v>
      </c>
      <c r="T69" s="51">
        <v>-76.43228136</v>
      </c>
      <c r="U69" s="51">
        <v>-2.80638607</v>
      </c>
      <c r="V69" s="59" t="s">
        <v>580</v>
      </c>
      <c r="W69" s="39" t="s">
        <v>112</v>
      </c>
      <c r="X69" s="39" t="s">
        <v>112</v>
      </c>
      <c r="Y69" s="39" t="s">
        <v>112</v>
      </c>
      <c r="Z69" s="8" t="s">
        <v>69</v>
      </c>
      <c r="AA69" s="23" t="s">
        <v>115</v>
      </c>
      <c r="AB69" s="8" t="s">
        <v>378</v>
      </c>
      <c r="AE69" s="24"/>
      <c r="AM69" s="24"/>
    </row>
    <row r="70" ht="15.75" customHeight="1">
      <c r="A70" s="8">
        <v>706.0</v>
      </c>
      <c r="B70" s="39" t="s">
        <v>581</v>
      </c>
      <c r="C70" s="59" t="s">
        <v>51</v>
      </c>
      <c r="D70" s="39" t="s">
        <v>213</v>
      </c>
      <c r="E70" s="39" t="s">
        <v>112</v>
      </c>
      <c r="F70" s="60" t="s">
        <v>475</v>
      </c>
      <c r="G70" s="74">
        <v>42461.0</v>
      </c>
      <c r="H70" s="42" t="str">
        <f t="shared" si="6"/>
        <v>2016</v>
      </c>
      <c r="I70" s="8" t="s">
        <v>186</v>
      </c>
      <c r="J70" s="39" t="s">
        <v>112</v>
      </c>
      <c r="K70" s="39" t="s">
        <v>112</v>
      </c>
      <c r="L70" s="39" t="s">
        <v>100</v>
      </c>
      <c r="M70" s="43" t="s">
        <v>524</v>
      </c>
      <c r="N70" s="39" t="s">
        <v>582</v>
      </c>
      <c r="O70" s="8" t="s">
        <v>583</v>
      </c>
      <c r="P70" s="39" t="s">
        <v>106</v>
      </c>
      <c r="Q70" s="39" t="s">
        <v>112</v>
      </c>
      <c r="R70" s="39">
        <v>340804.6</v>
      </c>
      <c r="S70" s="39">
        <v>9689714.8</v>
      </c>
      <c r="T70" s="51">
        <v>-76.43220567</v>
      </c>
      <c r="U70" s="51">
        <v>-2.80634368</v>
      </c>
      <c r="V70" s="59" t="s">
        <v>446</v>
      </c>
      <c r="W70" s="39" t="s">
        <v>112</v>
      </c>
      <c r="X70" s="39" t="s">
        <v>112</v>
      </c>
      <c r="Y70" s="39" t="s">
        <v>112</v>
      </c>
      <c r="Z70" s="8" t="s">
        <v>69</v>
      </c>
      <c r="AA70" s="23" t="s">
        <v>115</v>
      </c>
      <c r="AB70" s="8" t="s">
        <v>378</v>
      </c>
      <c r="AE70" s="24"/>
      <c r="AM70" s="24"/>
    </row>
    <row r="71" ht="15.75" customHeight="1">
      <c r="A71" s="8">
        <v>915.0</v>
      </c>
      <c r="B71" s="34" t="s">
        <v>584</v>
      </c>
      <c r="C71" s="34" t="s">
        <v>51</v>
      </c>
      <c r="D71" s="34" t="s">
        <v>112</v>
      </c>
      <c r="E71" s="34" t="s">
        <v>112</v>
      </c>
      <c r="F71" s="48">
        <v>43180.0</v>
      </c>
      <c r="G71" s="36">
        <v>43160.0</v>
      </c>
      <c r="H71" s="20" t="str">
        <f t="shared" si="6"/>
        <v>2018</v>
      </c>
      <c r="I71" s="8" t="s">
        <v>186</v>
      </c>
      <c r="J71" s="34" t="s">
        <v>112</v>
      </c>
      <c r="K71" s="34" t="s">
        <v>112</v>
      </c>
      <c r="L71" s="34" t="s">
        <v>100</v>
      </c>
      <c r="M71" s="37" t="s">
        <v>112</v>
      </c>
      <c r="N71" s="34" t="s">
        <v>553</v>
      </c>
      <c r="O71" s="8"/>
      <c r="P71" s="34" t="s">
        <v>106</v>
      </c>
      <c r="Q71" s="34" t="s">
        <v>112</v>
      </c>
      <c r="R71" s="34">
        <v>340811.0</v>
      </c>
      <c r="S71" s="34">
        <v>9691430.0</v>
      </c>
      <c r="T71" s="34" t="s">
        <v>112</v>
      </c>
      <c r="U71" s="34" t="s">
        <v>112</v>
      </c>
      <c r="V71" s="34" t="s">
        <v>190</v>
      </c>
      <c r="W71" s="34" t="s">
        <v>112</v>
      </c>
      <c r="X71" s="34" t="s">
        <v>112</v>
      </c>
      <c r="Y71" s="34" t="s">
        <v>112</v>
      </c>
      <c r="Z71" s="8" t="s">
        <v>148</v>
      </c>
      <c r="AA71" s="23" t="s">
        <v>144</v>
      </c>
      <c r="AB71" s="8"/>
      <c r="AE71" s="24"/>
      <c r="AM71" s="24"/>
    </row>
    <row r="72" ht="15.75" customHeight="1">
      <c r="A72" s="8">
        <v>799.0</v>
      </c>
      <c r="B72" s="80" t="s">
        <v>585</v>
      </c>
      <c r="C72" s="34" t="s">
        <v>51</v>
      </c>
      <c r="D72" s="34" t="s">
        <v>112</v>
      </c>
      <c r="E72" s="34" t="s">
        <v>112</v>
      </c>
      <c r="F72" s="48">
        <v>42844.0</v>
      </c>
      <c r="G72" s="36">
        <v>42826.0</v>
      </c>
      <c r="H72" s="20" t="str">
        <f t="shared" si="6"/>
        <v>2017</v>
      </c>
      <c r="I72" s="8" t="s">
        <v>186</v>
      </c>
      <c r="J72" s="34" t="s">
        <v>112</v>
      </c>
      <c r="K72" s="34" t="s">
        <v>112</v>
      </c>
      <c r="L72" s="34" t="s">
        <v>100</v>
      </c>
      <c r="M72" s="37" t="s">
        <v>112</v>
      </c>
      <c r="N72" s="34" t="s">
        <v>586</v>
      </c>
      <c r="O72" s="8" t="s">
        <v>587</v>
      </c>
      <c r="P72" s="34" t="s">
        <v>106</v>
      </c>
      <c r="Q72" s="34" t="s">
        <v>112</v>
      </c>
      <c r="R72" s="34">
        <v>340833.1</v>
      </c>
      <c r="S72" s="34">
        <v>9697296.0</v>
      </c>
      <c r="T72" s="68">
        <v>-76.43186719</v>
      </c>
      <c r="U72" s="68">
        <v>-2.73777733</v>
      </c>
      <c r="V72" s="34" t="s">
        <v>548</v>
      </c>
      <c r="W72" s="34" t="s">
        <v>112</v>
      </c>
      <c r="X72" s="34" t="s">
        <v>112</v>
      </c>
      <c r="Y72" s="34" t="s">
        <v>112</v>
      </c>
      <c r="Z72" s="8" t="s">
        <v>148</v>
      </c>
      <c r="AA72" s="23" t="s">
        <v>144</v>
      </c>
      <c r="AB72" s="8"/>
      <c r="AE72" s="24"/>
      <c r="AM72" s="24"/>
    </row>
    <row r="73" ht="15.75" customHeight="1">
      <c r="A73" s="8">
        <v>379.0</v>
      </c>
      <c r="B73" s="39" t="s">
        <v>588</v>
      </c>
      <c r="C73" s="39" t="s">
        <v>51</v>
      </c>
      <c r="D73" s="39" t="s">
        <v>112</v>
      </c>
      <c r="E73" s="39" t="s">
        <v>112</v>
      </c>
      <c r="F73" s="40">
        <v>40189.0</v>
      </c>
      <c r="G73" s="41">
        <v>40179.0</v>
      </c>
      <c r="H73" s="42" t="str">
        <f t="shared" si="6"/>
        <v>2010</v>
      </c>
      <c r="I73" s="8" t="s">
        <v>176</v>
      </c>
      <c r="J73" s="39" t="s">
        <v>112</v>
      </c>
      <c r="K73" s="29" t="s">
        <v>99</v>
      </c>
      <c r="L73" s="39" t="s">
        <v>100</v>
      </c>
      <c r="M73" s="51" t="s">
        <v>177</v>
      </c>
      <c r="N73" s="44" t="s">
        <v>589</v>
      </c>
      <c r="O73" s="45" t="s">
        <v>590</v>
      </c>
      <c r="P73" s="39" t="s">
        <v>106</v>
      </c>
      <c r="Q73" s="39" t="s">
        <v>112</v>
      </c>
      <c r="R73" s="39">
        <v>340903.0</v>
      </c>
      <c r="S73" s="39">
        <v>9689589.0</v>
      </c>
      <c r="T73" s="46">
        <v>-2.8074823</v>
      </c>
      <c r="U73" s="46">
        <v>-76.431322</v>
      </c>
      <c r="V73" s="39" t="s">
        <v>591</v>
      </c>
      <c r="W73" s="39" t="s">
        <v>112</v>
      </c>
      <c r="X73" s="39" t="s">
        <v>112</v>
      </c>
      <c r="Y73" s="39" t="s">
        <v>112</v>
      </c>
      <c r="Z73" s="47" t="s">
        <v>37</v>
      </c>
      <c r="AA73" s="23" t="s">
        <v>115</v>
      </c>
      <c r="AB73" s="86" t="s">
        <v>396</v>
      </c>
      <c r="AE73" s="24"/>
      <c r="AM73" s="24"/>
    </row>
    <row r="74" ht="15.75" customHeight="1">
      <c r="A74" s="8">
        <v>686.0</v>
      </c>
      <c r="B74" s="39" t="s">
        <v>592</v>
      </c>
      <c r="C74" s="59" t="s">
        <v>51</v>
      </c>
      <c r="D74" s="39" t="s">
        <v>213</v>
      </c>
      <c r="E74" s="39" t="s">
        <v>112</v>
      </c>
      <c r="F74" s="60" t="s">
        <v>532</v>
      </c>
      <c r="G74" s="41">
        <v>42430.0</v>
      </c>
      <c r="H74" s="42" t="str">
        <f t="shared" si="6"/>
        <v>2016</v>
      </c>
      <c r="I74" s="8" t="s">
        <v>63</v>
      </c>
      <c r="J74" s="39" t="s">
        <v>112</v>
      </c>
      <c r="K74" s="39" t="s">
        <v>112</v>
      </c>
      <c r="L74" s="39" t="s">
        <v>100</v>
      </c>
      <c r="M74" s="43" t="s">
        <v>112</v>
      </c>
      <c r="N74" s="39" t="s">
        <v>593</v>
      </c>
      <c r="O74" s="8" t="s">
        <v>594</v>
      </c>
      <c r="P74" s="39" t="s">
        <v>106</v>
      </c>
      <c r="Q74" s="39" t="s">
        <v>112</v>
      </c>
      <c r="R74" s="51">
        <v>340970.0</v>
      </c>
      <c r="S74" s="51">
        <v>9691911.0</v>
      </c>
      <c r="T74" s="51">
        <v>-76.43060659</v>
      </c>
      <c r="U74" s="51">
        <v>-2.78648831</v>
      </c>
      <c r="V74" s="59" t="s">
        <v>446</v>
      </c>
      <c r="W74" s="39" t="s">
        <v>112</v>
      </c>
      <c r="X74" s="39" t="s">
        <v>112</v>
      </c>
      <c r="Y74" s="39" t="s">
        <v>112</v>
      </c>
      <c r="Z74" s="8" t="s">
        <v>69</v>
      </c>
      <c r="AA74" s="23" t="s">
        <v>115</v>
      </c>
      <c r="AB74" s="8" t="s">
        <v>378</v>
      </c>
      <c r="AE74" s="24"/>
      <c r="AM74" s="24"/>
    </row>
    <row r="75" ht="15.75" customHeight="1">
      <c r="A75" s="8">
        <v>478.0</v>
      </c>
      <c r="B75" s="34" t="s">
        <v>595</v>
      </c>
      <c r="C75" s="34" t="s">
        <v>51</v>
      </c>
      <c r="D75" s="34" t="s">
        <v>112</v>
      </c>
      <c r="E75" s="34" t="s">
        <v>112</v>
      </c>
      <c r="F75" s="35">
        <v>41060.0</v>
      </c>
      <c r="G75" s="36">
        <v>41030.0</v>
      </c>
      <c r="H75" s="20" t="str">
        <f t="shared" si="6"/>
        <v>2012</v>
      </c>
      <c r="I75" s="8" t="s">
        <v>63</v>
      </c>
      <c r="J75" s="34" t="s">
        <v>112</v>
      </c>
      <c r="K75" s="34" t="s">
        <v>112</v>
      </c>
      <c r="L75" s="34" t="s">
        <v>100</v>
      </c>
      <c r="M75" s="37" t="s">
        <v>112</v>
      </c>
      <c r="N75" s="34" t="s">
        <v>596</v>
      </c>
      <c r="O75" s="8" t="s">
        <v>562</v>
      </c>
      <c r="P75" s="34" t="s">
        <v>106</v>
      </c>
      <c r="Q75" s="34" t="s">
        <v>112</v>
      </c>
      <c r="R75" s="34">
        <v>340985.0</v>
      </c>
      <c r="S75" s="34">
        <v>9691083.0</v>
      </c>
      <c r="T75" s="38">
        <v>-2.7939711</v>
      </c>
      <c r="U75" s="38">
        <v>-76.430568</v>
      </c>
      <c r="V75" s="34" t="s">
        <v>480</v>
      </c>
      <c r="W75" s="34" t="s">
        <v>112</v>
      </c>
      <c r="X75" s="34" t="s">
        <v>112</v>
      </c>
      <c r="Y75" s="34" t="s">
        <v>112</v>
      </c>
      <c r="Z75" s="8" t="s">
        <v>149</v>
      </c>
      <c r="AA75" s="23" t="s">
        <v>115</v>
      </c>
      <c r="AB75" s="8"/>
      <c r="AE75" s="24"/>
      <c r="AM75" s="24"/>
    </row>
    <row r="76" ht="15.75" customHeight="1">
      <c r="A76" s="8">
        <v>790.0</v>
      </c>
      <c r="B76" s="34" t="s">
        <v>597</v>
      </c>
      <c r="C76" s="34" t="s">
        <v>51</v>
      </c>
      <c r="D76" s="34" t="s">
        <v>213</v>
      </c>
      <c r="E76" s="34" t="s">
        <v>112</v>
      </c>
      <c r="F76" s="48">
        <v>42820.0</v>
      </c>
      <c r="G76" s="36">
        <v>42795.0</v>
      </c>
      <c r="H76" s="20" t="str">
        <f t="shared" si="6"/>
        <v>2017</v>
      </c>
      <c r="I76" s="8" t="s">
        <v>176</v>
      </c>
      <c r="J76" s="34" t="s">
        <v>112</v>
      </c>
      <c r="K76" s="34" t="s">
        <v>112</v>
      </c>
      <c r="L76" s="34" t="s">
        <v>100</v>
      </c>
      <c r="M76" s="87" t="s">
        <v>513</v>
      </c>
      <c r="N76" s="34" t="s">
        <v>598</v>
      </c>
      <c r="O76" s="8" t="s">
        <v>599</v>
      </c>
      <c r="P76" s="34" t="s">
        <v>106</v>
      </c>
      <c r="Q76" s="34" t="s">
        <v>112</v>
      </c>
      <c r="R76" s="34">
        <v>340986.0</v>
      </c>
      <c r="S76" s="34">
        <v>9691909.0</v>
      </c>
      <c r="T76" s="68">
        <v>-76.43043022</v>
      </c>
      <c r="U76" s="68">
        <v>-2.78657718</v>
      </c>
      <c r="V76" s="34" t="s">
        <v>190</v>
      </c>
      <c r="W76" s="34" t="s">
        <v>112</v>
      </c>
      <c r="X76" s="34" t="s">
        <v>112</v>
      </c>
      <c r="Y76" s="34" t="s">
        <v>112</v>
      </c>
      <c r="Z76" s="8" t="s">
        <v>148</v>
      </c>
      <c r="AA76" s="23" t="s">
        <v>144</v>
      </c>
      <c r="AB76" s="8"/>
      <c r="AE76" s="24"/>
      <c r="AM76" s="24"/>
    </row>
    <row r="77" ht="15.75" customHeight="1">
      <c r="A77" s="8">
        <v>885.0</v>
      </c>
      <c r="B77" s="34" t="s">
        <v>600</v>
      </c>
      <c r="C77" s="34" t="s">
        <v>51</v>
      </c>
      <c r="D77" s="34" t="s">
        <v>213</v>
      </c>
      <c r="E77" s="34" t="s">
        <v>112</v>
      </c>
      <c r="F77" s="48">
        <v>43104.0</v>
      </c>
      <c r="G77" s="36">
        <v>43101.0</v>
      </c>
      <c r="H77" s="20" t="str">
        <f t="shared" si="6"/>
        <v>2018</v>
      </c>
      <c r="I77" s="8" t="s">
        <v>186</v>
      </c>
      <c r="J77" s="34" t="s">
        <v>112</v>
      </c>
      <c r="K77" s="34" t="s">
        <v>112</v>
      </c>
      <c r="L77" s="34" t="s">
        <v>100</v>
      </c>
      <c r="M77" s="37" t="s">
        <v>177</v>
      </c>
      <c r="N77" s="34" t="s">
        <v>601</v>
      </c>
      <c r="O77" s="8" t="s">
        <v>602</v>
      </c>
      <c r="P77" s="34" t="s">
        <v>106</v>
      </c>
      <c r="Q77" s="34" t="s">
        <v>112</v>
      </c>
      <c r="R77" s="34">
        <v>340999.3</v>
      </c>
      <c r="S77" s="34">
        <v>9691900.6</v>
      </c>
      <c r="T77" s="34">
        <v>-76.43043022</v>
      </c>
      <c r="U77" s="34">
        <v>-2.78657718</v>
      </c>
      <c r="V77" s="34" t="s">
        <v>190</v>
      </c>
      <c r="W77" s="34" t="s">
        <v>112</v>
      </c>
      <c r="X77" s="34" t="s">
        <v>112</v>
      </c>
      <c r="Y77" s="34" t="s">
        <v>112</v>
      </c>
      <c r="Z77" s="8" t="s">
        <v>148</v>
      </c>
      <c r="AA77" s="23" t="s">
        <v>115</v>
      </c>
      <c r="AB77" s="8" t="s">
        <v>258</v>
      </c>
      <c r="AE77" s="24"/>
      <c r="AM77" s="24"/>
    </row>
    <row r="78" ht="15.75" customHeight="1">
      <c r="A78" s="8">
        <v>374.0</v>
      </c>
      <c r="B78" s="39" t="s">
        <v>603</v>
      </c>
      <c r="C78" s="39" t="s">
        <v>51</v>
      </c>
      <c r="D78" s="39" t="s">
        <v>112</v>
      </c>
      <c r="E78" s="39" t="s">
        <v>112</v>
      </c>
      <c r="F78" s="40">
        <v>40162.0</v>
      </c>
      <c r="G78" s="41">
        <v>40148.0</v>
      </c>
      <c r="H78" s="42" t="str">
        <f t="shared" si="6"/>
        <v>2009</v>
      </c>
      <c r="I78" s="8" t="s">
        <v>176</v>
      </c>
      <c r="J78" s="39" t="s">
        <v>112</v>
      </c>
      <c r="K78" s="29" t="s">
        <v>99</v>
      </c>
      <c r="L78" s="39" t="s">
        <v>100</v>
      </c>
      <c r="M78" s="51" t="s">
        <v>177</v>
      </c>
      <c r="N78" s="44" t="s">
        <v>604</v>
      </c>
      <c r="O78" s="45" t="s">
        <v>605</v>
      </c>
      <c r="P78" s="39" t="s">
        <v>106</v>
      </c>
      <c r="Q78" s="39" t="s">
        <v>112</v>
      </c>
      <c r="R78" s="39">
        <v>341032.0</v>
      </c>
      <c r="S78" s="39">
        <v>9690016.0</v>
      </c>
      <c r="T78" s="46">
        <v>-2.8036219</v>
      </c>
      <c r="U78" s="46">
        <v>-76.430157</v>
      </c>
      <c r="V78" s="39" t="s">
        <v>205</v>
      </c>
      <c r="W78" s="39" t="s">
        <v>112</v>
      </c>
      <c r="X78" s="39" t="s">
        <v>112</v>
      </c>
      <c r="Y78" s="39" t="s">
        <v>112</v>
      </c>
      <c r="Z78" s="47" t="s">
        <v>37</v>
      </c>
      <c r="AA78" s="23" t="s">
        <v>115</v>
      </c>
      <c r="AB78" s="86" t="s">
        <v>396</v>
      </c>
      <c r="AE78" s="24"/>
      <c r="AM78" s="24"/>
    </row>
    <row r="79" ht="15.75" customHeight="1">
      <c r="A79" s="8">
        <v>377.0</v>
      </c>
      <c r="B79" s="39" t="s">
        <v>606</v>
      </c>
      <c r="C79" s="39" t="s">
        <v>51</v>
      </c>
      <c r="D79" s="39" t="s">
        <v>112</v>
      </c>
      <c r="E79" s="39" t="s">
        <v>112</v>
      </c>
      <c r="F79" s="40">
        <v>40183.0</v>
      </c>
      <c r="G79" s="41">
        <v>40179.0</v>
      </c>
      <c r="H79" s="42" t="str">
        <f t="shared" si="6"/>
        <v>2010</v>
      </c>
      <c r="I79" s="8" t="s">
        <v>176</v>
      </c>
      <c r="J79" s="39" t="s">
        <v>112</v>
      </c>
      <c r="K79" s="29" t="s">
        <v>99</v>
      </c>
      <c r="L79" s="39" t="s">
        <v>100</v>
      </c>
      <c r="M79" s="51" t="s">
        <v>177</v>
      </c>
      <c r="N79" s="44" t="s">
        <v>607</v>
      </c>
      <c r="O79" s="45" t="s">
        <v>608</v>
      </c>
      <c r="P79" s="39" t="s">
        <v>106</v>
      </c>
      <c r="Q79" s="39" t="s">
        <v>112</v>
      </c>
      <c r="R79" s="39">
        <v>341060.0</v>
      </c>
      <c r="S79" s="39">
        <v>9689903.0</v>
      </c>
      <c r="T79" s="46">
        <v>-2.8046442</v>
      </c>
      <c r="U79" s="46">
        <v>-76.429906</v>
      </c>
      <c r="V79" s="39" t="s">
        <v>609</v>
      </c>
      <c r="W79" s="39" t="s">
        <v>112</v>
      </c>
      <c r="X79" s="39" t="s">
        <v>112</v>
      </c>
      <c r="Y79" s="39" t="s">
        <v>112</v>
      </c>
      <c r="Z79" s="47" t="s">
        <v>37</v>
      </c>
      <c r="AA79" s="23" t="s">
        <v>115</v>
      </c>
      <c r="AB79" s="86" t="s">
        <v>396</v>
      </c>
      <c r="AE79" s="24"/>
      <c r="AM79" s="24"/>
    </row>
    <row r="80" ht="15.75" customHeight="1">
      <c r="A80" s="8">
        <v>483.0</v>
      </c>
      <c r="B80" s="34" t="s">
        <v>610</v>
      </c>
      <c r="C80" s="34" t="s">
        <v>53</v>
      </c>
      <c r="D80" s="34" t="s">
        <v>523</v>
      </c>
      <c r="E80" s="34" t="s">
        <v>112</v>
      </c>
      <c r="F80" s="35">
        <v>41183.0</v>
      </c>
      <c r="G80" s="36">
        <v>41183.0</v>
      </c>
      <c r="H80" s="20" t="str">
        <f t="shared" si="6"/>
        <v>2012</v>
      </c>
      <c r="I80" s="8" t="s">
        <v>186</v>
      </c>
      <c r="J80" s="34" t="s">
        <v>112</v>
      </c>
      <c r="K80" s="34" t="s">
        <v>112</v>
      </c>
      <c r="L80" s="34" t="s">
        <v>100</v>
      </c>
      <c r="M80" s="68" t="s">
        <v>177</v>
      </c>
      <c r="N80" s="34" t="s">
        <v>611</v>
      </c>
      <c r="O80" s="8" t="s">
        <v>612</v>
      </c>
      <c r="P80" s="34" t="s">
        <v>106</v>
      </c>
      <c r="Q80" s="34" t="s">
        <v>112</v>
      </c>
      <c r="R80" s="34">
        <v>341090.0</v>
      </c>
      <c r="S80" s="34">
        <v>9689996.0</v>
      </c>
      <c r="T80" s="38">
        <v>-2.8038034</v>
      </c>
      <c r="U80" s="38">
        <v>-76.429635</v>
      </c>
      <c r="V80" s="34" t="s">
        <v>112</v>
      </c>
      <c r="W80" s="34" t="s">
        <v>112</v>
      </c>
      <c r="X80" s="34">
        <v>0.0</v>
      </c>
      <c r="Y80" s="34" t="s">
        <v>112</v>
      </c>
      <c r="Z80" s="8" t="s">
        <v>149</v>
      </c>
      <c r="AA80" s="23" t="s">
        <v>115</v>
      </c>
      <c r="AB80" s="8"/>
      <c r="AE80" s="24"/>
      <c r="AM80" s="24"/>
    </row>
    <row r="81" ht="15.75" customHeight="1">
      <c r="A81" s="8">
        <v>386.0</v>
      </c>
      <c r="B81" s="39" t="s">
        <v>613</v>
      </c>
      <c r="C81" s="39" t="s">
        <v>51</v>
      </c>
      <c r="D81" s="39" t="s">
        <v>112</v>
      </c>
      <c r="E81" s="39" t="s">
        <v>112</v>
      </c>
      <c r="F81" s="40">
        <v>40190.0</v>
      </c>
      <c r="G81" s="41">
        <v>40179.0</v>
      </c>
      <c r="H81" s="42" t="str">
        <f t="shared" si="6"/>
        <v>2010</v>
      </c>
      <c r="I81" s="8" t="s">
        <v>614</v>
      </c>
      <c r="J81" s="39" t="s">
        <v>112</v>
      </c>
      <c r="K81" s="29" t="s">
        <v>99</v>
      </c>
      <c r="L81" s="39" t="s">
        <v>100</v>
      </c>
      <c r="M81" s="43" t="s">
        <v>177</v>
      </c>
      <c r="N81" s="44" t="s">
        <v>615</v>
      </c>
      <c r="O81" s="45" t="s">
        <v>616</v>
      </c>
      <c r="P81" s="39" t="s">
        <v>106</v>
      </c>
      <c r="Q81" s="39" t="s">
        <v>112</v>
      </c>
      <c r="R81" s="39">
        <v>341116.0</v>
      </c>
      <c r="S81" s="39">
        <v>9689989.0</v>
      </c>
      <c r="T81" s="46">
        <v>-2.803867</v>
      </c>
      <c r="U81" s="46">
        <v>-76.429401</v>
      </c>
      <c r="V81" s="39" t="s">
        <v>591</v>
      </c>
      <c r="W81" s="39" t="s">
        <v>112</v>
      </c>
      <c r="X81" s="39">
        <v>0.0</v>
      </c>
      <c r="Y81" s="39" t="s">
        <v>617</v>
      </c>
      <c r="Z81" s="47" t="s">
        <v>37</v>
      </c>
      <c r="AA81" s="23" t="s">
        <v>115</v>
      </c>
      <c r="AB81" s="8" t="s">
        <v>392</v>
      </c>
      <c r="AE81" s="24"/>
      <c r="AM81" s="24"/>
    </row>
    <row r="82" ht="15.75" customHeight="1">
      <c r="A82" s="8">
        <v>484.0</v>
      </c>
      <c r="B82" s="34" t="s">
        <v>618</v>
      </c>
      <c r="C82" s="34" t="s">
        <v>53</v>
      </c>
      <c r="D82" s="34" t="s">
        <v>523</v>
      </c>
      <c r="E82" s="34" t="s">
        <v>112</v>
      </c>
      <c r="F82" s="35">
        <v>41183.0</v>
      </c>
      <c r="G82" s="36">
        <v>41183.0</v>
      </c>
      <c r="H82" s="20" t="str">
        <f t="shared" si="6"/>
        <v>2012</v>
      </c>
      <c r="I82" s="8" t="s">
        <v>186</v>
      </c>
      <c r="J82" s="34" t="s">
        <v>112</v>
      </c>
      <c r="K82" s="34" t="s">
        <v>112</v>
      </c>
      <c r="L82" s="34" t="s">
        <v>100</v>
      </c>
      <c r="M82" s="68" t="s">
        <v>177</v>
      </c>
      <c r="N82" s="34" t="s">
        <v>619</v>
      </c>
      <c r="O82" s="8" t="s">
        <v>620</v>
      </c>
      <c r="P82" s="34" t="s">
        <v>106</v>
      </c>
      <c r="Q82" s="34" t="s">
        <v>112</v>
      </c>
      <c r="R82" s="34">
        <v>341279.0</v>
      </c>
      <c r="S82" s="34">
        <v>9690203.0</v>
      </c>
      <c r="T82" s="38">
        <v>-2.8019333</v>
      </c>
      <c r="U82" s="38">
        <v>-76.427933</v>
      </c>
      <c r="V82" s="34" t="s">
        <v>112</v>
      </c>
      <c r="W82" s="34" t="s">
        <v>112</v>
      </c>
      <c r="X82" s="34">
        <v>0.0</v>
      </c>
      <c r="Y82" s="34" t="s">
        <v>112</v>
      </c>
      <c r="Z82" s="8" t="s">
        <v>149</v>
      </c>
      <c r="AA82" s="23" t="s">
        <v>115</v>
      </c>
      <c r="AB82" s="8"/>
      <c r="AE82" s="24"/>
      <c r="AM82" s="24"/>
    </row>
    <row r="83" ht="15.75" customHeight="1">
      <c r="A83" s="8">
        <v>375.0</v>
      </c>
      <c r="B83" s="39" t="s">
        <v>621</v>
      </c>
      <c r="C83" s="39" t="s">
        <v>51</v>
      </c>
      <c r="D83" s="39" t="s">
        <v>112</v>
      </c>
      <c r="E83" s="39" t="s">
        <v>112</v>
      </c>
      <c r="F83" s="40">
        <v>40165.0</v>
      </c>
      <c r="G83" s="41">
        <v>40148.0</v>
      </c>
      <c r="H83" s="42" t="str">
        <f t="shared" si="6"/>
        <v>2009</v>
      </c>
      <c r="I83" s="8" t="s">
        <v>63</v>
      </c>
      <c r="J83" s="39" t="s">
        <v>112</v>
      </c>
      <c r="K83" s="29" t="s">
        <v>99</v>
      </c>
      <c r="L83" s="39" t="s">
        <v>100</v>
      </c>
      <c r="M83" s="51" t="s">
        <v>177</v>
      </c>
      <c r="N83" s="88" t="s">
        <v>622</v>
      </c>
      <c r="O83" s="45" t="s">
        <v>623</v>
      </c>
      <c r="P83" s="39" t="s">
        <v>106</v>
      </c>
      <c r="Q83" s="39" t="s">
        <v>112</v>
      </c>
      <c r="R83" s="39">
        <v>341530.0</v>
      </c>
      <c r="S83" s="39">
        <v>9689840.0</v>
      </c>
      <c r="T83" s="46">
        <v>-2.8052191</v>
      </c>
      <c r="U83" s="46">
        <v>-76.425679</v>
      </c>
      <c r="V83" s="39" t="s">
        <v>624</v>
      </c>
      <c r="W83" s="39" t="s">
        <v>112</v>
      </c>
      <c r="X83" s="39" t="s">
        <v>112</v>
      </c>
      <c r="Y83" s="39" t="s">
        <v>112</v>
      </c>
      <c r="Z83" s="47" t="s">
        <v>37</v>
      </c>
      <c r="AA83" s="23" t="s">
        <v>115</v>
      </c>
      <c r="AB83" s="86" t="s">
        <v>396</v>
      </c>
      <c r="AE83" s="24"/>
      <c r="AM83" s="24"/>
    </row>
    <row r="84" ht="15.75" customHeight="1">
      <c r="A84" s="8">
        <v>571.0</v>
      </c>
      <c r="B84" s="34" t="s">
        <v>625</v>
      </c>
      <c r="C84" s="34" t="s">
        <v>51</v>
      </c>
      <c r="D84" s="34" t="s">
        <v>168</v>
      </c>
      <c r="E84" s="34" t="s">
        <v>112</v>
      </c>
      <c r="F84" s="35">
        <v>41773.0</v>
      </c>
      <c r="G84" s="36">
        <v>41760.0</v>
      </c>
      <c r="H84" s="20" t="str">
        <f t="shared" si="6"/>
        <v>2014</v>
      </c>
      <c r="I84" s="8" t="s">
        <v>63</v>
      </c>
      <c r="J84" s="34" t="s">
        <v>112</v>
      </c>
      <c r="K84" s="34" t="s">
        <v>112</v>
      </c>
      <c r="L84" s="34" t="s">
        <v>100</v>
      </c>
      <c r="M84" s="37" t="s">
        <v>112</v>
      </c>
      <c r="N84" s="34" t="s">
        <v>626</v>
      </c>
      <c r="O84" s="8" t="s">
        <v>627</v>
      </c>
      <c r="P84" s="34" t="s">
        <v>106</v>
      </c>
      <c r="Q84" s="34" t="s">
        <v>112</v>
      </c>
      <c r="R84" s="34">
        <v>341833.0</v>
      </c>
      <c r="S84" s="34">
        <v>9696950.0</v>
      </c>
      <c r="T84" s="38">
        <v>-2.7409176</v>
      </c>
      <c r="U84" s="38">
        <v>-76.422877</v>
      </c>
      <c r="V84" s="34" t="s">
        <v>109</v>
      </c>
      <c r="W84" s="34" t="s">
        <v>112</v>
      </c>
      <c r="X84" s="34" t="s">
        <v>112</v>
      </c>
      <c r="Y84" s="34" t="s">
        <v>112</v>
      </c>
      <c r="Z84" s="8" t="s">
        <v>149</v>
      </c>
      <c r="AA84" s="23" t="s">
        <v>115</v>
      </c>
      <c r="AB84" s="8"/>
      <c r="AE84" s="24"/>
      <c r="AM84" s="24"/>
    </row>
    <row r="85" ht="15.75" customHeight="1">
      <c r="A85" s="8">
        <v>494.0</v>
      </c>
      <c r="B85" s="34" t="s">
        <v>628</v>
      </c>
      <c r="C85" s="28" t="s">
        <v>53</v>
      </c>
      <c r="D85" s="34" t="s">
        <v>523</v>
      </c>
      <c r="E85" s="34" t="s">
        <v>112</v>
      </c>
      <c r="F85" s="35">
        <v>41402.0</v>
      </c>
      <c r="G85" s="36">
        <v>41395.0</v>
      </c>
      <c r="H85" s="20" t="str">
        <f t="shared" si="6"/>
        <v>2013</v>
      </c>
      <c r="I85" s="8" t="s">
        <v>186</v>
      </c>
      <c r="J85" s="34" t="s">
        <v>112</v>
      </c>
      <c r="K85" s="34" t="s">
        <v>112</v>
      </c>
      <c r="L85" s="28" t="s">
        <v>100</v>
      </c>
      <c r="M85" s="37" t="s">
        <v>524</v>
      </c>
      <c r="N85" s="34" t="s">
        <v>629</v>
      </c>
      <c r="O85" s="8" t="s">
        <v>630</v>
      </c>
      <c r="P85" s="34" t="s">
        <v>106</v>
      </c>
      <c r="Q85" s="34" t="s">
        <v>112</v>
      </c>
      <c r="R85" s="34">
        <v>342283.0</v>
      </c>
      <c r="S85" s="34">
        <v>9690964.0</v>
      </c>
      <c r="T85" s="65">
        <v>-2.7950616</v>
      </c>
      <c r="U85" s="65">
        <v>-76.418894</v>
      </c>
      <c r="V85" s="28" t="s">
        <v>631</v>
      </c>
      <c r="W85" s="34" t="s">
        <v>112</v>
      </c>
      <c r="X85" s="34">
        <v>0.0</v>
      </c>
      <c r="Y85" s="34" t="s">
        <v>112</v>
      </c>
      <c r="Z85" s="8" t="s">
        <v>149</v>
      </c>
      <c r="AA85" s="23" t="s">
        <v>115</v>
      </c>
      <c r="AB85" s="8"/>
      <c r="AE85" s="24"/>
      <c r="AM85" s="24"/>
    </row>
    <row r="86" ht="15.75" customHeight="1">
      <c r="A86" s="8">
        <v>796.0</v>
      </c>
      <c r="B86" s="34" t="s">
        <v>632</v>
      </c>
      <c r="C86" s="34" t="s">
        <v>51</v>
      </c>
      <c r="D86" s="34" t="s">
        <v>112</v>
      </c>
      <c r="E86" s="34" t="s">
        <v>112</v>
      </c>
      <c r="F86" s="48">
        <v>42843.0</v>
      </c>
      <c r="G86" s="36">
        <v>42826.0</v>
      </c>
      <c r="H86" s="20" t="str">
        <f t="shared" si="6"/>
        <v>2017</v>
      </c>
      <c r="I86" s="8" t="s">
        <v>186</v>
      </c>
      <c r="J86" s="34" t="s">
        <v>112</v>
      </c>
      <c r="K86" s="34" t="s">
        <v>112</v>
      </c>
      <c r="L86" s="34" t="s">
        <v>100</v>
      </c>
      <c r="M86" s="37" t="s">
        <v>112</v>
      </c>
      <c r="N86" s="34" t="s">
        <v>633</v>
      </c>
      <c r="O86" s="8" t="s">
        <v>634</v>
      </c>
      <c r="P86" s="34" t="s">
        <v>106</v>
      </c>
      <c r="Q86" s="34" t="s">
        <v>112</v>
      </c>
      <c r="R86" s="34">
        <v>342745.0</v>
      </c>
      <c r="S86" s="34">
        <v>9692014.0</v>
      </c>
      <c r="T86" s="68">
        <v>-76.41473524</v>
      </c>
      <c r="U86" s="68">
        <v>-2.78556548</v>
      </c>
      <c r="V86" s="34" t="s">
        <v>190</v>
      </c>
      <c r="W86" s="34" t="s">
        <v>112</v>
      </c>
      <c r="X86" s="34" t="s">
        <v>112</v>
      </c>
      <c r="Y86" s="34" t="s">
        <v>112</v>
      </c>
      <c r="Z86" s="8" t="s">
        <v>148</v>
      </c>
      <c r="AA86" s="23" t="s">
        <v>144</v>
      </c>
      <c r="AB86" s="8"/>
      <c r="AE86" s="24"/>
      <c r="AM86" s="24"/>
    </row>
    <row r="87" ht="15.75" customHeight="1">
      <c r="A87" s="8">
        <v>739.0</v>
      </c>
      <c r="B87" s="39" t="s">
        <v>635</v>
      </c>
      <c r="C87" s="59" t="s">
        <v>51</v>
      </c>
      <c r="D87" s="39" t="s">
        <v>112</v>
      </c>
      <c r="E87" s="89" t="s">
        <v>112</v>
      </c>
      <c r="F87" s="60" t="s">
        <v>636</v>
      </c>
      <c r="G87" s="41">
        <v>42583.0</v>
      </c>
      <c r="H87" s="42" t="str">
        <f t="shared" si="6"/>
        <v>2016</v>
      </c>
      <c r="I87" s="8" t="s">
        <v>186</v>
      </c>
      <c r="J87" s="39" t="s">
        <v>112</v>
      </c>
      <c r="K87" s="39" t="s">
        <v>112</v>
      </c>
      <c r="L87" s="39" t="s">
        <v>100</v>
      </c>
      <c r="M87" s="43" t="s">
        <v>112</v>
      </c>
      <c r="N87" s="39" t="s">
        <v>637</v>
      </c>
      <c r="O87" s="8" t="s">
        <v>638</v>
      </c>
      <c r="P87" s="39" t="s">
        <v>106</v>
      </c>
      <c r="Q87" s="39" t="s">
        <v>112</v>
      </c>
      <c r="R87" s="39">
        <v>342880.8</v>
      </c>
      <c r="S87" s="39">
        <v>9691728.4</v>
      </c>
      <c r="T87" s="51">
        <v>-76.41350948</v>
      </c>
      <c r="U87" s="51">
        <v>-2.78815455</v>
      </c>
      <c r="V87" s="39" t="s">
        <v>548</v>
      </c>
      <c r="W87" s="39" t="s">
        <v>112</v>
      </c>
      <c r="X87" s="39" t="s">
        <v>112</v>
      </c>
      <c r="Y87" s="39" t="s">
        <v>112</v>
      </c>
      <c r="Z87" s="8" t="s">
        <v>69</v>
      </c>
      <c r="AA87" s="23" t="s">
        <v>115</v>
      </c>
      <c r="AB87" s="8" t="s">
        <v>378</v>
      </c>
      <c r="AE87" s="24"/>
      <c r="AM87" s="24"/>
    </row>
    <row r="88" ht="15.75" customHeight="1">
      <c r="A88" s="8">
        <v>710.0</v>
      </c>
      <c r="B88" s="39" t="s">
        <v>639</v>
      </c>
      <c r="C88" s="59" t="s">
        <v>51</v>
      </c>
      <c r="D88" s="39" t="s">
        <v>213</v>
      </c>
      <c r="E88" s="89" t="s">
        <v>112</v>
      </c>
      <c r="F88" s="60" t="s">
        <v>640</v>
      </c>
      <c r="G88" s="74">
        <v>42461.0</v>
      </c>
      <c r="H88" s="42" t="str">
        <f t="shared" si="6"/>
        <v>2016</v>
      </c>
      <c r="I88" s="8" t="s">
        <v>186</v>
      </c>
      <c r="J88" s="39" t="s">
        <v>112</v>
      </c>
      <c r="K88" s="39" t="s">
        <v>112</v>
      </c>
      <c r="L88" s="39" t="s">
        <v>100</v>
      </c>
      <c r="M88" s="43" t="s">
        <v>112</v>
      </c>
      <c r="N88" s="39" t="s">
        <v>641</v>
      </c>
      <c r="O88" s="8" t="s">
        <v>642</v>
      </c>
      <c r="P88" s="39" t="s">
        <v>106</v>
      </c>
      <c r="Q88" s="39" t="s">
        <v>112</v>
      </c>
      <c r="R88" s="39">
        <v>342895.8</v>
      </c>
      <c r="S88" s="39">
        <v>9692176.9</v>
      </c>
      <c r="T88" s="51">
        <v>-76.41336944</v>
      </c>
      <c r="U88" s="51">
        <v>-2.78409863</v>
      </c>
      <c r="V88" s="59" t="s">
        <v>446</v>
      </c>
      <c r="W88" s="39" t="s">
        <v>112</v>
      </c>
      <c r="X88" s="39" t="s">
        <v>112</v>
      </c>
      <c r="Y88" s="39" t="s">
        <v>112</v>
      </c>
      <c r="Z88" s="8" t="s">
        <v>69</v>
      </c>
      <c r="AA88" s="23" t="s">
        <v>115</v>
      </c>
      <c r="AB88" s="8" t="s">
        <v>378</v>
      </c>
      <c r="AE88" s="24"/>
      <c r="AM88" s="24"/>
    </row>
    <row r="89" ht="15.75" customHeight="1">
      <c r="A89" s="8">
        <v>503.0</v>
      </c>
      <c r="B89" s="34" t="s">
        <v>643</v>
      </c>
      <c r="C89" s="28" t="s">
        <v>51</v>
      </c>
      <c r="D89" s="34" t="s">
        <v>112</v>
      </c>
      <c r="E89" s="34" t="s">
        <v>112</v>
      </c>
      <c r="F89" s="35">
        <v>41409.0</v>
      </c>
      <c r="G89" s="36">
        <v>41395.0</v>
      </c>
      <c r="H89" s="20" t="str">
        <f t="shared" si="6"/>
        <v>2013</v>
      </c>
      <c r="I89" s="8" t="s">
        <v>186</v>
      </c>
      <c r="J89" s="34" t="s">
        <v>112</v>
      </c>
      <c r="K89" s="34" t="s">
        <v>112</v>
      </c>
      <c r="L89" s="34" t="s">
        <v>100</v>
      </c>
      <c r="M89" s="37" t="s">
        <v>524</v>
      </c>
      <c r="N89" s="34" t="s">
        <v>644</v>
      </c>
      <c r="O89" s="8" t="s">
        <v>645</v>
      </c>
      <c r="P89" s="34" t="s">
        <v>106</v>
      </c>
      <c r="Q89" s="34" t="s">
        <v>112</v>
      </c>
      <c r="R89" s="34">
        <v>342898.0</v>
      </c>
      <c r="S89" s="34">
        <v>9692189.0</v>
      </c>
      <c r="T89" s="38">
        <v>-2.783989</v>
      </c>
      <c r="U89" s="38">
        <v>-76.413349</v>
      </c>
      <c r="V89" s="28" t="s">
        <v>646</v>
      </c>
      <c r="W89" s="34" t="s">
        <v>112</v>
      </c>
      <c r="X89" s="34" t="s">
        <v>112</v>
      </c>
      <c r="Y89" s="34" t="s">
        <v>112</v>
      </c>
      <c r="Z89" s="8" t="s">
        <v>149</v>
      </c>
      <c r="AA89" s="23" t="s">
        <v>115</v>
      </c>
      <c r="AB89" s="8"/>
      <c r="AE89" s="24"/>
      <c r="AM89" s="24"/>
    </row>
    <row r="90" ht="15.75" customHeight="1">
      <c r="A90" s="8">
        <v>504.0</v>
      </c>
      <c r="B90" s="34" t="s">
        <v>647</v>
      </c>
      <c r="C90" s="28" t="s">
        <v>51</v>
      </c>
      <c r="D90" s="34" t="s">
        <v>112</v>
      </c>
      <c r="E90" s="34" t="s">
        <v>112</v>
      </c>
      <c r="F90" s="35">
        <v>41409.0</v>
      </c>
      <c r="G90" s="36">
        <v>41395.0</v>
      </c>
      <c r="H90" s="20" t="str">
        <f t="shared" si="6"/>
        <v>2013</v>
      </c>
      <c r="I90" s="8" t="s">
        <v>186</v>
      </c>
      <c r="J90" s="34" t="s">
        <v>112</v>
      </c>
      <c r="K90" s="34" t="s">
        <v>112</v>
      </c>
      <c r="L90" s="34" t="s">
        <v>100</v>
      </c>
      <c r="M90" s="37" t="s">
        <v>524</v>
      </c>
      <c r="N90" s="34" t="s">
        <v>648</v>
      </c>
      <c r="O90" s="8" t="s">
        <v>649</v>
      </c>
      <c r="P90" s="34" t="s">
        <v>106</v>
      </c>
      <c r="Q90" s="34" t="s">
        <v>112</v>
      </c>
      <c r="R90" s="34">
        <v>343605.0</v>
      </c>
      <c r="S90" s="34">
        <v>9692219.0</v>
      </c>
      <c r="T90" s="38">
        <v>-2.7837253</v>
      </c>
      <c r="U90" s="38">
        <v>-76.40699</v>
      </c>
      <c r="V90" s="28" t="s">
        <v>631</v>
      </c>
      <c r="W90" s="34" t="s">
        <v>112</v>
      </c>
      <c r="X90" s="34" t="s">
        <v>112</v>
      </c>
      <c r="Y90" s="34" t="s">
        <v>112</v>
      </c>
      <c r="Z90" s="8" t="s">
        <v>149</v>
      </c>
      <c r="AA90" s="23" t="s">
        <v>115</v>
      </c>
      <c r="AB90" s="8"/>
      <c r="AE90" s="24"/>
      <c r="AM90" s="24"/>
    </row>
    <row r="91" ht="15.75" customHeight="1">
      <c r="A91" s="8">
        <v>505.0</v>
      </c>
      <c r="B91" s="34" t="s">
        <v>650</v>
      </c>
      <c r="C91" s="34" t="s">
        <v>51</v>
      </c>
      <c r="D91" s="34" t="s">
        <v>112</v>
      </c>
      <c r="E91" s="34" t="s">
        <v>112</v>
      </c>
      <c r="F91" s="35">
        <v>41409.0</v>
      </c>
      <c r="G91" s="36">
        <v>41395.0</v>
      </c>
      <c r="H91" s="20" t="str">
        <f t="shared" si="6"/>
        <v>2013</v>
      </c>
      <c r="I91" s="8" t="s">
        <v>186</v>
      </c>
      <c r="J91" s="34" t="s">
        <v>112</v>
      </c>
      <c r="K91" s="34" t="s">
        <v>112</v>
      </c>
      <c r="L91" s="34" t="s">
        <v>100</v>
      </c>
      <c r="M91" s="37" t="s">
        <v>524</v>
      </c>
      <c r="N91" s="34" t="s">
        <v>651</v>
      </c>
      <c r="O91" s="8" t="s">
        <v>652</v>
      </c>
      <c r="P91" s="34" t="s">
        <v>106</v>
      </c>
      <c r="Q91" s="34" t="s">
        <v>112</v>
      </c>
      <c r="R91" s="34">
        <v>345293.0</v>
      </c>
      <c r="S91" s="34">
        <v>9682494.0</v>
      </c>
      <c r="T91" s="38">
        <v>-2.8717003</v>
      </c>
      <c r="U91" s="38">
        <v>-76.391912</v>
      </c>
      <c r="V91" s="34" t="s">
        <v>653</v>
      </c>
      <c r="W91" s="34" t="s">
        <v>112</v>
      </c>
      <c r="X91" s="34" t="s">
        <v>112</v>
      </c>
      <c r="Y91" s="34" t="s">
        <v>112</v>
      </c>
      <c r="Z91" s="8" t="s">
        <v>149</v>
      </c>
      <c r="AA91" s="23" t="s">
        <v>115</v>
      </c>
      <c r="AB91" s="8"/>
      <c r="AE91" s="24"/>
      <c r="AM91" s="24"/>
    </row>
    <row r="92" ht="15.75" customHeight="1">
      <c r="A92" s="8">
        <v>632.0</v>
      </c>
      <c r="B92" s="39" t="s">
        <v>654</v>
      </c>
      <c r="C92" s="59" t="s">
        <v>51</v>
      </c>
      <c r="D92" s="39" t="s">
        <v>112</v>
      </c>
      <c r="E92" s="39" t="s">
        <v>112</v>
      </c>
      <c r="F92" s="90" t="s">
        <v>655</v>
      </c>
      <c r="G92" s="41">
        <v>42248.0</v>
      </c>
      <c r="H92" s="42" t="str">
        <f t="shared" si="6"/>
        <v>2015</v>
      </c>
      <c r="I92" s="8" t="s">
        <v>176</v>
      </c>
      <c r="J92" s="39" t="s">
        <v>112</v>
      </c>
      <c r="K92" s="39" t="s">
        <v>112</v>
      </c>
      <c r="L92" s="39" t="s">
        <v>100</v>
      </c>
      <c r="M92" s="78" t="s">
        <v>513</v>
      </c>
      <c r="N92" s="39" t="s">
        <v>656</v>
      </c>
      <c r="O92" s="8" t="s">
        <v>657</v>
      </c>
      <c r="P92" s="39" t="s">
        <v>106</v>
      </c>
      <c r="Q92" s="39" t="s">
        <v>112</v>
      </c>
      <c r="R92" s="51">
        <v>346999.0</v>
      </c>
      <c r="S92" s="51">
        <v>9679566.0</v>
      </c>
      <c r="T92" s="39" t="s">
        <v>112</v>
      </c>
      <c r="U92" s="39" t="s">
        <v>112</v>
      </c>
      <c r="V92" s="59" t="s">
        <v>446</v>
      </c>
      <c r="W92" s="39" t="s">
        <v>112</v>
      </c>
      <c r="X92" s="39" t="s">
        <v>112</v>
      </c>
      <c r="Y92" s="39" t="s">
        <v>112</v>
      </c>
      <c r="Z92" s="8" t="s">
        <v>69</v>
      </c>
      <c r="AA92" s="23" t="s">
        <v>115</v>
      </c>
      <c r="AB92" s="8"/>
      <c r="AE92" s="24"/>
      <c r="AM92" s="24"/>
    </row>
    <row r="93" ht="15.75" customHeight="1">
      <c r="A93" s="8">
        <v>720.0</v>
      </c>
      <c r="B93" s="39" t="s">
        <v>658</v>
      </c>
      <c r="C93" s="59" t="s">
        <v>51</v>
      </c>
      <c r="D93" s="39" t="s">
        <v>213</v>
      </c>
      <c r="E93" s="39" t="s">
        <v>112</v>
      </c>
      <c r="F93" s="60" t="s">
        <v>659</v>
      </c>
      <c r="G93" s="41">
        <v>42491.0</v>
      </c>
      <c r="H93" s="42" t="str">
        <f t="shared" si="6"/>
        <v>2016</v>
      </c>
      <c r="I93" s="8" t="s">
        <v>186</v>
      </c>
      <c r="J93" s="39" t="s">
        <v>112</v>
      </c>
      <c r="K93" s="39" t="s">
        <v>112</v>
      </c>
      <c r="L93" s="39" t="s">
        <v>100</v>
      </c>
      <c r="M93" s="43" t="s">
        <v>187</v>
      </c>
      <c r="N93" s="39" t="s">
        <v>660</v>
      </c>
      <c r="O93" s="8" t="s">
        <v>661</v>
      </c>
      <c r="P93" s="39" t="s">
        <v>106</v>
      </c>
      <c r="Q93" s="39" t="s">
        <v>112</v>
      </c>
      <c r="R93" s="39">
        <v>350213.8</v>
      </c>
      <c r="S93" s="39">
        <v>9680257.2</v>
      </c>
      <c r="T93" s="39">
        <v>-76.34767124</v>
      </c>
      <c r="U93" s="39">
        <v>-2.89198466</v>
      </c>
      <c r="V93" s="59" t="s">
        <v>221</v>
      </c>
      <c r="W93" s="39" t="s">
        <v>112</v>
      </c>
      <c r="X93" s="39" t="s">
        <v>112</v>
      </c>
      <c r="Y93" s="39" t="s">
        <v>112</v>
      </c>
      <c r="Z93" s="8" t="s">
        <v>69</v>
      </c>
      <c r="AA93" s="23" t="s">
        <v>115</v>
      </c>
      <c r="AB93" s="8" t="s">
        <v>378</v>
      </c>
      <c r="AE93" s="24"/>
      <c r="AM93" s="24"/>
    </row>
    <row r="94" ht="15.75" customHeight="1">
      <c r="A94" s="8">
        <v>575.0</v>
      </c>
      <c r="B94" s="34" t="s">
        <v>662</v>
      </c>
      <c r="C94" s="34" t="s">
        <v>53</v>
      </c>
      <c r="D94" s="68" t="s">
        <v>663</v>
      </c>
      <c r="E94" s="34" t="s">
        <v>112</v>
      </c>
      <c r="F94" s="35">
        <v>41776.0</v>
      </c>
      <c r="G94" s="36">
        <v>41760.0</v>
      </c>
      <c r="H94" s="20" t="str">
        <f t="shared" si="6"/>
        <v>2014</v>
      </c>
      <c r="I94" s="8" t="s">
        <v>614</v>
      </c>
      <c r="J94" s="34" t="s">
        <v>112</v>
      </c>
      <c r="K94" s="34" t="s">
        <v>112</v>
      </c>
      <c r="L94" s="34" t="s">
        <v>100</v>
      </c>
      <c r="M94" s="68" t="s">
        <v>177</v>
      </c>
      <c r="N94" s="34" t="s">
        <v>664</v>
      </c>
      <c r="O94" s="23" t="s">
        <v>665</v>
      </c>
      <c r="P94" s="34" t="s">
        <v>106</v>
      </c>
      <c r="Q94" s="34" t="s">
        <v>112</v>
      </c>
      <c r="R94" s="34">
        <v>350634.0</v>
      </c>
      <c r="S94" s="34">
        <v>9679091.0</v>
      </c>
      <c r="T94" s="38">
        <v>-2.9025368</v>
      </c>
      <c r="U94" s="38">
        <v>-76.343903</v>
      </c>
      <c r="V94" s="34" t="s">
        <v>109</v>
      </c>
      <c r="W94" s="34" t="s">
        <v>112</v>
      </c>
      <c r="X94" s="34">
        <v>1.0</v>
      </c>
      <c r="Y94" s="34" t="s">
        <v>666</v>
      </c>
      <c r="Z94" s="8" t="s">
        <v>149</v>
      </c>
      <c r="AA94" s="23" t="s">
        <v>115</v>
      </c>
      <c r="AB94" s="8"/>
      <c r="AE94" s="24"/>
      <c r="AM94" s="24"/>
    </row>
    <row r="95" ht="15.75" customHeight="1">
      <c r="A95" s="8">
        <v>576.0</v>
      </c>
      <c r="B95" s="34" t="s">
        <v>667</v>
      </c>
      <c r="C95" s="34" t="s">
        <v>51</v>
      </c>
      <c r="D95" s="34" t="s">
        <v>168</v>
      </c>
      <c r="E95" s="34" t="s">
        <v>112</v>
      </c>
      <c r="F95" s="35">
        <v>41776.0</v>
      </c>
      <c r="G95" s="36">
        <v>41760.0</v>
      </c>
      <c r="H95" s="20" t="str">
        <f t="shared" si="6"/>
        <v>2014</v>
      </c>
      <c r="I95" s="8" t="s">
        <v>63</v>
      </c>
      <c r="J95" s="34" t="s">
        <v>112</v>
      </c>
      <c r="K95" s="34" t="s">
        <v>112</v>
      </c>
      <c r="L95" s="34" t="s">
        <v>100</v>
      </c>
      <c r="M95" s="37" t="s">
        <v>112</v>
      </c>
      <c r="N95" s="34" t="s">
        <v>668</v>
      </c>
      <c r="O95" s="23" t="s">
        <v>669</v>
      </c>
      <c r="P95" s="34" t="s">
        <v>106</v>
      </c>
      <c r="Q95" s="34" t="s">
        <v>112</v>
      </c>
      <c r="R95" s="34">
        <v>350881.0</v>
      </c>
      <c r="S95" s="34">
        <v>9678343.0</v>
      </c>
      <c r="T95" s="38">
        <v>-2.9093048</v>
      </c>
      <c r="U95" s="38">
        <v>-76.341689</v>
      </c>
      <c r="V95" s="34" t="s">
        <v>109</v>
      </c>
      <c r="W95" s="34" t="s">
        <v>112</v>
      </c>
      <c r="X95" s="34" t="s">
        <v>112</v>
      </c>
      <c r="Y95" s="34" t="s">
        <v>112</v>
      </c>
      <c r="Z95" s="8" t="s">
        <v>149</v>
      </c>
      <c r="AA95" s="23" t="s">
        <v>115</v>
      </c>
      <c r="AB95" s="8"/>
      <c r="AE95" s="24"/>
      <c r="AM95" s="24"/>
    </row>
    <row r="96" ht="15.75" customHeight="1">
      <c r="A96" s="8">
        <v>892.0</v>
      </c>
      <c r="B96" s="34" t="s">
        <v>670</v>
      </c>
      <c r="C96" s="34" t="s">
        <v>52</v>
      </c>
      <c r="D96" s="34" t="s">
        <v>511</v>
      </c>
      <c r="E96" s="34" t="s">
        <v>112</v>
      </c>
      <c r="F96" s="91">
        <v>43149.0</v>
      </c>
      <c r="G96" s="36">
        <v>43132.0</v>
      </c>
      <c r="H96" s="20" t="str">
        <f t="shared" si="6"/>
        <v>2018</v>
      </c>
      <c r="I96" s="8" t="s">
        <v>176</v>
      </c>
      <c r="J96" s="34" t="s">
        <v>112</v>
      </c>
      <c r="K96" s="34" t="s">
        <v>112</v>
      </c>
      <c r="L96" s="34" t="s">
        <v>100</v>
      </c>
      <c r="M96" s="34" t="s">
        <v>513</v>
      </c>
      <c r="N96" s="34" t="s">
        <v>671</v>
      </c>
      <c r="O96" s="8" t="s">
        <v>672</v>
      </c>
      <c r="P96" s="34" t="s">
        <v>106</v>
      </c>
      <c r="Q96" s="34" t="s">
        <v>112</v>
      </c>
      <c r="R96" s="34">
        <v>352396.0</v>
      </c>
      <c r="S96" s="34">
        <v>9701575.0</v>
      </c>
      <c r="T96" s="68">
        <v>-76.2389676386541</v>
      </c>
      <c r="U96" s="28">
        <v>-2.7510997</v>
      </c>
      <c r="V96" s="28" t="s">
        <v>673</v>
      </c>
      <c r="W96" s="34" t="s">
        <v>112</v>
      </c>
      <c r="X96" s="34" t="s">
        <v>112</v>
      </c>
      <c r="Y96" s="34" t="s">
        <v>112</v>
      </c>
      <c r="Z96" s="8" t="s">
        <v>148</v>
      </c>
      <c r="AA96" s="23" t="s">
        <v>144</v>
      </c>
      <c r="AB96" s="8"/>
      <c r="AE96" s="24"/>
      <c r="AM96" s="24"/>
    </row>
    <row r="97" ht="15.75" customHeight="1">
      <c r="A97" s="8">
        <v>121.0</v>
      </c>
      <c r="B97" s="17" t="s">
        <v>674</v>
      </c>
      <c r="C97" s="8" t="s">
        <v>50</v>
      </c>
      <c r="D97" s="8" t="s">
        <v>89</v>
      </c>
      <c r="E97" s="8" t="s">
        <v>675</v>
      </c>
      <c r="F97" s="17" t="s">
        <v>676</v>
      </c>
      <c r="G97" s="17" t="s">
        <v>112</v>
      </c>
      <c r="H97" s="28" t="s">
        <v>112</v>
      </c>
      <c r="I97" s="8" t="s">
        <v>97</v>
      </c>
      <c r="J97" s="8" t="s">
        <v>158</v>
      </c>
      <c r="K97" s="8" t="s">
        <v>164</v>
      </c>
      <c r="L97" s="17" t="s">
        <v>100</v>
      </c>
      <c r="M97" s="8" t="s">
        <v>150</v>
      </c>
      <c r="N97" s="8" t="s">
        <v>677</v>
      </c>
      <c r="O97" s="8" t="s">
        <v>678</v>
      </c>
      <c r="P97" s="8" t="s">
        <v>106</v>
      </c>
      <c r="Q97" s="8" t="s">
        <v>679</v>
      </c>
      <c r="R97" s="92">
        <v>352399.0</v>
      </c>
      <c r="S97" s="92">
        <v>9701565.0</v>
      </c>
      <c r="T97" s="8">
        <v>-2.69928587</v>
      </c>
      <c r="U97" s="8">
        <v>-76.32779277</v>
      </c>
      <c r="V97" s="8" t="s">
        <v>680</v>
      </c>
      <c r="W97" s="8" t="s">
        <v>681</v>
      </c>
      <c r="X97" s="8" t="s">
        <v>112</v>
      </c>
      <c r="Y97" s="8" t="s">
        <v>112</v>
      </c>
      <c r="Z97" s="23" t="s">
        <v>42</v>
      </c>
      <c r="AA97" s="23" t="s">
        <v>115</v>
      </c>
      <c r="AB97" s="8" t="s">
        <v>112</v>
      </c>
      <c r="AE97" s="24"/>
      <c r="AM97" s="24"/>
    </row>
    <row r="98" ht="15.75" customHeight="1">
      <c r="A98" s="8">
        <v>4.0</v>
      </c>
      <c r="B98" s="17" t="s">
        <v>682</v>
      </c>
      <c r="C98" s="8" t="s">
        <v>50</v>
      </c>
      <c r="D98" s="8" t="s">
        <v>683</v>
      </c>
      <c r="E98" s="8" t="s">
        <v>675</v>
      </c>
      <c r="F98" s="27">
        <v>43162.0</v>
      </c>
      <c r="G98" s="17" t="s">
        <v>112</v>
      </c>
      <c r="H98" s="28" t="s">
        <v>112</v>
      </c>
      <c r="I98" s="8" t="s">
        <v>684</v>
      </c>
      <c r="J98" s="8" t="s">
        <v>112</v>
      </c>
      <c r="K98" s="29" t="s">
        <v>164</v>
      </c>
      <c r="L98" s="17" t="s">
        <v>100</v>
      </c>
      <c r="M98" s="8" t="s">
        <v>150</v>
      </c>
      <c r="N98" s="8" t="s">
        <v>685</v>
      </c>
      <c r="O98" s="8" t="s">
        <v>686</v>
      </c>
      <c r="P98" s="8" t="s">
        <v>106</v>
      </c>
      <c r="Q98" s="8" t="s">
        <v>687</v>
      </c>
      <c r="R98" s="92">
        <v>355654.0</v>
      </c>
      <c r="S98" s="92">
        <v>9698223.0</v>
      </c>
      <c r="T98" s="8">
        <v>-2.7295422</v>
      </c>
      <c r="U98" s="8">
        <v>-76.29855146</v>
      </c>
      <c r="V98" s="8" t="s">
        <v>680</v>
      </c>
      <c r="W98" s="8" t="s">
        <v>112</v>
      </c>
      <c r="X98" s="8" t="s">
        <v>112</v>
      </c>
      <c r="Y98" s="8" t="s">
        <v>112</v>
      </c>
      <c r="Z98" s="23" t="s">
        <v>42</v>
      </c>
      <c r="AA98" s="23" t="s">
        <v>115</v>
      </c>
      <c r="AB98" s="8" t="s">
        <v>342</v>
      </c>
      <c r="AE98" s="24"/>
      <c r="AM98" s="24"/>
    </row>
    <row r="99" ht="15.75" customHeight="1">
      <c r="A99" s="8">
        <v>3.0</v>
      </c>
      <c r="B99" s="17" t="s">
        <v>688</v>
      </c>
      <c r="C99" s="8" t="s">
        <v>50</v>
      </c>
      <c r="D99" s="8" t="s">
        <v>683</v>
      </c>
      <c r="E99" s="8" t="s">
        <v>675</v>
      </c>
      <c r="F99" s="27">
        <v>43162.0</v>
      </c>
      <c r="G99" s="17" t="s">
        <v>112</v>
      </c>
      <c r="H99" s="28" t="s">
        <v>112</v>
      </c>
      <c r="I99" s="8" t="s">
        <v>97</v>
      </c>
      <c r="J99" s="8" t="s">
        <v>689</v>
      </c>
      <c r="K99" s="8" t="s">
        <v>164</v>
      </c>
      <c r="L99" s="17" t="s">
        <v>100</v>
      </c>
      <c r="M99" s="8" t="s">
        <v>150</v>
      </c>
      <c r="N99" s="8" t="s">
        <v>690</v>
      </c>
      <c r="O99" s="23" t="s">
        <v>691</v>
      </c>
      <c r="P99" s="8" t="s">
        <v>106</v>
      </c>
      <c r="Q99" s="8" t="s">
        <v>692</v>
      </c>
      <c r="R99" s="92">
        <v>357453.0</v>
      </c>
      <c r="S99" s="92">
        <v>9697216.0</v>
      </c>
      <c r="T99" s="8">
        <v>-2.73866914</v>
      </c>
      <c r="U99" s="8">
        <v>-76.28237292</v>
      </c>
      <c r="V99" s="8" t="s">
        <v>680</v>
      </c>
      <c r="W99" s="8" t="s">
        <v>112</v>
      </c>
      <c r="X99" s="8" t="s">
        <v>112</v>
      </c>
      <c r="Y99" s="8" t="s">
        <v>112</v>
      </c>
      <c r="Z99" s="23" t="s">
        <v>42</v>
      </c>
      <c r="AA99" s="23" t="s">
        <v>115</v>
      </c>
      <c r="AB99" s="8" t="s">
        <v>112</v>
      </c>
      <c r="AE99" s="24"/>
      <c r="AM99" s="24"/>
    </row>
    <row r="100" ht="15.75" customHeight="1">
      <c r="A100" s="52">
        <v>991.0</v>
      </c>
      <c r="B100" s="58" t="s">
        <v>693</v>
      </c>
      <c r="C100" s="58" t="s">
        <v>50</v>
      </c>
      <c r="D100" s="58" t="s">
        <v>694</v>
      </c>
      <c r="E100" s="58" t="s">
        <v>695</v>
      </c>
      <c r="F100" s="58" t="s">
        <v>696</v>
      </c>
      <c r="G100" s="58" t="s">
        <v>696</v>
      </c>
      <c r="H100" s="55">
        <v>2023.0</v>
      </c>
      <c r="I100" s="53" t="s">
        <v>97</v>
      </c>
      <c r="J100" s="58" t="s">
        <v>230</v>
      </c>
      <c r="K100" s="58" t="s">
        <v>164</v>
      </c>
      <c r="L100" s="58" t="s">
        <v>100</v>
      </c>
      <c r="M100" s="58" t="s">
        <v>485</v>
      </c>
      <c r="N100" s="58" t="s">
        <v>697</v>
      </c>
      <c r="O100" s="58" t="s">
        <v>698</v>
      </c>
      <c r="P100" s="58" t="s">
        <v>699</v>
      </c>
      <c r="Q100" s="58"/>
      <c r="R100" s="58">
        <v>360484.0</v>
      </c>
      <c r="S100" s="58">
        <v>9709787.0</v>
      </c>
      <c r="T100" s="57"/>
      <c r="U100" s="57"/>
      <c r="V100" s="58" t="s">
        <v>700</v>
      </c>
      <c r="W100" s="58"/>
      <c r="X100" s="58"/>
      <c r="Y100" s="58"/>
      <c r="Z100" s="58"/>
      <c r="AA100" s="58"/>
      <c r="AB100" s="58"/>
      <c r="AE100" s="24"/>
      <c r="AM100" s="24"/>
    </row>
    <row r="101" ht="15.75" customHeight="1">
      <c r="A101" s="52">
        <v>986.0</v>
      </c>
      <c r="B101" s="58" t="s">
        <v>701</v>
      </c>
      <c r="C101" s="58" t="s">
        <v>50</v>
      </c>
      <c r="D101" s="58" t="s">
        <v>694</v>
      </c>
      <c r="E101" s="58" t="s">
        <v>675</v>
      </c>
      <c r="F101" s="93">
        <v>45232.0</v>
      </c>
      <c r="G101" s="93">
        <v>44968.0</v>
      </c>
      <c r="H101" s="55">
        <v>2023.0</v>
      </c>
      <c r="I101" s="53" t="s">
        <v>97</v>
      </c>
      <c r="J101" s="58"/>
      <c r="K101" s="58" t="s">
        <v>164</v>
      </c>
      <c r="L101" s="58" t="s">
        <v>100</v>
      </c>
      <c r="M101" s="58" t="s">
        <v>485</v>
      </c>
      <c r="N101" s="58"/>
      <c r="O101" s="58" t="s">
        <v>702</v>
      </c>
      <c r="P101" s="58" t="s">
        <v>699</v>
      </c>
      <c r="Q101" s="58"/>
      <c r="R101" s="58">
        <v>360520.0</v>
      </c>
      <c r="S101" s="58">
        <v>9709822.0</v>
      </c>
      <c r="T101" s="57"/>
      <c r="U101" s="57"/>
      <c r="V101" s="58" t="s">
        <v>703</v>
      </c>
      <c r="W101" s="58"/>
      <c r="X101" s="58"/>
      <c r="Y101" s="58"/>
      <c r="Z101" s="58"/>
      <c r="AA101" s="58"/>
      <c r="AB101" s="58"/>
      <c r="AE101" s="24"/>
      <c r="AM101" s="24"/>
    </row>
    <row r="102" ht="15.75" customHeight="1">
      <c r="A102" s="52">
        <v>964.0</v>
      </c>
      <c r="B102" s="53" t="s">
        <v>704</v>
      </c>
      <c r="C102" s="53" t="s">
        <v>50</v>
      </c>
      <c r="D102" s="53" t="s">
        <v>694</v>
      </c>
      <c r="E102" s="53" t="s">
        <v>695</v>
      </c>
      <c r="F102" s="53" t="s">
        <v>705</v>
      </c>
      <c r="G102" s="53" t="s">
        <v>705</v>
      </c>
      <c r="H102" s="55">
        <v>2021.0</v>
      </c>
      <c r="I102" s="53" t="s">
        <v>97</v>
      </c>
      <c r="J102" s="53" t="s">
        <v>230</v>
      </c>
      <c r="K102" s="53" t="s">
        <v>164</v>
      </c>
      <c r="L102" s="53" t="s">
        <v>100</v>
      </c>
      <c r="M102" s="53" t="s">
        <v>485</v>
      </c>
      <c r="N102" s="53" t="s">
        <v>706</v>
      </c>
      <c r="O102" s="53" t="s">
        <v>707</v>
      </c>
      <c r="P102" s="53" t="s">
        <v>106</v>
      </c>
      <c r="Q102" s="53"/>
      <c r="R102" s="53">
        <v>362230.0</v>
      </c>
      <c r="S102" s="53">
        <v>9730173.0</v>
      </c>
      <c r="T102" s="57"/>
      <c r="U102" s="58"/>
      <c r="V102" s="53" t="s">
        <v>700</v>
      </c>
      <c r="W102" s="58"/>
      <c r="X102" s="58"/>
      <c r="Y102" s="58"/>
      <c r="Z102" s="58"/>
      <c r="AA102" s="58"/>
      <c r="AB102" s="58"/>
      <c r="AE102" s="24"/>
      <c r="AM102" s="24"/>
    </row>
    <row r="103" ht="15.75" customHeight="1">
      <c r="A103" s="52">
        <v>961.0</v>
      </c>
      <c r="B103" s="53" t="s">
        <v>708</v>
      </c>
      <c r="C103" s="53" t="s">
        <v>50</v>
      </c>
      <c r="D103" s="53" t="s">
        <v>694</v>
      </c>
      <c r="E103" s="53" t="s">
        <v>695</v>
      </c>
      <c r="F103" s="53" t="s">
        <v>709</v>
      </c>
      <c r="G103" s="53" t="s">
        <v>709</v>
      </c>
      <c r="H103" s="55">
        <v>2021.0</v>
      </c>
      <c r="I103" s="53" t="s">
        <v>97</v>
      </c>
      <c r="J103" s="53" t="s">
        <v>230</v>
      </c>
      <c r="K103" s="53" t="s">
        <v>164</v>
      </c>
      <c r="L103" s="53" t="s">
        <v>100</v>
      </c>
      <c r="M103" s="53" t="s">
        <v>485</v>
      </c>
      <c r="N103" s="53" t="s">
        <v>710</v>
      </c>
      <c r="O103" s="53" t="s">
        <v>707</v>
      </c>
      <c r="P103" s="53" t="s">
        <v>106</v>
      </c>
      <c r="Q103" s="53"/>
      <c r="R103" s="53">
        <v>362234.0</v>
      </c>
      <c r="S103" s="53">
        <v>9730173.0</v>
      </c>
      <c r="T103" s="57"/>
      <c r="U103" s="58"/>
      <c r="V103" s="53"/>
      <c r="W103" s="58"/>
      <c r="X103" s="58"/>
      <c r="Y103" s="58"/>
      <c r="Z103" s="58"/>
      <c r="AA103" s="58"/>
      <c r="AB103" s="58"/>
      <c r="AE103" s="24"/>
      <c r="AM103" s="24"/>
    </row>
    <row r="104" ht="15.75" customHeight="1">
      <c r="A104" s="8">
        <v>568.0</v>
      </c>
      <c r="B104" s="80" t="s">
        <v>711</v>
      </c>
      <c r="C104" s="28" t="s">
        <v>48</v>
      </c>
      <c r="D104" s="68" t="s">
        <v>112</v>
      </c>
      <c r="E104" s="34" t="s">
        <v>112</v>
      </c>
      <c r="F104" s="94">
        <v>41760.0</v>
      </c>
      <c r="G104" s="95">
        <v>41760.0</v>
      </c>
      <c r="H104" s="20" t="str">
        <f t="shared" ref="H104:H105" si="7">TEXT(G104, "yyyy")</f>
        <v>2014</v>
      </c>
      <c r="I104" s="8" t="s">
        <v>176</v>
      </c>
      <c r="J104" s="68" t="s">
        <v>112</v>
      </c>
      <c r="K104" s="68" t="s">
        <v>112</v>
      </c>
      <c r="L104" s="28" t="s">
        <v>100</v>
      </c>
      <c r="M104" s="20" t="s">
        <v>177</v>
      </c>
      <c r="N104" s="34" t="s">
        <v>112</v>
      </c>
      <c r="O104" s="8" t="s">
        <v>712</v>
      </c>
      <c r="P104" s="34" t="s">
        <v>106</v>
      </c>
      <c r="Q104" s="68" t="s">
        <v>112</v>
      </c>
      <c r="R104" s="28">
        <v>362370.0</v>
      </c>
      <c r="S104" s="28">
        <v>9714394.0</v>
      </c>
      <c r="T104" s="38">
        <v>-2.583343</v>
      </c>
      <c r="U104" s="38">
        <v>-76.237999</v>
      </c>
      <c r="V104" s="28" t="s">
        <v>713</v>
      </c>
      <c r="W104" s="68" t="s">
        <v>112</v>
      </c>
      <c r="X104" s="68" t="s">
        <v>112</v>
      </c>
      <c r="Y104" s="68" t="s">
        <v>112</v>
      </c>
      <c r="Z104" s="8" t="s">
        <v>149</v>
      </c>
      <c r="AA104" s="23" t="s">
        <v>115</v>
      </c>
      <c r="AB104" s="8"/>
      <c r="AE104" s="24"/>
      <c r="AM104" s="24"/>
    </row>
    <row r="105" ht="15.75" customHeight="1">
      <c r="A105" s="8">
        <v>282.0</v>
      </c>
      <c r="B105" s="39" t="s">
        <v>714</v>
      </c>
      <c r="C105" s="59" t="s">
        <v>48</v>
      </c>
      <c r="D105" s="39" t="s">
        <v>112</v>
      </c>
      <c r="E105" s="39" t="s">
        <v>112</v>
      </c>
      <c r="F105" s="43">
        <v>39447.0</v>
      </c>
      <c r="G105" s="41">
        <v>39173.0</v>
      </c>
      <c r="H105" s="42" t="str">
        <f t="shared" si="7"/>
        <v>2007</v>
      </c>
      <c r="I105" s="8" t="s">
        <v>176</v>
      </c>
      <c r="J105" s="39" t="s">
        <v>112</v>
      </c>
      <c r="K105" s="39" t="s">
        <v>112</v>
      </c>
      <c r="L105" s="59" t="s">
        <v>100</v>
      </c>
      <c r="M105" s="43" t="s">
        <v>177</v>
      </c>
      <c r="N105" s="44" t="s">
        <v>715</v>
      </c>
      <c r="O105" s="45" t="s">
        <v>716</v>
      </c>
      <c r="P105" s="39" t="s">
        <v>106</v>
      </c>
      <c r="Q105" s="39" t="s">
        <v>112</v>
      </c>
      <c r="R105" s="96">
        <v>362395.0</v>
      </c>
      <c r="S105" s="59">
        <v>9716727.0</v>
      </c>
      <c r="T105" s="39" t="s">
        <v>112</v>
      </c>
      <c r="U105" s="39" t="s">
        <v>112</v>
      </c>
      <c r="V105" s="59" t="s">
        <v>717</v>
      </c>
      <c r="W105" s="39" t="s">
        <v>112</v>
      </c>
      <c r="X105" s="39">
        <v>1.0</v>
      </c>
      <c r="Y105" s="39" t="s">
        <v>718</v>
      </c>
      <c r="Z105" s="8" t="s">
        <v>36</v>
      </c>
      <c r="AA105" s="23" t="s">
        <v>144</v>
      </c>
      <c r="AB105" s="21" t="s">
        <v>391</v>
      </c>
      <c r="AE105" s="24"/>
      <c r="AM105" s="24"/>
    </row>
    <row r="106" ht="15.75" customHeight="1">
      <c r="A106" s="52">
        <v>987.0</v>
      </c>
      <c r="B106" s="58" t="s">
        <v>719</v>
      </c>
      <c r="C106" s="58" t="s">
        <v>50</v>
      </c>
      <c r="D106" s="58" t="s">
        <v>694</v>
      </c>
      <c r="E106" s="58" t="s">
        <v>695</v>
      </c>
      <c r="F106" s="58" t="s">
        <v>720</v>
      </c>
      <c r="G106" s="58" t="s">
        <v>720</v>
      </c>
      <c r="H106" s="55">
        <v>2023.0</v>
      </c>
      <c r="I106" s="53" t="s">
        <v>97</v>
      </c>
      <c r="J106" s="58"/>
      <c r="K106" s="58" t="s">
        <v>164</v>
      </c>
      <c r="L106" s="58" t="s">
        <v>100</v>
      </c>
      <c r="M106" s="58" t="s">
        <v>485</v>
      </c>
      <c r="N106" s="58" t="s">
        <v>721</v>
      </c>
      <c r="O106" s="58" t="s">
        <v>722</v>
      </c>
      <c r="P106" s="58" t="s">
        <v>699</v>
      </c>
      <c r="Q106" s="58"/>
      <c r="R106" s="58">
        <v>362628.0</v>
      </c>
      <c r="S106" s="58">
        <v>9714205.0</v>
      </c>
      <c r="T106" s="57"/>
      <c r="U106" s="57"/>
      <c r="V106" s="58" t="s">
        <v>723</v>
      </c>
      <c r="W106" s="58" t="s">
        <v>724</v>
      </c>
      <c r="X106" s="58"/>
      <c r="Y106" s="58"/>
      <c r="Z106" s="58"/>
      <c r="AA106" s="58"/>
      <c r="AB106" s="58"/>
      <c r="AE106" s="24"/>
      <c r="AM106" s="24"/>
    </row>
    <row r="107" ht="15.75" customHeight="1">
      <c r="A107" s="97">
        <v>942.0</v>
      </c>
      <c r="B107" s="98" t="s">
        <v>725</v>
      </c>
      <c r="C107" s="99" t="s">
        <v>50</v>
      </c>
      <c r="D107" s="99" t="s">
        <v>225</v>
      </c>
      <c r="E107" s="100" t="s">
        <v>726</v>
      </c>
      <c r="F107" s="98" t="s">
        <v>727</v>
      </c>
      <c r="G107" s="101">
        <v>43862.0</v>
      </c>
      <c r="H107" s="102">
        <v>2020.0</v>
      </c>
      <c r="I107" s="99" t="s">
        <v>97</v>
      </c>
      <c r="J107" s="99" t="s">
        <v>230</v>
      </c>
      <c r="K107" s="99" t="s">
        <v>164</v>
      </c>
      <c r="L107" s="98" t="s">
        <v>100</v>
      </c>
      <c r="M107" s="99" t="s">
        <v>150</v>
      </c>
      <c r="N107" s="99" t="s">
        <v>728</v>
      </c>
      <c r="O107" s="99" t="s">
        <v>729</v>
      </c>
      <c r="P107" s="99" t="s">
        <v>106</v>
      </c>
      <c r="Q107" s="99" t="s">
        <v>112</v>
      </c>
      <c r="R107" s="52">
        <v>363045.0</v>
      </c>
      <c r="S107" s="52">
        <v>9714643.0</v>
      </c>
      <c r="T107" s="99" t="s">
        <v>112</v>
      </c>
      <c r="U107" s="99" t="s">
        <v>112</v>
      </c>
      <c r="V107" s="99" t="s">
        <v>700</v>
      </c>
      <c r="W107" s="99" t="s">
        <v>730</v>
      </c>
      <c r="X107" s="99" t="s">
        <v>731</v>
      </c>
      <c r="Y107" s="99" t="s">
        <v>732</v>
      </c>
      <c r="Z107" s="99" t="s">
        <v>148</v>
      </c>
      <c r="AA107" s="99" t="s">
        <v>144</v>
      </c>
      <c r="AB107" s="103"/>
      <c r="AE107" s="24"/>
      <c r="AM107" s="24"/>
    </row>
    <row r="108" ht="15.75" customHeight="1">
      <c r="A108" s="8">
        <v>132.0</v>
      </c>
      <c r="B108" s="17" t="s">
        <v>733</v>
      </c>
      <c r="C108" s="8" t="s">
        <v>50</v>
      </c>
      <c r="D108" s="8" t="s">
        <v>225</v>
      </c>
      <c r="E108" s="23" t="s">
        <v>726</v>
      </c>
      <c r="F108" s="17" t="s">
        <v>734</v>
      </c>
      <c r="G108" s="17" t="s">
        <v>112</v>
      </c>
      <c r="H108" s="28" t="s">
        <v>112</v>
      </c>
      <c r="I108" s="8" t="s">
        <v>97</v>
      </c>
      <c r="J108" s="8" t="s">
        <v>230</v>
      </c>
      <c r="K108" s="8" t="s">
        <v>99</v>
      </c>
      <c r="L108" s="17" t="s">
        <v>100</v>
      </c>
      <c r="M108" s="8" t="s">
        <v>101</v>
      </c>
      <c r="N108" s="8" t="s">
        <v>735</v>
      </c>
      <c r="O108" s="8" t="s">
        <v>736</v>
      </c>
      <c r="P108" s="8" t="s">
        <v>106</v>
      </c>
      <c r="Q108" s="8" t="s">
        <v>112</v>
      </c>
      <c r="R108" s="8">
        <v>363297.0</v>
      </c>
      <c r="S108" s="8">
        <v>9712178.0</v>
      </c>
      <c r="T108" s="8"/>
      <c r="U108" s="8"/>
      <c r="V108" s="21" t="s">
        <v>737</v>
      </c>
      <c r="W108" s="8" t="s">
        <v>738</v>
      </c>
      <c r="X108" s="8" t="s">
        <v>112</v>
      </c>
      <c r="Y108" s="8" t="s">
        <v>112</v>
      </c>
      <c r="Z108" s="23" t="s">
        <v>42</v>
      </c>
      <c r="AA108" s="23" t="s">
        <v>115</v>
      </c>
      <c r="AB108" s="8" t="s">
        <v>112</v>
      </c>
      <c r="AE108" s="24"/>
      <c r="AM108" s="24"/>
    </row>
    <row r="109" ht="15.75" customHeight="1">
      <c r="A109" s="52">
        <v>949.0</v>
      </c>
      <c r="B109" s="53" t="s">
        <v>739</v>
      </c>
      <c r="C109" s="53" t="s">
        <v>50</v>
      </c>
      <c r="D109" s="53" t="s">
        <v>694</v>
      </c>
      <c r="E109" s="53" t="s">
        <v>695</v>
      </c>
      <c r="F109" s="53" t="s">
        <v>740</v>
      </c>
      <c r="G109" s="53" t="s">
        <v>741</v>
      </c>
      <c r="H109" s="55">
        <v>2020.0</v>
      </c>
      <c r="I109" s="53" t="s">
        <v>97</v>
      </c>
      <c r="J109" s="53" t="s">
        <v>98</v>
      </c>
      <c r="K109" s="53" t="s">
        <v>164</v>
      </c>
      <c r="L109" s="53" t="s">
        <v>100</v>
      </c>
      <c r="M109" s="53" t="s">
        <v>150</v>
      </c>
      <c r="N109" s="53" t="s">
        <v>742</v>
      </c>
      <c r="O109" s="53" t="s">
        <v>743</v>
      </c>
      <c r="P109" s="53" t="s">
        <v>106</v>
      </c>
      <c r="Q109" s="53" t="s">
        <v>112</v>
      </c>
      <c r="R109" s="53">
        <v>363437.0</v>
      </c>
      <c r="S109" s="53">
        <v>9712685.0</v>
      </c>
      <c r="T109" s="57"/>
      <c r="U109" s="58"/>
      <c r="V109" s="53" t="s">
        <v>700</v>
      </c>
      <c r="W109" s="58"/>
      <c r="X109" s="58"/>
      <c r="Y109" s="58"/>
      <c r="Z109" s="58"/>
      <c r="AA109" s="58"/>
      <c r="AB109" s="58"/>
      <c r="AE109" s="24"/>
      <c r="AM109" s="24"/>
    </row>
    <row r="110" ht="15.75" customHeight="1">
      <c r="A110" s="52">
        <v>978.0</v>
      </c>
      <c r="B110" s="58" t="s">
        <v>744</v>
      </c>
      <c r="C110" s="58" t="s">
        <v>50</v>
      </c>
      <c r="D110" s="58" t="s">
        <v>694</v>
      </c>
      <c r="E110" s="58" t="s">
        <v>695</v>
      </c>
      <c r="F110" s="58" t="s">
        <v>745</v>
      </c>
      <c r="G110" s="58" t="s">
        <v>745</v>
      </c>
      <c r="H110" s="55">
        <v>2022.0</v>
      </c>
      <c r="I110" s="53" t="s">
        <v>97</v>
      </c>
      <c r="J110" s="58" t="s">
        <v>230</v>
      </c>
      <c r="K110" s="58" t="s">
        <v>164</v>
      </c>
      <c r="L110" s="58" t="s">
        <v>100</v>
      </c>
      <c r="M110" s="58" t="s">
        <v>485</v>
      </c>
      <c r="N110" s="58" t="s">
        <v>746</v>
      </c>
      <c r="O110" s="58" t="s">
        <v>747</v>
      </c>
      <c r="P110" s="58" t="s">
        <v>699</v>
      </c>
      <c r="Q110" s="58"/>
      <c r="R110" s="58">
        <v>363507.0</v>
      </c>
      <c r="S110" s="58">
        <v>9712665.0</v>
      </c>
      <c r="T110" s="57"/>
      <c r="U110" s="57"/>
      <c r="V110" s="58" t="s">
        <v>700</v>
      </c>
      <c r="W110" s="58" t="s">
        <v>748</v>
      </c>
      <c r="X110" s="58"/>
      <c r="Y110" s="58"/>
      <c r="Z110" s="58"/>
      <c r="AA110" s="58"/>
      <c r="AB110" s="58"/>
      <c r="AE110" s="24"/>
      <c r="AM110" s="24"/>
    </row>
    <row r="111" ht="15.75" customHeight="1">
      <c r="A111" s="47">
        <v>320.0</v>
      </c>
      <c r="B111" s="39" t="s">
        <v>749</v>
      </c>
      <c r="C111" s="59" t="s">
        <v>48</v>
      </c>
      <c r="D111" s="39" t="s">
        <v>112</v>
      </c>
      <c r="E111" s="39" t="s">
        <v>112</v>
      </c>
      <c r="F111" s="40">
        <v>39571.0</v>
      </c>
      <c r="G111" s="41">
        <v>39569.0</v>
      </c>
      <c r="H111" s="42" t="str">
        <f>TEXT(G111, "yyyy")</f>
        <v>2008</v>
      </c>
      <c r="I111" s="8" t="s">
        <v>176</v>
      </c>
      <c r="J111" s="39" t="s">
        <v>112</v>
      </c>
      <c r="K111" s="29" t="s">
        <v>99</v>
      </c>
      <c r="L111" s="59" t="s">
        <v>100</v>
      </c>
      <c r="M111" s="43" t="s">
        <v>177</v>
      </c>
      <c r="N111" s="44" t="s">
        <v>750</v>
      </c>
      <c r="O111" s="45" t="s">
        <v>751</v>
      </c>
      <c r="P111" s="39" t="s">
        <v>106</v>
      </c>
      <c r="Q111" s="39" t="s">
        <v>112</v>
      </c>
      <c r="R111" s="104">
        <v>363527.0</v>
      </c>
      <c r="S111" s="59">
        <v>9710745.0</v>
      </c>
      <c r="T111" s="46">
        <v>-2.6163585</v>
      </c>
      <c r="U111" s="46">
        <v>-76.227625</v>
      </c>
      <c r="V111" s="59" t="s">
        <v>717</v>
      </c>
      <c r="W111" s="39" t="s">
        <v>112</v>
      </c>
      <c r="X111" s="39" t="s">
        <v>112</v>
      </c>
      <c r="Y111" s="39" t="s">
        <v>112</v>
      </c>
      <c r="Z111" s="47" t="s">
        <v>37</v>
      </c>
      <c r="AA111" s="23" t="s">
        <v>115</v>
      </c>
      <c r="AB111" s="21" t="s">
        <v>392</v>
      </c>
      <c r="AE111" s="24"/>
      <c r="AM111" s="24"/>
    </row>
    <row r="112" ht="15.75" customHeight="1">
      <c r="A112" s="52">
        <v>984.0</v>
      </c>
      <c r="B112" s="58" t="s">
        <v>752</v>
      </c>
      <c r="C112" s="58" t="s">
        <v>50</v>
      </c>
      <c r="D112" s="58" t="s">
        <v>753</v>
      </c>
      <c r="E112" s="58" t="s">
        <v>695</v>
      </c>
      <c r="F112" s="58" t="s">
        <v>754</v>
      </c>
      <c r="G112" s="58" t="s">
        <v>754</v>
      </c>
      <c r="H112" s="55">
        <v>2022.0</v>
      </c>
      <c r="I112" s="53" t="s">
        <v>97</v>
      </c>
      <c r="J112" s="58" t="s">
        <v>230</v>
      </c>
      <c r="K112" s="58" t="s">
        <v>164</v>
      </c>
      <c r="L112" s="58" t="s">
        <v>100</v>
      </c>
      <c r="M112" s="58" t="s">
        <v>485</v>
      </c>
      <c r="N112" s="58" t="s">
        <v>755</v>
      </c>
      <c r="O112" s="58" t="s">
        <v>756</v>
      </c>
      <c r="P112" s="58" t="s">
        <v>699</v>
      </c>
      <c r="Q112" s="58"/>
      <c r="R112" s="58">
        <v>363542.0</v>
      </c>
      <c r="S112" s="58">
        <v>9712725.0</v>
      </c>
      <c r="T112" s="57"/>
      <c r="U112" s="57"/>
      <c r="V112" s="58" t="s">
        <v>700</v>
      </c>
      <c r="W112" s="58"/>
      <c r="X112" s="58"/>
      <c r="Y112" s="58"/>
      <c r="Z112" s="58"/>
      <c r="AA112" s="58"/>
      <c r="AB112" s="58"/>
      <c r="AE112" s="24"/>
      <c r="AM112" s="24"/>
    </row>
    <row r="113" ht="15.75" customHeight="1">
      <c r="A113" s="8">
        <v>558.0</v>
      </c>
      <c r="B113" s="80" t="s">
        <v>757</v>
      </c>
      <c r="C113" s="28" t="s">
        <v>48</v>
      </c>
      <c r="D113" s="68" t="s">
        <v>112</v>
      </c>
      <c r="E113" s="34" t="s">
        <v>112</v>
      </c>
      <c r="F113" s="94">
        <v>41699.0</v>
      </c>
      <c r="G113" s="95">
        <v>41699.0</v>
      </c>
      <c r="H113" s="20" t="str">
        <f t="shared" ref="H113:H125" si="8">TEXT(G113, "yyyy")</f>
        <v>2014</v>
      </c>
      <c r="I113" s="8" t="s">
        <v>176</v>
      </c>
      <c r="J113" s="68" t="s">
        <v>112</v>
      </c>
      <c r="K113" s="68" t="s">
        <v>112</v>
      </c>
      <c r="L113" s="28" t="s">
        <v>100</v>
      </c>
      <c r="M113" s="20" t="s">
        <v>177</v>
      </c>
      <c r="N113" s="34" t="s">
        <v>758</v>
      </c>
      <c r="O113" s="8" t="s">
        <v>759</v>
      </c>
      <c r="P113" s="34" t="s">
        <v>106</v>
      </c>
      <c r="Q113" s="68" t="s">
        <v>112</v>
      </c>
      <c r="R113" s="28">
        <v>363612.0</v>
      </c>
      <c r="S113" s="28">
        <v>9712097.0</v>
      </c>
      <c r="T113" s="38">
        <v>-2.6041304</v>
      </c>
      <c r="U113" s="38">
        <v>-76.226849</v>
      </c>
      <c r="V113" s="28" t="s">
        <v>760</v>
      </c>
      <c r="W113" s="68" t="s">
        <v>112</v>
      </c>
      <c r="X113" s="68" t="s">
        <v>112</v>
      </c>
      <c r="Y113" s="68" t="s">
        <v>112</v>
      </c>
      <c r="Z113" s="8" t="s">
        <v>149</v>
      </c>
      <c r="AA113" s="23" t="s">
        <v>115</v>
      </c>
      <c r="AB113" s="8"/>
      <c r="AE113" s="24"/>
      <c r="AM113" s="24"/>
    </row>
    <row r="114" ht="15.75" customHeight="1">
      <c r="A114" s="8">
        <v>605.0</v>
      </c>
      <c r="B114" s="80" t="s">
        <v>761</v>
      </c>
      <c r="C114" s="28" t="s">
        <v>48</v>
      </c>
      <c r="D114" s="68" t="s">
        <v>112</v>
      </c>
      <c r="E114" s="34" t="s">
        <v>112</v>
      </c>
      <c r="F114" s="35">
        <v>42064.0</v>
      </c>
      <c r="G114" s="95">
        <v>42064.0</v>
      </c>
      <c r="H114" s="20" t="str">
        <f t="shared" si="8"/>
        <v>2015</v>
      </c>
      <c r="I114" s="8" t="s">
        <v>63</v>
      </c>
      <c r="J114" s="68" t="s">
        <v>112</v>
      </c>
      <c r="K114" s="68" t="s">
        <v>112</v>
      </c>
      <c r="L114" s="28" t="s">
        <v>762</v>
      </c>
      <c r="M114" s="87" t="s">
        <v>763</v>
      </c>
      <c r="N114" s="34" t="s">
        <v>764</v>
      </c>
      <c r="O114" s="8" t="s">
        <v>765</v>
      </c>
      <c r="P114" s="34" t="s">
        <v>106</v>
      </c>
      <c r="Q114" s="68" t="s">
        <v>112</v>
      </c>
      <c r="R114" s="28">
        <v>364007.0</v>
      </c>
      <c r="S114" s="28">
        <v>9653467.0</v>
      </c>
      <c r="T114" s="38">
        <v>-3.1344427</v>
      </c>
      <c r="U114" s="38">
        <v>-76.22386</v>
      </c>
      <c r="V114" s="34" t="s">
        <v>766</v>
      </c>
      <c r="W114" s="68" t="s">
        <v>112</v>
      </c>
      <c r="X114" s="68" t="s">
        <v>112</v>
      </c>
      <c r="Y114" s="68" t="s">
        <v>112</v>
      </c>
      <c r="Z114" s="8" t="s">
        <v>149</v>
      </c>
      <c r="AA114" s="23" t="s">
        <v>115</v>
      </c>
      <c r="AB114" s="8"/>
      <c r="AE114" s="24"/>
      <c r="AM114" s="24"/>
    </row>
    <row r="115" ht="15.75" customHeight="1">
      <c r="A115" s="8">
        <v>608.0</v>
      </c>
      <c r="B115" s="80" t="s">
        <v>767</v>
      </c>
      <c r="C115" s="28" t="s">
        <v>48</v>
      </c>
      <c r="D115" s="68" t="s">
        <v>112</v>
      </c>
      <c r="E115" s="34" t="s">
        <v>112</v>
      </c>
      <c r="F115" s="35">
        <v>42095.0</v>
      </c>
      <c r="G115" s="95">
        <v>42095.0</v>
      </c>
      <c r="H115" s="20" t="str">
        <f t="shared" si="8"/>
        <v>2015</v>
      </c>
      <c r="I115" s="8" t="s">
        <v>63</v>
      </c>
      <c r="J115" s="68" t="s">
        <v>112</v>
      </c>
      <c r="K115" s="68" t="s">
        <v>112</v>
      </c>
      <c r="L115" s="28" t="s">
        <v>762</v>
      </c>
      <c r="M115" s="87" t="s">
        <v>763</v>
      </c>
      <c r="N115" s="34" t="s">
        <v>768</v>
      </c>
      <c r="O115" s="8" t="s">
        <v>769</v>
      </c>
      <c r="P115" s="34" t="s">
        <v>106</v>
      </c>
      <c r="Q115" s="68" t="s">
        <v>112</v>
      </c>
      <c r="R115" s="34">
        <v>364007.0</v>
      </c>
      <c r="S115" s="28">
        <v>9653468.0</v>
      </c>
      <c r="T115" s="38">
        <v>-3.1344337</v>
      </c>
      <c r="U115" s="38">
        <v>-76.22386</v>
      </c>
      <c r="V115" s="28" t="s">
        <v>770</v>
      </c>
      <c r="W115" s="68" t="s">
        <v>112</v>
      </c>
      <c r="X115" s="68" t="s">
        <v>112</v>
      </c>
      <c r="Y115" s="68" t="s">
        <v>112</v>
      </c>
      <c r="Z115" s="8" t="s">
        <v>149</v>
      </c>
      <c r="AA115" s="23" t="s">
        <v>115</v>
      </c>
      <c r="AB115" s="8"/>
      <c r="AE115" s="24"/>
      <c r="AM115" s="24"/>
    </row>
    <row r="116" ht="15.75" customHeight="1">
      <c r="A116" s="8">
        <v>603.0</v>
      </c>
      <c r="B116" s="80" t="s">
        <v>771</v>
      </c>
      <c r="C116" s="28" t="s">
        <v>48</v>
      </c>
      <c r="D116" s="68" t="s">
        <v>112</v>
      </c>
      <c r="E116" s="34" t="s">
        <v>112</v>
      </c>
      <c r="F116" s="35">
        <v>42064.0</v>
      </c>
      <c r="G116" s="95">
        <v>42064.0</v>
      </c>
      <c r="H116" s="20" t="str">
        <f t="shared" si="8"/>
        <v>2015</v>
      </c>
      <c r="I116" s="8" t="s">
        <v>63</v>
      </c>
      <c r="J116" s="68" t="s">
        <v>112</v>
      </c>
      <c r="K116" s="68" t="s">
        <v>112</v>
      </c>
      <c r="L116" s="28" t="s">
        <v>762</v>
      </c>
      <c r="M116" s="87" t="s">
        <v>763</v>
      </c>
      <c r="N116" s="34" t="s">
        <v>772</v>
      </c>
      <c r="O116" s="8"/>
      <c r="P116" s="34" t="s">
        <v>106</v>
      </c>
      <c r="Q116" s="68" t="s">
        <v>112</v>
      </c>
      <c r="R116" s="28">
        <v>364587.0</v>
      </c>
      <c r="S116" s="28">
        <v>9653465.0</v>
      </c>
      <c r="T116" s="38">
        <v>-3.1344669</v>
      </c>
      <c r="U116" s="38">
        <v>-76.218641</v>
      </c>
      <c r="V116" s="34" t="s">
        <v>766</v>
      </c>
      <c r="W116" s="68" t="s">
        <v>112</v>
      </c>
      <c r="X116" s="68" t="s">
        <v>112</v>
      </c>
      <c r="Y116" s="68" t="s">
        <v>112</v>
      </c>
      <c r="Z116" s="8" t="s">
        <v>149</v>
      </c>
      <c r="AA116" s="23" t="s">
        <v>115</v>
      </c>
      <c r="AB116" s="8"/>
      <c r="AE116" s="24"/>
      <c r="AM116" s="24"/>
    </row>
    <row r="117" ht="15.75" customHeight="1">
      <c r="A117" s="8">
        <v>604.0</v>
      </c>
      <c r="B117" s="80" t="s">
        <v>773</v>
      </c>
      <c r="C117" s="28" t="s">
        <v>48</v>
      </c>
      <c r="D117" s="68" t="s">
        <v>112</v>
      </c>
      <c r="E117" s="34" t="s">
        <v>112</v>
      </c>
      <c r="F117" s="35">
        <v>42064.0</v>
      </c>
      <c r="G117" s="95">
        <v>42064.0</v>
      </c>
      <c r="H117" s="20" t="str">
        <f t="shared" si="8"/>
        <v>2015</v>
      </c>
      <c r="I117" s="8" t="s">
        <v>774</v>
      </c>
      <c r="J117" s="68" t="s">
        <v>112</v>
      </c>
      <c r="K117" s="68" t="s">
        <v>112</v>
      </c>
      <c r="L117" s="28" t="s">
        <v>762</v>
      </c>
      <c r="M117" s="87" t="s">
        <v>763</v>
      </c>
      <c r="N117" s="34" t="s">
        <v>775</v>
      </c>
      <c r="O117" s="8" t="s">
        <v>765</v>
      </c>
      <c r="P117" s="34" t="s">
        <v>106</v>
      </c>
      <c r="Q117" s="68" t="s">
        <v>112</v>
      </c>
      <c r="R117" s="28">
        <v>364759.0</v>
      </c>
      <c r="S117" s="28">
        <v>9652244.0</v>
      </c>
      <c r="T117" s="38">
        <v>-3.1455127</v>
      </c>
      <c r="U117" s="38">
        <v>-76.217106</v>
      </c>
      <c r="V117" s="34" t="s">
        <v>766</v>
      </c>
      <c r="W117" s="68" t="s">
        <v>112</v>
      </c>
      <c r="X117" s="68" t="s">
        <v>112</v>
      </c>
      <c r="Y117" s="68" t="s">
        <v>112</v>
      </c>
      <c r="Z117" s="8" t="s">
        <v>149</v>
      </c>
      <c r="AA117" s="23" t="s">
        <v>115</v>
      </c>
      <c r="AB117" s="8"/>
      <c r="AE117" s="24"/>
      <c r="AM117" s="24"/>
    </row>
    <row r="118" ht="15.75" customHeight="1">
      <c r="A118" s="8">
        <v>228.0</v>
      </c>
      <c r="B118" s="39" t="s">
        <v>776</v>
      </c>
      <c r="C118" s="59" t="s">
        <v>48</v>
      </c>
      <c r="D118" s="51" t="s">
        <v>112</v>
      </c>
      <c r="E118" s="89" t="s">
        <v>112</v>
      </c>
      <c r="F118" s="43">
        <v>39058.0</v>
      </c>
      <c r="G118" s="105">
        <v>39052.0</v>
      </c>
      <c r="H118" s="42" t="str">
        <f t="shared" si="8"/>
        <v>2006</v>
      </c>
      <c r="I118" s="8" t="s">
        <v>186</v>
      </c>
      <c r="J118" s="51" t="s">
        <v>112</v>
      </c>
      <c r="K118" s="51" t="s">
        <v>112</v>
      </c>
      <c r="L118" s="39" t="s">
        <v>100</v>
      </c>
      <c r="M118" s="43" t="s">
        <v>112</v>
      </c>
      <c r="N118" s="44" t="s">
        <v>777</v>
      </c>
      <c r="O118" s="45" t="s">
        <v>778</v>
      </c>
      <c r="P118" s="39" t="s">
        <v>106</v>
      </c>
      <c r="Q118" s="51" t="s">
        <v>112</v>
      </c>
      <c r="R118" s="96">
        <v>364856.0</v>
      </c>
      <c r="S118" s="59">
        <v>9727906.0</v>
      </c>
      <c r="T118" s="39" t="s">
        <v>112</v>
      </c>
      <c r="U118" s="39" t="s">
        <v>112</v>
      </c>
      <c r="V118" s="59" t="s">
        <v>779</v>
      </c>
      <c r="W118" s="51" t="s">
        <v>112</v>
      </c>
      <c r="X118" s="51" t="s">
        <v>112</v>
      </c>
      <c r="Y118" s="51" t="s">
        <v>112</v>
      </c>
      <c r="Z118" s="8" t="s">
        <v>36</v>
      </c>
      <c r="AA118" s="23" t="s">
        <v>144</v>
      </c>
      <c r="AB118" s="21" t="s">
        <v>391</v>
      </c>
      <c r="AE118" s="24"/>
      <c r="AM118" s="24"/>
    </row>
    <row r="119" ht="15.75" customHeight="1">
      <c r="A119" s="8">
        <v>443.0</v>
      </c>
      <c r="B119" s="39" t="s">
        <v>780</v>
      </c>
      <c r="C119" s="59" t="s">
        <v>58</v>
      </c>
      <c r="D119" s="39" t="s">
        <v>511</v>
      </c>
      <c r="E119" s="89" t="s">
        <v>112</v>
      </c>
      <c r="F119" s="40">
        <v>40292.0</v>
      </c>
      <c r="G119" s="41">
        <v>40269.0</v>
      </c>
      <c r="H119" s="42" t="str">
        <f t="shared" si="8"/>
        <v>2010</v>
      </c>
      <c r="I119" s="8" t="s">
        <v>614</v>
      </c>
      <c r="J119" s="39" t="s">
        <v>112</v>
      </c>
      <c r="K119" s="29" t="s">
        <v>99</v>
      </c>
      <c r="L119" s="34" t="s">
        <v>100</v>
      </c>
      <c r="M119" s="34" t="s">
        <v>177</v>
      </c>
      <c r="N119" s="88" t="s">
        <v>781</v>
      </c>
      <c r="O119" s="45" t="s">
        <v>782</v>
      </c>
      <c r="P119" s="39" t="s">
        <v>106</v>
      </c>
      <c r="Q119" s="39" t="s">
        <v>112</v>
      </c>
      <c r="R119" s="28">
        <v>365243.0</v>
      </c>
      <c r="S119" s="28">
        <v>9696672.0</v>
      </c>
      <c r="T119" s="46">
        <v>-2.743665</v>
      </c>
      <c r="U119" s="46">
        <v>-76.212316</v>
      </c>
      <c r="V119" s="59" t="s">
        <v>480</v>
      </c>
      <c r="W119" s="39" t="s">
        <v>112</v>
      </c>
      <c r="X119" s="39" t="s">
        <v>112</v>
      </c>
      <c r="Y119" s="39" t="s">
        <v>112</v>
      </c>
      <c r="Z119" s="47" t="s">
        <v>37</v>
      </c>
      <c r="AA119" s="23" t="s">
        <v>115</v>
      </c>
      <c r="AB119" s="8" t="s">
        <v>392</v>
      </c>
      <c r="AE119" s="24"/>
      <c r="AM119" s="24"/>
    </row>
    <row r="120" ht="15.75" customHeight="1">
      <c r="A120" s="8">
        <v>360.0</v>
      </c>
      <c r="B120" s="39" t="s">
        <v>783</v>
      </c>
      <c r="C120" s="59" t="s">
        <v>48</v>
      </c>
      <c r="D120" s="51" t="s">
        <v>112</v>
      </c>
      <c r="E120" s="39" t="s">
        <v>112</v>
      </c>
      <c r="F120" s="40">
        <v>39891.0</v>
      </c>
      <c r="G120" s="106">
        <v>39873.0</v>
      </c>
      <c r="H120" s="42" t="str">
        <f t="shared" si="8"/>
        <v>2009</v>
      </c>
      <c r="I120" s="8" t="s">
        <v>186</v>
      </c>
      <c r="J120" s="51" t="s">
        <v>112</v>
      </c>
      <c r="K120" s="29" t="s">
        <v>99</v>
      </c>
      <c r="L120" s="39" t="s">
        <v>100</v>
      </c>
      <c r="M120" s="43" t="s">
        <v>112</v>
      </c>
      <c r="N120" s="44" t="s">
        <v>784</v>
      </c>
      <c r="O120" s="45" t="s">
        <v>785</v>
      </c>
      <c r="P120" s="39" t="s">
        <v>106</v>
      </c>
      <c r="Q120" s="51" t="s">
        <v>112</v>
      </c>
      <c r="R120" s="104">
        <v>365246.0</v>
      </c>
      <c r="S120" s="59">
        <v>9695706.0</v>
      </c>
      <c r="T120" s="46">
        <v>-2.7524025</v>
      </c>
      <c r="U120" s="46">
        <v>-76.212298</v>
      </c>
      <c r="V120" s="59" t="s">
        <v>779</v>
      </c>
      <c r="W120" s="51" t="s">
        <v>112</v>
      </c>
      <c r="X120" s="51" t="s">
        <v>112</v>
      </c>
      <c r="Y120" s="51" t="s">
        <v>112</v>
      </c>
      <c r="Z120" s="47" t="s">
        <v>37</v>
      </c>
      <c r="AA120" s="23" t="s">
        <v>115</v>
      </c>
      <c r="AB120" s="8" t="s">
        <v>392</v>
      </c>
      <c r="AE120" s="24"/>
      <c r="AM120" s="24"/>
    </row>
    <row r="121" ht="15.75" customHeight="1">
      <c r="A121" s="8">
        <v>923.0</v>
      </c>
      <c r="B121" s="34" t="s">
        <v>786</v>
      </c>
      <c r="C121" s="28" t="s">
        <v>48</v>
      </c>
      <c r="D121" s="68" t="s">
        <v>112</v>
      </c>
      <c r="E121" s="34" t="s">
        <v>112</v>
      </c>
      <c r="F121" s="107">
        <v>43209.0</v>
      </c>
      <c r="G121" s="95">
        <v>43191.0</v>
      </c>
      <c r="H121" s="20" t="str">
        <f t="shared" si="8"/>
        <v>2018</v>
      </c>
      <c r="I121" s="8" t="s">
        <v>186</v>
      </c>
      <c r="J121" s="68" t="s">
        <v>112</v>
      </c>
      <c r="K121" s="68" t="s">
        <v>112</v>
      </c>
      <c r="L121" s="28" t="s">
        <v>100</v>
      </c>
      <c r="M121" s="20" t="s">
        <v>112</v>
      </c>
      <c r="N121" s="34" t="s">
        <v>787</v>
      </c>
      <c r="O121" s="8" t="s">
        <v>788</v>
      </c>
      <c r="P121" s="34" t="s">
        <v>106</v>
      </c>
      <c r="Q121" s="68" t="s">
        <v>112</v>
      </c>
      <c r="R121" s="28">
        <v>365256.0</v>
      </c>
      <c r="S121" s="68">
        <v>9696598.0</v>
      </c>
      <c r="T121" s="28" t="s">
        <v>112</v>
      </c>
      <c r="U121" s="28" t="s">
        <v>112</v>
      </c>
      <c r="V121" s="28" t="s">
        <v>673</v>
      </c>
      <c r="W121" s="68" t="s">
        <v>112</v>
      </c>
      <c r="X121" s="68" t="s">
        <v>112</v>
      </c>
      <c r="Y121" s="68" t="s">
        <v>112</v>
      </c>
      <c r="Z121" s="8" t="s">
        <v>148</v>
      </c>
      <c r="AA121" s="23" t="s">
        <v>144</v>
      </c>
      <c r="AB121" s="8"/>
      <c r="AE121" s="24"/>
      <c r="AM121" s="24"/>
    </row>
    <row r="122" ht="15.75" customHeight="1">
      <c r="A122" s="8">
        <v>362.0</v>
      </c>
      <c r="B122" s="39" t="s">
        <v>789</v>
      </c>
      <c r="C122" s="59" t="s">
        <v>55</v>
      </c>
      <c r="D122" s="51" t="s">
        <v>523</v>
      </c>
      <c r="E122" s="39" t="s">
        <v>112</v>
      </c>
      <c r="F122" s="40">
        <v>39910.0</v>
      </c>
      <c r="G122" s="106">
        <v>39904.0</v>
      </c>
      <c r="H122" s="42" t="str">
        <f t="shared" si="8"/>
        <v>2009</v>
      </c>
      <c r="I122" s="8" t="s">
        <v>176</v>
      </c>
      <c r="J122" s="51" t="s">
        <v>112</v>
      </c>
      <c r="K122" s="29" t="s">
        <v>99</v>
      </c>
      <c r="L122" s="39" t="s">
        <v>100</v>
      </c>
      <c r="M122" s="43" t="s">
        <v>177</v>
      </c>
      <c r="N122" s="44" t="s">
        <v>790</v>
      </c>
      <c r="O122" s="45" t="s">
        <v>791</v>
      </c>
      <c r="P122" s="39" t="s">
        <v>106</v>
      </c>
      <c r="Q122" s="51" t="s">
        <v>112</v>
      </c>
      <c r="R122" s="104">
        <v>365802.0</v>
      </c>
      <c r="S122" s="59">
        <v>9695702.0</v>
      </c>
      <c r="T122" s="46">
        <v>-2.7524438</v>
      </c>
      <c r="U122" s="46">
        <v>-76.207297</v>
      </c>
      <c r="V122" s="59" t="s">
        <v>779</v>
      </c>
      <c r="W122" s="51" t="s">
        <v>112</v>
      </c>
      <c r="X122" s="51" t="s">
        <v>112</v>
      </c>
      <c r="Y122" s="51" t="s">
        <v>112</v>
      </c>
      <c r="Z122" s="47" t="s">
        <v>37</v>
      </c>
      <c r="AA122" s="23" t="s">
        <v>115</v>
      </c>
      <c r="AB122" s="8" t="s">
        <v>392</v>
      </c>
      <c r="AE122" s="24"/>
      <c r="AM122" s="24"/>
    </row>
    <row r="123" ht="15.75" customHeight="1">
      <c r="A123" s="8">
        <v>363.0</v>
      </c>
      <c r="B123" s="39" t="s">
        <v>792</v>
      </c>
      <c r="C123" s="59" t="s">
        <v>48</v>
      </c>
      <c r="D123" s="51" t="s">
        <v>112</v>
      </c>
      <c r="E123" s="89" t="s">
        <v>112</v>
      </c>
      <c r="F123" s="40">
        <v>39913.0</v>
      </c>
      <c r="G123" s="106">
        <v>39904.0</v>
      </c>
      <c r="H123" s="42" t="str">
        <f t="shared" si="8"/>
        <v>2009</v>
      </c>
      <c r="I123" s="8" t="s">
        <v>176</v>
      </c>
      <c r="J123" s="51" t="s">
        <v>112</v>
      </c>
      <c r="K123" s="29" t="s">
        <v>99</v>
      </c>
      <c r="L123" s="39" t="s">
        <v>100</v>
      </c>
      <c r="M123" s="43" t="s">
        <v>177</v>
      </c>
      <c r="N123" s="44" t="s">
        <v>793</v>
      </c>
      <c r="O123" s="108" t="s">
        <v>785</v>
      </c>
      <c r="P123" s="39" t="s">
        <v>106</v>
      </c>
      <c r="Q123" s="51" t="s">
        <v>112</v>
      </c>
      <c r="R123" s="104">
        <v>365846.0</v>
      </c>
      <c r="S123" s="59">
        <v>9695706.0</v>
      </c>
      <c r="T123" s="46">
        <v>-2.752408</v>
      </c>
      <c r="U123" s="46">
        <v>-76.206901</v>
      </c>
      <c r="V123" s="59" t="s">
        <v>779</v>
      </c>
      <c r="W123" s="51" t="s">
        <v>112</v>
      </c>
      <c r="X123" s="51" t="s">
        <v>112</v>
      </c>
      <c r="Y123" s="51" t="s">
        <v>112</v>
      </c>
      <c r="Z123" s="47" t="s">
        <v>37</v>
      </c>
      <c r="AA123" s="23" t="s">
        <v>115</v>
      </c>
      <c r="AB123" s="8" t="s">
        <v>392</v>
      </c>
      <c r="AE123" s="24"/>
      <c r="AM123" s="24"/>
    </row>
    <row r="124" ht="15.75" customHeight="1">
      <c r="A124" s="8">
        <v>753.0</v>
      </c>
      <c r="B124" s="39" t="s">
        <v>794</v>
      </c>
      <c r="C124" s="59" t="s">
        <v>48</v>
      </c>
      <c r="D124" s="51" t="s">
        <v>112</v>
      </c>
      <c r="E124" s="39" t="s">
        <v>112</v>
      </c>
      <c r="F124" s="60" t="s">
        <v>795</v>
      </c>
      <c r="G124" s="106">
        <v>42675.0</v>
      </c>
      <c r="H124" s="42" t="str">
        <f t="shared" si="8"/>
        <v>2016</v>
      </c>
      <c r="I124" s="8" t="s">
        <v>186</v>
      </c>
      <c r="J124" s="51" t="s">
        <v>112</v>
      </c>
      <c r="K124" s="51" t="s">
        <v>112</v>
      </c>
      <c r="L124" s="59" t="s">
        <v>100</v>
      </c>
      <c r="M124" s="74" t="s">
        <v>177</v>
      </c>
      <c r="N124" s="39" t="s">
        <v>796</v>
      </c>
      <c r="O124" s="8" t="s">
        <v>797</v>
      </c>
      <c r="P124" s="39" t="s">
        <v>106</v>
      </c>
      <c r="Q124" s="51" t="s">
        <v>112</v>
      </c>
      <c r="R124" s="59">
        <v>366090.0</v>
      </c>
      <c r="S124" s="59">
        <v>9695742.0</v>
      </c>
      <c r="T124" s="59">
        <v>-76.20467493</v>
      </c>
      <c r="U124" s="59">
        <v>-2.75223495</v>
      </c>
      <c r="V124" s="59" t="s">
        <v>673</v>
      </c>
      <c r="W124" s="51" t="s">
        <v>112</v>
      </c>
      <c r="X124" s="51" t="s">
        <v>112</v>
      </c>
      <c r="Y124" s="51" t="s">
        <v>112</v>
      </c>
      <c r="Z124" s="8" t="s">
        <v>69</v>
      </c>
      <c r="AA124" s="23" t="s">
        <v>115</v>
      </c>
      <c r="AB124" s="8" t="s">
        <v>378</v>
      </c>
      <c r="AE124" s="24"/>
      <c r="AM124" s="24"/>
    </row>
    <row r="125" ht="15.75" customHeight="1">
      <c r="A125" s="8">
        <v>773.0</v>
      </c>
      <c r="B125" s="39" t="s">
        <v>798</v>
      </c>
      <c r="C125" s="59" t="s">
        <v>48</v>
      </c>
      <c r="D125" s="51" t="s">
        <v>112</v>
      </c>
      <c r="E125" s="39" t="s">
        <v>112</v>
      </c>
      <c r="F125" s="109">
        <v>42755.0</v>
      </c>
      <c r="G125" s="106">
        <v>42736.0</v>
      </c>
      <c r="H125" s="42" t="str">
        <f t="shared" si="8"/>
        <v>2017</v>
      </c>
      <c r="I125" s="8" t="s">
        <v>186</v>
      </c>
      <c r="J125" s="51" t="s">
        <v>112</v>
      </c>
      <c r="K125" s="51" t="s">
        <v>112</v>
      </c>
      <c r="L125" s="39" t="s">
        <v>100</v>
      </c>
      <c r="M125" s="74" t="s">
        <v>112</v>
      </c>
      <c r="N125" s="39" t="s">
        <v>112</v>
      </c>
      <c r="O125" s="8" t="s">
        <v>799</v>
      </c>
      <c r="P125" s="39" t="s">
        <v>106</v>
      </c>
      <c r="Q125" s="51" t="s">
        <v>112</v>
      </c>
      <c r="R125" s="59">
        <v>366093.0</v>
      </c>
      <c r="S125" s="59">
        <v>9695562.0</v>
      </c>
      <c r="T125" s="59" t="s">
        <v>112</v>
      </c>
      <c r="U125" s="59" t="s">
        <v>112</v>
      </c>
      <c r="V125" s="59" t="s">
        <v>673</v>
      </c>
      <c r="W125" s="51" t="s">
        <v>112</v>
      </c>
      <c r="X125" s="51" t="s">
        <v>112</v>
      </c>
      <c r="Y125" s="51" t="s">
        <v>112</v>
      </c>
      <c r="Z125" s="8" t="s">
        <v>69</v>
      </c>
      <c r="AA125" s="23" t="s">
        <v>115</v>
      </c>
      <c r="AB125" s="8"/>
      <c r="AE125" s="24"/>
      <c r="AM125" s="24"/>
    </row>
    <row r="126" ht="15.75" customHeight="1">
      <c r="A126" s="52">
        <v>993.0</v>
      </c>
      <c r="B126" s="58" t="s">
        <v>800</v>
      </c>
      <c r="C126" s="58" t="s">
        <v>50</v>
      </c>
      <c r="D126" s="58" t="s">
        <v>694</v>
      </c>
      <c r="E126" s="58" t="s">
        <v>675</v>
      </c>
      <c r="F126" s="110">
        <v>45018.0</v>
      </c>
      <c r="G126" s="93">
        <v>44989.0</v>
      </c>
      <c r="H126" s="55">
        <v>2023.0</v>
      </c>
      <c r="I126" s="53" t="s">
        <v>97</v>
      </c>
      <c r="J126" s="58" t="s">
        <v>40</v>
      </c>
      <c r="K126" s="58" t="s">
        <v>164</v>
      </c>
      <c r="L126" s="58" t="s">
        <v>100</v>
      </c>
      <c r="M126" s="58" t="s">
        <v>485</v>
      </c>
      <c r="N126" s="58" t="s">
        <v>801</v>
      </c>
      <c r="O126" s="58" t="s">
        <v>802</v>
      </c>
      <c r="P126" s="58" t="s">
        <v>699</v>
      </c>
      <c r="Q126" s="58"/>
      <c r="R126" s="58">
        <v>366102.0</v>
      </c>
      <c r="S126" s="58">
        <v>9697324.0</v>
      </c>
      <c r="T126" s="57"/>
      <c r="U126" s="57"/>
      <c r="V126" s="58" t="s">
        <v>680</v>
      </c>
      <c r="W126" s="58" t="s">
        <v>803</v>
      </c>
      <c r="X126" s="58"/>
      <c r="Y126" s="58"/>
      <c r="Z126" s="58"/>
      <c r="AA126" s="58"/>
      <c r="AB126" s="58"/>
      <c r="AE126" s="24"/>
      <c r="AM126" s="24"/>
    </row>
    <row r="127" ht="15.75" customHeight="1">
      <c r="A127" s="52">
        <v>976.0</v>
      </c>
      <c r="B127" s="53" t="s">
        <v>804</v>
      </c>
      <c r="C127" s="58" t="s">
        <v>50</v>
      </c>
      <c r="D127" s="58" t="s">
        <v>694</v>
      </c>
      <c r="E127" s="58" t="s">
        <v>675</v>
      </c>
      <c r="F127" s="58" t="s">
        <v>805</v>
      </c>
      <c r="G127" s="58" t="s">
        <v>805</v>
      </c>
      <c r="H127" s="55">
        <v>2022.0</v>
      </c>
      <c r="I127" s="53" t="s">
        <v>97</v>
      </c>
      <c r="J127" s="58" t="s">
        <v>40</v>
      </c>
      <c r="K127" s="58" t="s">
        <v>164</v>
      </c>
      <c r="L127" s="58" t="s">
        <v>100</v>
      </c>
      <c r="M127" s="58" t="s">
        <v>485</v>
      </c>
      <c r="N127" s="58" t="s">
        <v>806</v>
      </c>
      <c r="O127" s="58" t="s">
        <v>807</v>
      </c>
      <c r="P127" s="58" t="s">
        <v>699</v>
      </c>
      <c r="Q127" s="58"/>
      <c r="R127" s="58">
        <v>366110.0</v>
      </c>
      <c r="S127" s="58">
        <v>9697334.0</v>
      </c>
      <c r="T127" s="57"/>
      <c r="U127" s="57"/>
      <c r="V127" s="58" t="s">
        <v>680</v>
      </c>
      <c r="W127" s="58"/>
      <c r="X127" s="58"/>
      <c r="Y127" s="58"/>
      <c r="Z127" s="58"/>
      <c r="AA127" s="58"/>
      <c r="AB127" s="58"/>
      <c r="AE127" s="24"/>
      <c r="AM127" s="24"/>
    </row>
    <row r="128" ht="15.75" customHeight="1">
      <c r="A128" s="8">
        <v>456.0</v>
      </c>
      <c r="B128" s="39" t="s">
        <v>808</v>
      </c>
      <c r="C128" s="59" t="s">
        <v>48</v>
      </c>
      <c r="D128" s="51" t="s">
        <v>112</v>
      </c>
      <c r="E128" s="39" t="s">
        <v>112</v>
      </c>
      <c r="F128" s="40">
        <v>40501.0</v>
      </c>
      <c r="G128" s="106">
        <v>40483.0</v>
      </c>
      <c r="H128" s="42" t="str">
        <f t="shared" ref="H128:H129" si="9">TEXT(G128, "yyyy")</f>
        <v>2010</v>
      </c>
      <c r="I128" s="8" t="s">
        <v>176</v>
      </c>
      <c r="J128" s="51" t="s">
        <v>112</v>
      </c>
      <c r="K128" s="29" t="s">
        <v>99</v>
      </c>
      <c r="L128" s="39" t="s">
        <v>100</v>
      </c>
      <c r="M128" s="43" t="s">
        <v>177</v>
      </c>
      <c r="N128" s="44" t="s">
        <v>809</v>
      </c>
      <c r="O128" s="45" t="s">
        <v>785</v>
      </c>
      <c r="P128" s="39" t="s">
        <v>106</v>
      </c>
      <c r="Q128" s="51" t="s">
        <v>112</v>
      </c>
      <c r="R128" s="104">
        <v>366114.0</v>
      </c>
      <c r="S128" s="104">
        <v>9697330.0</v>
      </c>
      <c r="T128" s="46">
        <v>-2.7377213</v>
      </c>
      <c r="U128" s="46">
        <v>-76.204476</v>
      </c>
      <c r="V128" s="59" t="s">
        <v>779</v>
      </c>
      <c r="W128" s="51" t="s">
        <v>112</v>
      </c>
      <c r="X128" s="51" t="s">
        <v>112</v>
      </c>
      <c r="Y128" s="51" t="s">
        <v>112</v>
      </c>
      <c r="Z128" s="47" t="s">
        <v>37</v>
      </c>
      <c r="AA128" s="23" t="s">
        <v>115</v>
      </c>
      <c r="AB128" s="8" t="s">
        <v>392</v>
      </c>
      <c r="AE128" s="24"/>
      <c r="AM128" s="24"/>
    </row>
    <row r="129" ht="15.75" customHeight="1">
      <c r="A129" s="8">
        <v>924.0</v>
      </c>
      <c r="B129" s="34" t="s">
        <v>810</v>
      </c>
      <c r="C129" s="28" t="s">
        <v>48</v>
      </c>
      <c r="D129" s="68" t="s">
        <v>112</v>
      </c>
      <c r="E129" s="34" t="s">
        <v>112</v>
      </c>
      <c r="F129" s="107">
        <v>43209.0</v>
      </c>
      <c r="G129" s="95">
        <v>43191.0</v>
      </c>
      <c r="H129" s="20" t="str">
        <f t="shared" si="9"/>
        <v>2018</v>
      </c>
      <c r="I129" s="8" t="s">
        <v>176</v>
      </c>
      <c r="J129" s="68" t="s">
        <v>112</v>
      </c>
      <c r="K129" s="68" t="s">
        <v>112</v>
      </c>
      <c r="L129" s="28" t="s">
        <v>100</v>
      </c>
      <c r="M129" s="87" t="s">
        <v>513</v>
      </c>
      <c r="N129" s="34" t="s">
        <v>811</v>
      </c>
      <c r="O129" s="8" t="s">
        <v>812</v>
      </c>
      <c r="P129" s="34" t="s">
        <v>106</v>
      </c>
      <c r="Q129" s="68" t="s">
        <v>112</v>
      </c>
      <c r="R129" s="28">
        <v>366118.0</v>
      </c>
      <c r="S129" s="28">
        <v>9697176.0</v>
      </c>
      <c r="T129" s="28" t="s">
        <v>112</v>
      </c>
      <c r="U129" s="28" t="s">
        <v>112</v>
      </c>
      <c r="V129" s="28" t="s">
        <v>673</v>
      </c>
      <c r="W129" s="68" t="s">
        <v>112</v>
      </c>
      <c r="X129" s="68" t="s">
        <v>112</v>
      </c>
      <c r="Y129" s="68" t="s">
        <v>112</v>
      </c>
      <c r="Z129" s="8" t="s">
        <v>148</v>
      </c>
      <c r="AA129" s="23" t="s">
        <v>144</v>
      </c>
      <c r="AB129" s="8"/>
      <c r="AE129" s="24"/>
      <c r="AM129" s="24"/>
    </row>
    <row r="130" ht="15.75" customHeight="1">
      <c r="A130" s="52">
        <v>943.0</v>
      </c>
      <c r="B130" s="53" t="s">
        <v>813</v>
      </c>
      <c r="C130" s="53" t="s">
        <v>50</v>
      </c>
      <c r="D130" s="53" t="s">
        <v>456</v>
      </c>
      <c r="E130" s="53" t="s">
        <v>675</v>
      </c>
      <c r="F130" s="53" t="s">
        <v>814</v>
      </c>
      <c r="G130" s="53" t="s">
        <v>814</v>
      </c>
      <c r="H130" s="55">
        <v>2020.0</v>
      </c>
      <c r="I130" s="53" t="s">
        <v>97</v>
      </c>
      <c r="J130" s="53" t="s">
        <v>98</v>
      </c>
      <c r="K130" s="53" t="s">
        <v>164</v>
      </c>
      <c r="L130" s="53" t="s">
        <v>100</v>
      </c>
      <c r="M130" s="53" t="s">
        <v>150</v>
      </c>
      <c r="N130" s="56" t="s">
        <v>815</v>
      </c>
      <c r="O130" s="56" t="s">
        <v>816</v>
      </c>
      <c r="P130" s="53" t="s">
        <v>106</v>
      </c>
      <c r="Q130" s="53" t="s">
        <v>112</v>
      </c>
      <c r="R130" s="53">
        <v>366375.0</v>
      </c>
      <c r="S130" s="53">
        <v>9694493.0</v>
      </c>
      <c r="T130" s="57"/>
      <c r="U130" s="58"/>
      <c r="V130" s="53" t="s">
        <v>112</v>
      </c>
      <c r="W130" s="58"/>
      <c r="X130" s="58"/>
      <c r="Y130" s="58"/>
      <c r="Z130" s="58"/>
      <c r="AA130" s="58"/>
      <c r="AB130" s="58"/>
      <c r="AE130" s="24"/>
      <c r="AM130" s="24"/>
    </row>
    <row r="131" ht="15.75" customHeight="1">
      <c r="A131" s="8">
        <v>926.0</v>
      </c>
      <c r="B131" s="34" t="s">
        <v>817</v>
      </c>
      <c r="C131" s="28" t="s">
        <v>48</v>
      </c>
      <c r="D131" s="68" t="s">
        <v>112</v>
      </c>
      <c r="E131" s="34" t="s">
        <v>112</v>
      </c>
      <c r="F131" s="107">
        <v>43211.0</v>
      </c>
      <c r="G131" s="95">
        <v>43191.0</v>
      </c>
      <c r="H131" s="20" t="str">
        <f t="shared" ref="H131:H133" si="10">TEXT(G131, "yyyy")</f>
        <v>2018</v>
      </c>
      <c r="I131" s="8" t="s">
        <v>186</v>
      </c>
      <c r="J131" s="68" t="s">
        <v>112</v>
      </c>
      <c r="K131" s="68" t="s">
        <v>112</v>
      </c>
      <c r="L131" s="28" t="s">
        <v>100</v>
      </c>
      <c r="M131" s="20" t="s">
        <v>112</v>
      </c>
      <c r="N131" s="34" t="s">
        <v>818</v>
      </c>
      <c r="O131" s="8" t="s">
        <v>819</v>
      </c>
      <c r="P131" s="34" t="s">
        <v>106</v>
      </c>
      <c r="Q131" s="68" t="s">
        <v>112</v>
      </c>
      <c r="R131" s="28">
        <v>366584.0</v>
      </c>
      <c r="S131" s="68">
        <v>9693609.0</v>
      </c>
      <c r="T131" s="28" t="s">
        <v>112</v>
      </c>
      <c r="U131" s="28" t="s">
        <v>112</v>
      </c>
      <c r="V131" s="28" t="s">
        <v>673</v>
      </c>
      <c r="W131" s="68" t="s">
        <v>112</v>
      </c>
      <c r="X131" s="68" t="s">
        <v>112</v>
      </c>
      <c r="Y131" s="68" t="s">
        <v>112</v>
      </c>
      <c r="Z131" s="8" t="s">
        <v>148</v>
      </c>
      <c r="AA131" s="23" t="s">
        <v>144</v>
      </c>
      <c r="AB131" s="8"/>
      <c r="AE131" s="24"/>
      <c r="AM131" s="24"/>
    </row>
    <row r="132" ht="15.75" customHeight="1">
      <c r="A132" s="8">
        <v>283.0</v>
      </c>
      <c r="B132" s="39" t="s">
        <v>820</v>
      </c>
      <c r="C132" s="59" t="s">
        <v>58</v>
      </c>
      <c r="D132" s="51" t="s">
        <v>511</v>
      </c>
      <c r="E132" s="39" t="s">
        <v>112</v>
      </c>
      <c r="F132" s="43" t="s">
        <v>821</v>
      </c>
      <c r="G132" s="106">
        <v>39203.0</v>
      </c>
      <c r="H132" s="50" t="str">
        <f t="shared" si="10"/>
        <v>2007</v>
      </c>
      <c r="I132" s="8" t="s">
        <v>176</v>
      </c>
      <c r="J132" s="51" t="s">
        <v>112</v>
      </c>
      <c r="K132" s="51" t="s">
        <v>112</v>
      </c>
      <c r="L132" s="39" t="s">
        <v>100</v>
      </c>
      <c r="M132" s="34" t="s">
        <v>177</v>
      </c>
      <c r="N132" s="88" t="s">
        <v>822</v>
      </c>
      <c r="O132" s="45" t="s">
        <v>823</v>
      </c>
      <c r="P132" s="39" t="s">
        <v>106</v>
      </c>
      <c r="Q132" s="51" t="s">
        <v>112</v>
      </c>
      <c r="R132" s="96">
        <v>366632.0</v>
      </c>
      <c r="S132" s="59">
        <v>9694054.0</v>
      </c>
      <c r="T132" s="39" t="s">
        <v>112</v>
      </c>
      <c r="U132" s="39" t="s">
        <v>112</v>
      </c>
      <c r="V132" s="59" t="s">
        <v>779</v>
      </c>
      <c r="W132" s="51" t="s">
        <v>112</v>
      </c>
      <c r="X132" s="51" t="s">
        <v>112</v>
      </c>
      <c r="Y132" s="51" t="s">
        <v>112</v>
      </c>
      <c r="Z132" s="8" t="s">
        <v>36</v>
      </c>
      <c r="AA132" s="23" t="s">
        <v>144</v>
      </c>
      <c r="AB132" s="21" t="s">
        <v>391</v>
      </c>
      <c r="AE132" s="24"/>
      <c r="AM132" s="24"/>
    </row>
    <row r="133" ht="15.75" customHeight="1">
      <c r="A133" s="8">
        <v>925.0</v>
      </c>
      <c r="B133" s="34" t="s">
        <v>824</v>
      </c>
      <c r="C133" s="28" t="s">
        <v>48</v>
      </c>
      <c r="D133" s="68" t="s">
        <v>112</v>
      </c>
      <c r="E133" s="34" t="s">
        <v>112</v>
      </c>
      <c r="F133" s="107">
        <v>43211.0</v>
      </c>
      <c r="G133" s="95">
        <v>43191.0</v>
      </c>
      <c r="H133" s="20" t="str">
        <f t="shared" si="10"/>
        <v>2018</v>
      </c>
      <c r="I133" s="8" t="s">
        <v>186</v>
      </c>
      <c r="J133" s="68" t="s">
        <v>112</v>
      </c>
      <c r="K133" s="68" t="s">
        <v>112</v>
      </c>
      <c r="L133" s="28" t="s">
        <v>100</v>
      </c>
      <c r="M133" s="20" t="s">
        <v>112</v>
      </c>
      <c r="N133" s="34" t="s">
        <v>825</v>
      </c>
      <c r="O133" s="8" t="s">
        <v>826</v>
      </c>
      <c r="P133" s="34" t="s">
        <v>106</v>
      </c>
      <c r="Q133" s="68" t="s">
        <v>112</v>
      </c>
      <c r="R133" s="68">
        <v>366647.0</v>
      </c>
      <c r="S133" s="68">
        <v>9694052.0</v>
      </c>
      <c r="T133" s="28" t="s">
        <v>112</v>
      </c>
      <c r="U133" s="28" t="s">
        <v>112</v>
      </c>
      <c r="V133" s="28" t="s">
        <v>673</v>
      </c>
      <c r="W133" s="68" t="s">
        <v>112</v>
      </c>
      <c r="X133" s="68" t="s">
        <v>112</v>
      </c>
      <c r="Y133" s="68" t="s">
        <v>112</v>
      </c>
      <c r="Z133" s="8" t="s">
        <v>148</v>
      </c>
      <c r="AA133" s="23" t="s">
        <v>144</v>
      </c>
      <c r="AB133" s="8"/>
      <c r="AE133" s="24"/>
      <c r="AM133" s="24"/>
    </row>
    <row r="134" ht="15.75" customHeight="1">
      <c r="A134" s="52">
        <v>946.0</v>
      </c>
      <c r="B134" s="53" t="s">
        <v>827</v>
      </c>
      <c r="C134" s="53" t="s">
        <v>50</v>
      </c>
      <c r="D134" s="53" t="s">
        <v>694</v>
      </c>
      <c r="E134" s="53" t="s">
        <v>675</v>
      </c>
      <c r="F134" s="53" t="s">
        <v>828</v>
      </c>
      <c r="G134" s="54">
        <v>43839.0</v>
      </c>
      <c r="H134" s="55">
        <v>2020.0</v>
      </c>
      <c r="I134" s="53" t="s">
        <v>829</v>
      </c>
      <c r="J134" s="53" t="s">
        <v>230</v>
      </c>
      <c r="K134" s="53" t="s">
        <v>164</v>
      </c>
      <c r="L134" s="56" t="s">
        <v>100</v>
      </c>
      <c r="M134" s="53" t="s">
        <v>150</v>
      </c>
      <c r="N134" s="56" t="s">
        <v>830</v>
      </c>
      <c r="O134" s="56" t="s">
        <v>831</v>
      </c>
      <c r="P134" s="53" t="s">
        <v>106</v>
      </c>
      <c r="Q134" s="53"/>
      <c r="R134" s="53">
        <v>366664.0</v>
      </c>
      <c r="S134" s="53">
        <v>9693153.0</v>
      </c>
      <c r="T134" s="57"/>
      <c r="U134" s="58"/>
      <c r="V134" s="56" t="s">
        <v>832</v>
      </c>
      <c r="W134" s="58"/>
      <c r="X134" s="58"/>
      <c r="Y134" s="58"/>
      <c r="Z134" s="58"/>
      <c r="AA134" s="58"/>
      <c r="AB134" s="58"/>
      <c r="AE134" s="24"/>
      <c r="AM134" s="24"/>
    </row>
    <row r="135" ht="15.75" customHeight="1">
      <c r="A135" s="8">
        <v>451.0</v>
      </c>
      <c r="B135" s="39" t="s">
        <v>833</v>
      </c>
      <c r="C135" s="51" t="s">
        <v>58</v>
      </c>
      <c r="D135" s="51" t="s">
        <v>511</v>
      </c>
      <c r="E135" s="34" t="s">
        <v>112</v>
      </c>
      <c r="F135" s="111">
        <v>40388.0</v>
      </c>
      <c r="G135" s="106">
        <v>40360.0</v>
      </c>
      <c r="H135" s="42" t="str">
        <f t="shared" ref="H135:H145" si="11">TEXT(G135, "yyyy")</f>
        <v>2010</v>
      </c>
      <c r="I135" s="8" t="s">
        <v>176</v>
      </c>
      <c r="J135" s="34" t="s">
        <v>112</v>
      </c>
      <c r="K135" s="29" t="s">
        <v>99</v>
      </c>
      <c r="L135" s="34" t="s">
        <v>100</v>
      </c>
      <c r="M135" s="34" t="s">
        <v>177</v>
      </c>
      <c r="N135" s="88" t="s">
        <v>834</v>
      </c>
      <c r="O135" s="45" t="s">
        <v>835</v>
      </c>
      <c r="P135" s="39" t="s">
        <v>106</v>
      </c>
      <c r="Q135" s="34" t="s">
        <v>112</v>
      </c>
      <c r="R135" s="104">
        <v>366704.0</v>
      </c>
      <c r="S135" s="104">
        <v>9694300.0</v>
      </c>
      <c r="T135" s="67">
        <v>-2.7651333</v>
      </c>
      <c r="U135" s="67">
        <v>-76.199196</v>
      </c>
      <c r="V135" s="59" t="s">
        <v>836</v>
      </c>
      <c r="W135" s="34" t="s">
        <v>112</v>
      </c>
      <c r="X135" s="34" t="s">
        <v>112</v>
      </c>
      <c r="Y135" s="34" t="s">
        <v>112</v>
      </c>
      <c r="Z135" s="47" t="s">
        <v>37</v>
      </c>
      <c r="AA135" s="23" t="s">
        <v>115</v>
      </c>
      <c r="AB135" s="8" t="s">
        <v>392</v>
      </c>
      <c r="AE135" s="24"/>
      <c r="AM135" s="24"/>
    </row>
    <row r="136" ht="15.75" customHeight="1">
      <c r="A136" s="8">
        <v>461.0</v>
      </c>
      <c r="B136" s="39" t="s">
        <v>837</v>
      </c>
      <c r="C136" s="51" t="s">
        <v>58</v>
      </c>
      <c r="D136" s="51" t="s">
        <v>511</v>
      </c>
      <c r="E136" s="34" t="s">
        <v>112</v>
      </c>
      <c r="F136" s="107" t="s">
        <v>838</v>
      </c>
      <c r="G136" s="106">
        <v>40452.0</v>
      </c>
      <c r="H136" s="112" t="str">
        <f t="shared" si="11"/>
        <v>2010</v>
      </c>
      <c r="I136" s="8" t="s">
        <v>176</v>
      </c>
      <c r="J136" s="34" t="s">
        <v>112</v>
      </c>
      <c r="K136" s="29" t="s">
        <v>99</v>
      </c>
      <c r="L136" s="34" t="s">
        <v>100</v>
      </c>
      <c r="M136" s="34" t="s">
        <v>177</v>
      </c>
      <c r="N136" s="88" t="s">
        <v>839</v>
      </c>
      <c r="O136" s="45" t="s">
        <v>840</v>
      </c>
      <c r="P136" s="39" t="s">
        <v>106</v>
      </c>
      <c r="Q136" s="34" t="s">
        <v>112</v>
      </c>
      <c r="R136" s="34">
        <v>366871.0</v>
      </c>
      <c r="S136" s="34">
        <v>9694264.0</v>
      </c>
      <c r="T136" s="67">
        <v>-2.7654604</v>
      </c>
      <c r="U136" s="67">
        <v>-76.197694</v>
      </c>
      <c r="V136" s="34" t="s">
        <v>112</v>
      </c>
      <c r="W136" s="34" t="s">
        <v>112</v>
      </c>
      <c r="X136" s="34" t="s">
        <v>112</v>
      </c>
      <c r="Y136" s="34" t="s">
        <v>112</v>
      </c>
      <c r="Z136" s="47" t="s">
        <v>37</v>
      </c>
      <c r="AA136" s="23" t="s">
        <v>115</v>
      </c>
      <c r="AB136" s="8" t="s">
        <v>181</v>
      </c>
      <c r="AE136" s="24"/>
      <c r="AM136" s="24"/>
    </row>
    <row r="137" ht="15.75" customHeight="1">
      <c r="A137" s="8">
        <v>837.0</v>
      </c>
      <c r="B137" s="34" t="s">
        <v>841</v>
      </c>
      <c r="C137" s="28" t="s">
        <v>48</v>
      </c>
      <c r="D137" s="34" t="s">
        <v>112</v>
      </c>
      <c r="E137" s="34" t="s">
        <v>112</v>
      </c>
      <c r="F137" s="48">
        <v>42874.0</v>
      </c>
      <c r="G137" s="36">
        <v>42856.0</v>
      </c>
      <c r="H137" s="20" t="str">
        <f t="shared" si="11"/>
        <v>2017</v>
      </c>
      <c r="I137" s="8" t="s">
        <v>186</v>
      </c>
      <c r="J137" s="34" t="s">
        <v>112</v>
      </c>
      <c r="K137" s="34" t="s">
        <v>112</v>
      </c>
      <c r="L137" s="28" t="s">
        <v>100</v>
      </c>
      <c r="M137" s="87" t="s">
        <v>177</v>
      </c>
      <c r="N137" s="34" t="s">
        <v>842</v>
      </c>
      <c r="O137" s="8" t="s">
        <v>843</v>
      </c>
      <c r="P137" s="34" t="s">
        <v>106</v>
      </c>
      <c r="Q137" s="34" t="s">
        <v>112</v>
      </c>
      <c r="R137" s="34">
        <v>367032.3</v>
      </c>
      <c r="S137" s="34">
        <v>9716938.8</v>
      </c>
      <c r="T137" s="28">
        <v>-76.19604607</v>
      </c>
      <c r="U137" s="28">
        <v>-2.56036529</v>
      </c>
      <c r="V137" s="28" t="s">
        <v>844</v>
      </c>
      <c r="W137" s="34" t="s">
        <v>112</v>
      </c>
      <c r="X137" s="34" t="s">
        <v>112</v>
      </c>
      <c r="Y137" s="34" t="s">
        <v>112</v>
      </c>
      <c r="Z137" s="8" t="s">
        <v>148</v>
      </c>
      <c r="AA137" s="23" t="s">
        <v>144</v>
      </c>
      <c r="AB137" s="8" t="s">
        <v>349</v>
      </c>
      <c r="AC137" s="70"/>
      <c r="AD137" s="70"/>
      <c r="AE137" s="24"/>
      <c r="AF137" s="70"/>
      <c r="AG137" s="70"/>
      <c r="AH137" s="70"/>
      <c r="AI137" s="70"/>
      <c r="AJ137" s="70"/>
      <c r="AK137" s="70"/>
      <c r="AL137" s="70"/>
      <c r="AM137" s="24"/>
      <c r="AN137" s="70"/>
      <c r="AO137" s="70"/>
      <c r="AP137" s="70"/>
      <c r="AQ137" s="70"/>
      <c r="AR137" s="70"/>
      <c r="AS137" s="70"/>
      <c r="AT137" s="70"/>
      <c r="AU137" s="70"/>
      <c r="AV137" s="70"/>
      <c r="AW137" s="70"/>
      <c r="AX137" s="70"/>
      <c r="AY137" s="70"/>
      <c r="AZ137" s="70"/>
      <c r="BA137" s="70"/>
      <c r="BB137" s="70"/>
      <c r="BC137" s="70"/>
      <c r="BD137" s="70"/>
      <c r="BE137" s="70"/>
      <c r="BF137" s="70"/>
      <c r="BG137" s="70"/>
      <c r="BH137" s="70"/>
      <c r="BI137" s="70"/>
      <c r="BJ137" s="70"/>
      <c r="BK137" s="70"/>
      <c r="BL137" s="70"/>
      <c r="BM137" s="70"/>
      <c r="BN137" s="70"/>
      <c r="BO137" s="70"/>
      <c r="BP137" s="70"/>
      <c r="BQ137" s="70"/>
      <c r="BR137" s="70"/>
      <c r="BS137" s="70"/>
      <c r="BT137" s="70"/>
      <c r="BU137" s="70"/>
      <c r="BV137" s="70"/>
      <c r="BW137" s="70"/>
      <c r="BX137" s="70"/>
      <c r="BY137" s="70"/>
    </row>
    <row r="138" ht="15.75" customHeight="1">
      <c r="A138" s="8">
        <v>763.0</v>
      </c>
      <c r="B138" s="89" t="s">
        <v>845</v>
      </c>
      <c r="C138" s="113" t="s">
        <v>48</v>
      </c>
      <c r="D138" s="114" t="s">
        <v>112</v>
      </c>
      <c r="E138" s="89" t="s">
        <v>112</v>
      </c>
      <c r="F138" s="115">
        <v>42735.0</v>
      </c>
      <c r="G138" s="112">
        <v>42705.0</v>
      </c>
      <c r="H138" s="42" t="str">
        <f t="shared" si="11"/>
        <v>2016</v>
      </c>
      <c r="I138" s="8" t="s">
        <v>846</v>
      </c>
      <c r="J138" s="114" t="s">
        <v>112</v>
      </c>
      <c r="K138" s="51" t="s">
        <v>112</v>
      </c>
      <c r="L138" s="113" t="s">
        <v>100</v>
      </c>
      <c r="M138" s="116" t="s">
        <v>513</v>
      </c>
      <c r="N138" s="89" t="s">
        <v>847</v>
      </c>
      <c r="O138" s="8" t="s">
        <v>848</v>
      </c>
      <c r="P138" s="89" t="s">
        <v>106</v>
      </c>
      <c r="Q138" s="114" t="s">
        <v>112</v>
      </c>
      <c r="R138" s="113">
        <v>367152.0</v>
      </c>
      <c r="S138" s="113">
        <v>9696751.0</v>
      </c>
      <c r="T138" s="113" t="s">
        <v>112</v>
      </c>
      <c r="U138" s="113" t="s">
        <v>112</v>
      </c>
      <c r="V138" s="113" t="s">
        <v>673</v>
      </c>
      <c r="W138" s="114" t="s">
        <v>112</v>
      </c>
      <c r="X138" s="114" t="s">
        <v>112</v>
      </c>
      <c r="Y138" s="114" t="s">
        <v>112</v>
      </c>
      <c r="Z138" s="8" t="s">
        <v>69</v>
      </c>
      <c r="AA138" s="23" t="s">
        <v>115</v>
      </c>
      <c r="AB138" s="8"/>
      <c r="AC138" s="70"/>
      <c r="AD138" s="70"/>
      <c r="AE138" s="24"/>
      <c r="AF138" s="70"/>
      <c r="AG138" s="70"/>
      <c r="AH138" s="70"/>
      <c r="AI138" s="70"/>
      <c r="AJ138" s="70"/>
      <c r="AK138" s="70"/>
      <c r="AL138" s="70"/>
      <c r="AM138" s="24"/>
      <c r="AN138" s="70"/>
      <c r="AO138" s="70"/>
      <c r="AP138" s="70"/>
      <c r="AQ138" s="70"/>
      <c r="AR138" s="70"/>
      <c r="AS138" s="70"/>
      <c r="AT138" s="70"/>
      <c r="AU138" s="70"/>
      <c r="AV138" s="70"/>
      <c r="AW138" s="70"/>
      <c r="AX138" s="70"/>
      <c r="AY138" s="70"/>
      <c r="AZ138" s="70"/>
      <c r="BA138" s="70"/>
      <c r="BB138" s="70"/>
      <c r="BC138" s="70"/>
      <c r="BD138" s="70"/>
      <c r="BE138" s="70"/>
      <c r="BF138" s="70"/>
      <c r="BG138" s="70"/>
      <c r="BH138" s="70"/>
      <c r="BI138" s="70"/>
      <c r="BJ138" s="70"/>
      <c r="BK138" s="70"/>
      <c r="BL138" s="70"/>
      <c r="BM138" s="70"/>
      <c r="BN138" s="70"/>
      <c r="BO138" s="70"/>
      <c r="BP138" s="70"/>
      <c r="BQ138" s="70"/>
      <c r="BR138" s="70"/>
      <c r="BS138" s="70"/>
      <c r="BT138" s="70"/>
      <c r="BU138" s="70"/>
      <c r="BV138" s="70"/>
      <c r="BW138" s="70"/>
      <c r="BX138" s="70"/>
      <c r="BY138" s="70"/>
    </row>
    <row r="139" ht="15.75" customHeight="1">
      <c r="A139" s="8">
        <v>761.0</v>
      </c>
      <c r="B139" s="89" t="s">
        <v>849</v>
      </c>
      <c r="C139" s="113" t="s">
        <v>48</v>
      </c>
      <c r="D139" s="114" t="s">
        <v>112</v>
      </c>
      <c r="E139" s="89" t="s">
        <v>112</v>
      </c>
      <c r="F139" s="115">
        <v>42734.0</v>
      </c>
      <c r="G139" s="112">
        <v>42705.0</v>
      </c>
      <c r="H139" s="42" t="str">
        <f t="shared" si="11"/>
        <v>2016</v>
      </c>
      <c r="I139" s="8" t="s">
        <v>846</v>
      </c>
      <c r="J139" s="114" t="s">
        <v>112</v>
      </c>
      <c r="K139" s="51" t="s">
        <v>112</v>
      </c>
      <c r="L139" s="113" t="s">
        <v>100</v>
      </c>
      <c r="M139" s="116" t="s">
        <v>513</v>
      </c>
      <c r="N139" s="89" t="s">
        <v>850</v>
      </c>
      <c r="O139" s="8" t="s">
        <v>851</v>
      </c>
      <c r="P139" s="89" t="s">
        <v>106</v>
      </c>
      <c r="Q139" s="114" t="s">
        <v>112</v>
      </c>
      <c r="R139" s="113">
        <v>367157.0</v>
      </c>
      <c r="S139" s="113">
        <v>9696933.0</v>
      </c>
      <c r="T139" s="113" t="s">
        <v>112</v>
      </c>
      <c r="U139" s="113" t="s">
        <v>112</v>
      </c>
      <c r="V139" s="113" t="s">
        <v>673</v>
      </c>
      <c r="W139" s="114" t="s">
        <v>112</v>
      </c>
      <c r="X139" s="114" t="s">
        <v>112</v>
      </c>
      <c r="Y139" s="114" t="s">
        <v>112</v>
      </c>
      <c r="Z139" s="8" t="s">
        <v>69</v>
      </c>
      <c r="AA139" s="23" t="s">
        <v>115</v>
      </c>
      <c r="AB139" s="8"/>
      <c r="AC139" s="117"/>
      <c r="AD139" s="117"/>
      <c r="AE139" s="24"/>
      <c r="AF139" s="117"/>
      <c r="AG139" s="117"/>
      <c r="AH139" s="117"/>
      <c r="AI139" s="117"/>
      <c r="AJ139" s="117"/>
      <c r="AK139" s="117"/>
      <c r="AL139" s="117"/>
      <c r="AM139" s="24"/>
      <c r="AN139" s="117"/>
      <c r="AO139" s="117"/>
      <c r="AP139" s="117"/>
      <c r="AQ139" s="117"/>
      <c r="AR139" s="117"/>
      <c r="AS139" s="117"/>
      <c r="AT139" s="117"/>
      <c r="AU139" s="117"/>
      <c r="AV139" s="117"/>
      <c r="AW139" s="117"/>
      <c r="AX139" s="117"/>
      <c r="AY139" s="117"/>
      <c r="AZ139" s="117"/>
      <c r="BA139" s="117"/>
      <c r="BB139" s="117"/>
      <c r="BC139" s="117"/>
      <c r="BD139" s="117"/>
      <c r="BE139" s="117"/>
      <c r="BF139" s="117"/>
      <c r="BG139" s="117"/>
      <c r="BH139" s="117"/>
      <c r="BI139" s="117"/>
      <c r="BJ139" s="117"/>
      <c r="BK139" s="117"/>
      <c r="BL139" s="117"/>
      <c r="BM139" s="117"/>
      <c r="BN139" s="117"/>
      <c r="BO139" s="117"/>
      <c r="BP139" s="117"/>
      <c r="BQ139" s="117"/>
      <c r="BR139" s="117"/>
      <c r="BS139" s="117"/>
      <c r="BT139" s="117"/>
      <c r="BU139" s="117"/>
      <c r="BV139" s="117"/>
      <c r="BW139" s="117"/>
      <c r="BX139" s="117"/>
      <c r="BY139" s="117"/>
    </row>
    <row r="140" ht="15.75" customHeight="1">
      <c r="A140" s="8">
        <v>928.0</v>
      </c>
      <c r="B140" s="34" t="s">
        <v>852</v>
      </c>
      <c r="C140" s="28" t="s">
        <v>48</v>
      </c>
      <c r="D140" s="68" t="s">
        <v>112</v>
      </c>
      <c r="E140" s="34" t="s">
        <v>112</v>
      </c>
      <c r="F140" s="107">
        <v>43212.0</v>
      </c>
      <c r="G140" s="95">
        <v>43191.0</v>
      </c>
      <c r="H140" s="20" t="str">
        <f t="shared" si="11"/>
        <v>2018</v>
      </c>
      <c r="I140" s="8" t="s">
        <v>186</v>
      </c>
      <c r="J140" s="68" t="s">
        <v>112</v>
      </c>
      <c r="K140" s="68" t="s">
        <v>112</v>
      </c>
      <c r="L140" s="28" t="s">
        <v>100</v>
      </c>
      <c r="M140" s="28" t="s">
        <v>112</v>
      </c>
      <c r="N140" s="34" t="s">
        <v>853</v>
      </c>
      <c r="O140" s="8" t="s">
        <v>854</v>
      </c>
      <c r="P140" s="34" t="s">
        <v>106</v>
      </c>
      <c r="Q140" s="68" t="s">
        <v>112</v>
      </c>
      <c r="R140" s="28">
        <v>367341.0</v>
      </c>
      <c r="S140" s="28">
        <v>9693628.0</v>
      </c>
      <c r="T140" s="28" t="s">
        <v>112</v>
      </c>
      <c r="U140" s="28" t="s">
        <v>112</v>
      </c>
      <c r="V140" s="28" t="s">
        <v>673</v>
      </c>
      <c r="W140" s="68" t="s">
        <v>112</v>
      </c>
      <c r="X140" s="68" t="s">
        <v>112</v>
      </c>
      <c r="Y140" s="68" t="s">
        <v>112</v>
      </c>
      <c r="Z140" s="8" t="s">
        <v>148</v>
      </c>
      <c r="AA140" s="23" t="s">
        <v>144</v>
      </c>
      <c r="AB140" s="8"/>
      <c r="AC140" s="117"/>
      <c r="AD140" s="117"/>
      <c r="AE140" s="24"/>
      <c r="AF140" s="117"/>
      <c r="AG140" s="117"/>
      <c r="AH140" s="117"/>
      <c r="AI140" s="117"/>
      <c r="AJ140" s="117"/>
      <c r="AK140" s="117"/>
      <c r="AL140" s="117"/>
      <c r="AM140" s="24"/>
      <c r="AN140" s="117"/>
      <c r="AO140" s="117"/>
      <c r="AP140" s="117"/>
      <c r="AQ140" s="117"/>
      <c r="AR140" s="117"/>
      <c r="AS140" s="117"/>
      <c r="AT140" s="117"/>
      <c r="AU140" s="117"/>
      <c r="AV140" s="117"/>
      <c r="AW140" s="117"/>
      <c r="AX140" s="117"/>
      <c r="AY140" s="117"/>
      <c r="AZ140" s="117"/>
      <c r="BA140" s="117"/>
      <c r="BB140" s="117"/>
      <c r="BC140" s="117"/>
      <c r="BD140" s="117"/>
      <c r="BE140" s="117"/>
      <c r="BF140" s="117"/>
      <c r="BG140" s="117"/>
      <c r="BH140" s="117"/>
      <c r="BI140" s="117"/>
      <c r="BJ140" s="117"/>
      <c r="BK140" s="117"/>
      <c r="BL140" s="117"/>
      <c r="BM140" s="117"/>
      <c r="BN140" s="117"/>
      <c r="BO140" s="117"/>
      <c r="BP140" s="117"/>
      <c r="BQ140" s="117"/>
      <c r="BR140" s="117"/>
      <c r="BS140" s="117"/>
      <c r="BT140" s="117"/>
      <c r="BU140" s="117"/>
      <c r="BV140" s="117"/>
      <c r="BW140" s="117"/>
      <c r="BX140" s="117"/>
      <c r="BY140" s="117"/>
    </row>
    <row r="141" ht="15.75" customHeight="1">
      <c r="A141" s="8">
        <v>462.0</v>
      </c>
      <c r="B141" s="118" t="s">
        <v>855</v>
      </c>
      <c r="C141" s="113" t="s">
        <v>48</v>
      </c>
      <c r="D141" s="114" t="s">
        <v>112</v>
      </c>
      <c r="E141" s="89" t="s">
        <v>112</v>
      </c>
      <c r="F141" s="119">
        <v>40681.0</v>
      </c>
      <c r="G141" s="112">
        <v>40664.0</v>
      </c>
      <c r="H141" s="42" t="str">
        <f t="shared" si="11"/>
        <v>2011</v>
      </c>
      <c r="I141" s="8" t="s">
        <v>176</v>
      </c>
      <c r="J141" s="114" t="s">
        <v>112</v>
      </c>
      <c r="K141" s="29" t="s">
        <v>99</v>
      </c>
      <c r="L141" s="113" t="s">
        <v>100</v>
      </c>
      <c r="M141" s="114" t="s">
        <v>177</v>
      </c>
      <c r="N141" s="120" t="s">
        <v>856</v>
      </c>
      <c r="O141" s="45" t="s">
        <v>857</v>
      </c>
      <c r="P141" s="89" t="s">
        <v>106</v>
      </c>
      <c r="Q141" s="114" t="s">
        <v>112</v>
      </c>
      <c r="R141" s="34">
        <v>367370.3</v>
      </c>
      <c r="S141" s="121">
        <v>9716795.6</v>
      </c>
      <c r="T141" s="113">
        <v>-76.19300763</v>
      </c>
      <c r="U141" s="113">
        <v>-2.56166389</v>
      </c>
      <c r="V141" s="113" t="s">
        <v>858</v>
      </c>
      <c r="W141" s="114" t="s">
        <v>112</v>
      </c>
      <c r="X141" s="114" t="s">
        <v>112</v>
      </c>
      <c r="Y141" s="114" t="s">
        <v>112</v>
      </c>
      <c r="Z141" s="47" t="s">
        <v>37</v>
      </c>
      <c r="AA141" s="23" t="s">
        <v>115</v>
      </c>
      <c r="AB141" s="8" t="s">
        <v>293</v>
      </c>
      <c r="AE141" s="24"/>
      <c r="AM141" s="24"/>
    </row>
    <row r="142" ht="15.75" customHeight="1">
      <c r="A142" s="47">
        <v>328.0</v>
      </c>
      <c r="B142" s="89" t="s">
        <v>859</v>
      </c>
      <c r="C142" s="113" t="s">
        <v>48</v>
      </c>
      <c r="D142" s="89" t="s">
        <v>112</v>
      </c>
      <c r="E142" s="89" t="s">
        <v>112</v>
      </c>
      <c r="F142" s="119">
        <v>39592.0</v>
      </c>
      <c r="G142" s="122">
        <v>39569.0</v>
      </c>
      <c r="H142" s="42" t="str">
        <f t="shared" si="11"/>
        <v>2008</v>
      </c>
      <c r="I142" s="8" t="s">
        <v>846</v>
      </c>
      <c r="J142" s="89" t="s">
        <v>112</v>
      </c>
      <c r="K142" s="29" t="s">
        <v>99</v>
      </c>
      <c r="L142" s="113" t="s">
        <v>100</v>
      </c>
      <c r="M142" s="123" t="s">
        <v>177</v>
      </c>
      <c r="N142" s="120" t="s">
        <v>860</v>
      </c>
      <c r="O142" s="45" t="s">
        <v>751</v>
      </c>
      <c r="P142" s="89" t="s">
        <v>106</v>
      </c>
      <c r="Q142" s="89" t="s">
        <v>112</v>
      </c>
      <c r="R142" s="124">
        <v>367381.0</v>
      </c>
      <c r="S142" s="113">
        <v>9716964.0</v>
      </c>
      <c r="T142" s="125">
        <v>-2.5601403</v>
      </c>
      <c r="U142" s="125">
        <v>-76.192909</v>
      </c>
      <c r="V142" s="113" t="s">
        <v>717</v>
      </c>
      <c r="W142" s="89" t="s">
        <v>112</v>
      </c>
      <c r="X142" s="89" t="s">
        <v>112</v>
      </c>
      <c r="Y142" s="89" t="s">
        <v>112</v>
      </c>
      <c r="Z142" s="47" t="s">
        <v>37</v>
      </c>
      <c r="AA142" s="23" t="s">
        <v>115</v>
      </c>
      <c r="AB142" s="86" t="s">
        <v>394</v>
      </c>
      <c r="AE142" s="24"/>
      <c r="AM142" s="24"/>
    </row>
    <row r="143" ht="15.75" customHeight="1">
      <c r="A143" s="8">
        <v>832.0</v>
      </c>
      <c r="B143" s="34" t="s">
        <v>861</v>
      </c>
      <c r="C143" s="28" t="s">
        <v>48</v>
      </c>
      <c r="D143" s="34" t="s">
        <v>213</v>
      </c>
      <c r="E143" s="34" t="s">
        <v>112</v>
      </c>
      <c r="F143" s="48">
        <v>42873.0</v>
      </c>
      <c r="G143" s="36">
        <v>42856.0</v>
      </c>
      <c r="H143" s="20" t="str">
        <f t="shared" si="11"/>
        <v>2017</v>
      </c>
      <c r="I143" s="8" t="s">
        <v>176</v>
      </c>
      <c r="J143" s="34" t="s">
        <v>112</v>
      </c>
      <c r="K143" s="34" t="s">
        <v>112</v>
      </c>
      <c r="L143" s="28" t="s">
        <v>100</v>
      </c>
      <c r="M143" s="87" t="s">
        <v>513</v>
      </c>
      <c r="N143" s="34" t="s">
        <v>112</v>
      </c>
      <c r="O143" s="8" t="s">
        <v>785</v>
      </c>
      <c r="P143" s="34" t="s">
        <v>106</v>
      </c>
      <c r="Q143" s="34" t="s">
        <v>112</v>
      </c>
      <c r="R143" s="34">
        <v>367411.0</v>
      </c>
      <c r="S143" s="34">
        <v>9716770.0</v>
      </c>
      <c r="T143" s="28" t="s">
        <v>112</v>
      </c>
      <c r="U143" s="28" t="s">
        <v>112</v>
      </c>
      <c r="V143" s="28" t="s">
        <v>862</v>
      </c>
      <c r="W143" s="34" t="s">
        <v>112</v>
      </c>
      <c r="X143" s="34" t="s">
        <v>112</v>
      </c>
      <c r="Y143" s="34" t="s">
        <v>112</v>
      </c>
      <c r="Z143" s="8" t="s">
        <v>148</v>
      </c>
      <c r="AA143" s="23" t="s">
        <v>144</v>
      </c>
      <c r="AB143" s="8"/>
      <c r="AE143" s="24"/>
      <c r="AM143" s="24"/>
    </row>
    <row r="144" ht="15.75" customHeight="1">
      <c r="A144" s="8">
        <v>722.0</v>
      </c>
      <c r="B144" s="89" t="s">
        <v>863</v>
      </c>
      <c r="C144" s="113" t="s">
        <v>48</v>
      </c>
      <c r="D144" s="89" t="s">
        <v>213</v>
      </c>
      <c r="E144" s="89" t="s">
        <v>112</v>
      </c>
      <c r="F144" s="126">
        <v>42508.0</v>
      </c>
      <c r="G144" s="122">
        <v>42491.0</v>
      </c>
      <c r="H144" s="42" t="str">
        <f t="shared" si="11"/>
        <v>2016</v>
      </c>
      <c r="I144" s="8" t="s">
        <v>176</v>
      </c>
      <c r="J144" s="89" t="s">
        <v>112</v>
      </c>
      <c r="K144" s="39" t="s">
        <v>112</v>
      </c>
      <c r="L144" s="113" t="s">
        <v>100</v>
      </c>
      <c r="M144" s="116" t="s">
        <v>513</v>
      </c>
      <c r="N144" s="127" t="s">
        <v>864</v>
      </c>
      <c r="O144" s="128" t="s">
        <v>865</v>
      </c>
      <c r="P144" s="89" t="s">
        <v>106</v>
      </c>
      <c r="Q144" s="89" t="s">
        <v>112</v>
      </c>
      <c r="R144" s="34">
        <v>367419.8</v>
      </c>
      <c r="S144" s="34">
        <v>9716769.9</v>
      </c>
      <c r="T144" s="113">
        <v>-76.19256256</v>
      </c>
      <c r="U144" s="113">
        <v>-2.56189682</v>
      </c>
      <c r="V144" s="113" t="s">
        <v>866</v>
      </c>
      <c r="W144" s="89" t="s">
        <v>112</v>
      </c>
      <c r="X144" s="89" t="s">
        <v>112</v>
      </c>
      <c r="Y144" s="89" t="s">
        <v>112</v>
      </c>
      <c r="Z144" s="8" t="s">
        <v>69</v>
      </c>
      <c r="AA144" s="23" t="s">
        <v>115</v>
      </c>
      <c r="AB144" s="8" t="s">
        <v>378</v>
      </c>
      <c r="AE144" s="24"/>
      <c r="AM144" s="24"/>
    </row>
    <row r="145" ht="15.75" customHeight="1">
      <c r="A145" s="8">
        <v>927.0</v>
      </c>
      <c r="B145" s="34" t="s">
        <v>867</v>
      </c>
      <c r="C145" s="28" t="s">
        <v>48</v>
      </c>
      <c r="D145" s="68" t="s">
        <v>112</v>
      </c>
      <c r="E145" s="34" t="s">
        <v>112</v>
      </c>
      <c r="F145" s="107">
        <v>43212.0</v>
      </c>
      <c r="G145" s="95">
        <v>43191.0</v>
      </c>
      <c r="H145" s="20" t="str">
        <f t="shared" si="11"/>
        <v>2018</v>
      </c>
      <c r="I145" s="8" t="s">
        <v>63</v>
      </c>
      <c r="J145" s="68" t="s">
        <v>112</v>
      </c>
      <c r="K145" s="68" t="s">
        <v>112</v>
      </c>
      <c r="L145" s="28" t="s">
        <v>100</v>
      </c>
      <c r="M145" s="20" t="s">
        <v>187</v>
      </c>
      <c r="N145" s="34" t="s">
        <v>868</v>
      </c>
      <c r="O145" s="8" t="s">
        <v>854</v>
      </c>
      <c r="P145" s="34" t="s">
        <v>106</v>
      </c>
      <c r="Q145" s="68" t="s">
        <v>112</v>
      </c>
      <c r="R145" s="28">
        <v>367469.0</v>
      </c>
      <c r="S145" s="28">
        <v>9693327.0</v>
      </c>
      <c r="T145" s="28" t="s">
        <v>112</v>
      </c>
      <c r="U145" s="28" t="s">
        <v>112</v>
      </c>
      <c r="V145" s="28" t="s">
        <v>673</v>
      </c>
      <c r="W145" s="68" t="s">
        <v>112</v>
      </c>
      <c r="X145" s="68" t="s">
        <v>112</v>
      </c>
      <c r="Y145" s="68" t="s">
        <v>112</v>
      </c>
      <c r="Z145" s="8" t="s">
        <v>148</v>
      </c>
      <c r="AA145" s="23" t="s">
        <v>144</v>
      </c>
      <c r="AB145" s="8"/>
      <c r="AE145" s="24"/>
      <c r="AM145" s="24"/>
    </row>
    <row r="146" ht="15.75" customHeight="1">
      <c r="A146" s="8">
        <v>95.0</v>
      </c>
      <c r="B146" s="17" t="s">
        <v>869</v>
      </c>
      <c r="C146" s="8" t="s">
        <v>50</v>
      </c>
      <c r="D146" s="8" t="s">
        <v>89</v>
      </c>
      <c r="E146" s="8" t="s">
        <v>675</v>
      </c>
      <c r="F146" s="17" t="s">
        <v>870</v>
      </c>
      <c r="G146" s="17" t="s">
        <v>112</v>
      </c>
      <c r="H146" s="28" t="s">
        <v>112</v>
      </c>
      <c r="I146" s="8" t="s">
        <v>97</v>
      </c>
      <c r="J146" s="8" t="s">
        <v>158</v>
      </c>
      <c r="K146" s="8" t="s">
        <v>164</v>
      </c>
      <c r="L146" s="17" t="s">
        <v>100</v>
      </c>
      <c r="M146" s="8" t="s">
        <v>150</v>
      </c>
      <c r="N146" s="8" t="s">
        <v>871</v>
      </c>
      <c r="O146" s="23" t="s">
        <v>872</v>
      </c>
      <c r="P146" s="8" t="s">
        <v>106</v>
      </c>
      <c r="Q146" s="8" t="s">
        <v>873</v>
      </c>
      <c r="R146" s="8">
        <v>368398.0</v>
      </c>
      <c r="S146" s="8">
        <v>9710346.0</v>
      </c>
      <c r="T146" s="8" t="s">
        <v>112</v>
      </c>
      <c r="U146" s="8" t="s">
        <v>112</v>
      </c>
      <c r="V146" s="8" t="s">
        <v>680</v>
      </c>
      <c r="W146" s="8" t="s">
        <v>874</v>
      </c>
      <c r="X146" s="8" t="s">
        <v>112</v>
      </c>
      <c r="Y146" s="8" t="s">
        <v>112</v>
      </c>
      <c r="Z146" s="23" t="s">
        <v>42</v>
      </c>
      <c r="AA146" s="23" t="s">
        <v>115</v>
      </c>
      <c r="AB146" s="8" t="s">
        <v>112</v>
      </c>
      <c r="AE146" s="24"/>
      <c r="AM146" s="24"/>
    </row>
    <row r="147" ht="15.75" customHeight="1">
      <c r="A147" s="8">
        <v>312.0</v>
      </c>
      <c r="B147" s="89" t="s">
        <v>875</v>
      </c>
      <c r="C147" s="113" t="s">
        <v>48</v>
      </c>
      <c r="D147" s="89" t="s">
        <v>112</v>
      </c>
      <c r="E147" s="89" t="s">
        <v>112</v>
      </c>
      <c r="F147" s="123">
        <v>39505.0</v>
      </c>
      <c r="G147" s="122">
        <v>39479.0</v>
      </c>
      <c r="H147" s="42" t="str">
        <f>TEXT(G147, "yyyy")</f>
        <v>2008</v>
      </c>
      <c r="I147" s="8" t="s">
        <v>176</v>
      </c>
      <c r="J147" s="89" t="s">
        <v>112</v>
      </c>
      <c r="K147" s="39" t="s">
        <v>112</v>
      </c>
      <c r="L147" s="113" t="s">
        <v>100</v>
      </c>
      <c r="M147" s="123" t="s">
        <v>177</v>
      </c>
      <c r="N147" s="120" t="s">
        <v>876</v>
      </c>
      <c r="O147" s="45" t="s">
        <v>877</v>
      </c>
      <c r="P147" s="89" t="s">
        <v>106</v>
      </c>
      <c r="Q147" s="89" t="s">
        <v>112</v>
      </c>
      <c r="R147" s="129">
        <v>370201.0</v>
      </c>
      <c r="S147" s="113">
        <v>9725346.0</v>
      </c>
      <c r="T147" s="89" t="s">
        <v>112</v>
      </c>
      <c r="U147" s="89" t="s">
        <v>112</v>
      </c>
      <c r="V147" s="113" t="s">
        <v>717</v>
      </c>
      <c r="W147" s="89" t="s">
        <v>112</v>
      </c>
      <c r="X147" s="89" t="s">
        <v>112</v>
      </c>
      <c r="Y147" s="89" t="s">
        <v>112</v>
      </c>
      <c r="Z147" s="8" t="s">
        <v>36</v>
      </c>
      <c r="AA147" s="23" t="s">
        <v>144</v>
      </c>
      <c r="AB147" s="21" t="s">
        <v>391</v>
      </c>
      <c r="AC147" s="130"/>
      <c r="AD147" s="130"/>
      <c r="AE147" s="24"/>
      <c r="AF147" s="130"/>
      <c r="AG147" s="130"/>
      <c r="AH147" s="130"/>
      <c r="AI147" s="130"/>
      <c r="AJ147" s="130"/>
      <c r="AK147" s="130"/>
      <c r="AL147" s="130"/>
      <c r="AM147" s="24"/>
      <c r="AN147" s="130"/>
      <c r="AO147" s="130"/>
      <c r="AP147" s="130"/>
      <c r="AQ147" s="130"/>
      <c r="AR147" s="130"/>
      <c r="AS147" s="130"/>
      <c r="AT147" s="130"/>
      <c r="AU147" s="130"/>
      <c r="AV147" s="130"/>
      <c r="AW147" s="130"/>
      <c r="AX147" s="130"/>
      <c r="AY147" s="130"/>
      <c r="AZ147" s="130"/>
      <c r="BA147" s="130"/>
      <c r="BB147" s="130"/>
      <c r="BC147" s="130"/>
      <c r="BD147" s="130"/>
      <c r="BE147" s="130"/>
      <c r="BF147" s="130"/>
      <c r="BG147" s="130"/>
      <c r="BH147" s="130"/>
      <c r="BI147" s="130"/>
      <c r="BJ147" s="130"/>
      <c r="BK147" s="130"/>
      <c r="BL147" s="130"/>
      <c r="BM147" s="130"/>
      <c r="BN147" s="130"/>
      <c r="BO147" s="130"/>
      <c r="BP147" s="130"/>
      <c r="BQ147" s="130"/>
      <c r="BR147" s="130"/>
      <c r="BS147" s="130"/>
      <c r="BT147" s="130"/>
      <c r="BU147" s="130"/>
      <c r="BV147" s="130"/>
      <c r="BW147" s="130"/>
      <c r="BX147" s="130"/>
      <c r="BY147" s="130"/>
    </row>
    <row r="148" ht="15.75" customHeight="1">
      <c r="A148" s="52">
        <v>954.0</v>
      </c>
      <c r="B148" s="55" t="s">
        <v>878</v>
      </c>
      <c r="C148" s="55" t="s">
        <v>50</v>
      </c>
      <c r="D148" s="55" t="s">
        <v>694</v>
      </c>
      <c r="E148" s="55" t="s">
        <v>695</v>
      </c>
      <c r="F148" s="131">
        <v>44318.0</v>
      </c>
      <c r="G148" s="131">
        <v>44232.0</v>
      </c>
      <c r="H148" s="55">
        <v>2021.0</v>
      </c>
      <c r="I148" s="53" t="s">
        <v>97</v>
      </c>
      <c r="J148" s="55" t="s">
        <v>98</v>
      </c>
      <c r="K148" s="53" t="s">
        <v>164</v>
      </c>
      <c r="L148" s="55" t="s">
        <v>100</v>
      </c>
      <c r="M148" s="55" t="s">
        <v>150</v>
      </c>
      <c r="N148" s="55" t="s">
        <v>879</v>
      </c>
      <c r="O148" s="56" t="s">
        <v>880</v>
      </c>
      <c r="P148" s="55" t="s">
        <v>106</v>
      </c>
      <c r="Q148" s="55"/>
      <c r="R148" s="55">
        <v>370393.0</v>
      </c>
      <c r="S148" s="55">
        <v>9741543.0</v>
      </c>
      <c r="T148" s="57"/>
      <c r="U148" s="58"/>
      <c r="V148" s="55" t="s">
        <v>700</v>
      </c>
      <c r="W148" s="58"/>
      <c r="X148" s="58"/>
      <c r="Y148" s="58"/>
      <c r="Z148" s="58"/>
      <c r="AA148" s="58"/>
      <c r="AB148" s="58"/>
      <c r="AC148" s="130"/>
      <c r="AD148" s="130"/>
      <c r="AE148" s="24"/>
      <c r="AF148" s="130"/>
      <c r="AG148" s="130"/>
      <c r="AH148" s="130"/>
      <c r="AI148" s="130"/>
      <c r="AJ148" s="130"/>
      <c r="AK148" s="130"/>
      <c r="AL148" s="130"/>
      <c r="AM148" s="24"/>
      <c r="AN148" s="130"/>
      <c r="AO148" s="130"/>
      <c r="AP148" s="130"/>
      <c r="AQ148" s="130"/>
      <c r="AR148" s="130"/>
      <c r="AS148" s="130"/>
      <c r="AT148" s="130"/>
      <c r="AU148" s="130"/>
      <c r="AV148" s="130"/>
      <c r="AW148" s="130"/>
      <c r="AX148" s="130"/>
      <c r="AY148" s="130"/>
      <c r="AZ148" s="130"/>
      <c r="BA148" s="130"/>
      <c r="BB148" s="130"/>
      <c r="BC148" s="130"/>
      <c r="BD148" s="130"/>
      <c r="BE148" s="130"/>
      <c r="BF148" s="130"/>
      <c r="BG148" s="130"/>
      <c r="BH148" s="130"/>
      <c r="BI148" s="130"/>
      <c r="BJ148" s="130"/>
      <c r="BK148" s="130"/>
      <c r="BL148" s="130"/>
      <c r="BM148" s="130"/>
      <c r="BN148" s="130"/>
      <c r="BO148" s="130"/>
      <c r="BP148" s="130"/>
      <c r="BQ148" s="130"/>
      <c r="BR148" s="130"/>
      <c r="BS148" s="130"/>
      <c r="BT148" s="130"/>
      <c r="BU148" s="130"/>
      <c r="BV148" s="130"/>
      <c r="BW148" s="130"/>
      <c r="BX148" s="130"/>
      <c r="BY148" s="130"/>
    </row>
    <row r="149" ht="15.75" customHeight="1">
      <c r="A149" s="52">
        <v>956.0</v>
      </c>
      <c r="B149" s="55" t="s">
        <v>881</v>
      </c>
      <c r="C149" s="55" t="s">
        <v>50</v>
      </c>
      <c r="D149" s="55" t="s">
        <v>694</v>
      </c>
      <c r="E149" s="55" t="s">
        <v>695</v>
      </c>
      <c r="F149" s="131">
        <v>44318.0</v>
      </c>
      <c r="G149" s="131">
        <v>44232.0</v>
      </c>
      <c r="H149" s="55">
        <v>2021.0</v>
      </c>
      <c r="I149" s="53" t="s">
        <v>97</v>
      </c>
      <c r="J149" s="55" t="s">
        <v>98</v>
      </c>
      <c r="K149" s="53" t="s">
        <v>164</v>
      </c>
      <c r="L149" s="55" t="s">
        <v>100</v>
      </c>
      <c r="M149" s="55" t="s">
        <v>150</v>
      </c>
      <c r="N149" s="55" t="s">
        <v>882</v>
      </c>
      <c r="O149" s="56" t="s">
        <v>880</v>
      </c>
      <c r="P149" s="55" t="s">
        <v>106</v>
      </c>
      <c r="Q149" s="55"/>
      <c r="R149" s="55">
        <v>370394.0</v>
      </c>
      <c r="S149" s="55">
        <v>9741620.0</v>
      </c>
      <c r="T149" s="57"/>
      <c r="U149" s="58"/>
      <c r="V149" s="55" t="s">
        <v>700</v>
      </c>
      <c r="W149" s="58"/>
      <c r="X149" s="58"/>
      <c r="Y149" s="58"/>
      <c r="Z149" s="58"/>
      <c r="AA149" s="58"/>
      <c r="AB149" s="58"/>
      <c r="AC149" s="70"/>
      <c r="AD149" s="70"/>
      <c r="AE149" s="24"/>
      <c r="AF149" s="70"/>
      <c r="AG149" s="70"/>
      <c r="AH149" s="70"/>
      <c r="AI149" s="70"/>
      <c r="AJ149" s="70"/>
      <c r="AK149" s="70"/>
      <c r="AL149" s="70"/>
      <c r="AM149" s="24"/>
      <c r="AN149" s="70"/>
      <c r="AO149" s="70"/>
      <c r="AP149" s="70"/>
      <c r="AQ149" s="70"/>
      <c r="AR149" s="70"/>
      <c r="AS149" s="70"/>
      <c r="AT149" s="70"/>
      <c r="AU149" s="70"/>
      <c r="AV149" s="70"/>
      <c r="AW149" s="70"/>
      <c r="AX149" s="70"/>
      <c r="AY149" s="70"/>
      <c r="AZ149" s="70"/>
      <c r="BA149" s="70"/>
      <c r="BB149" s="70"/>
      <c r="BC149" s="70"/>
      <c r="BD149" s="70"/>
      <c r="BE149" s="70"/>
      <c r="BF149" s="70"/>
      <c r="BG149" s="70"/>
      <c r="BH149" s="70"/>
      <c r="BI149" s="70"/>
      <c r="BJ149" s="70"/>
      <c r="BK149" s="70"/>
      <c r="BL149" s="70"/>
      <c r="BM149" s="70"/>
      <c r="BN149" s="70"/>
      <c r="BO149" s="70"/>
      <c r="BP149" s="70"/>
      <c r="BQ149" s="70"/>
      <c r="BR149" s="70"/>
      <c r="BS149" s="70"/>
      <c r="BT149" s="70"/>
      <c r="BU149" s="70"/>
      <c r="BV149" s="70"/>
      <c r="BW149" s="70"/>
      <c r="BX149" s="70"/>
      <c r="BY149" s="70"/>
    </row>
    <row r="150" ht="15.75" customHeight="1">
      <c r="A150" s="52">
        <v>959.0</v>
      </c>
      <c r="B150" s="58" t="s">
        <v>883</v>
      </c>
      <c r="C150" s="58" t="s">
        <v>50</v>
      </c>
      <c r="D150" s="58" t="s">
        <v>753</v>
      </c>
      <c r="E150" s="58" t="s">
        <v>726</v>
      </c>
      <c r="F150" s="132">
        <v>44844.0</v>
      </c>
      <c r="G150" s="58" t="s">
        <v>884</v>
      </c>
      <c r="H150" s="55">
        <v>2021.0</v>
      </c>
      <c r="I150" s="53" t="s">
        <v>97</v>
      </c>
      <c r="J150" s="58" t="s">
        <v>163</v>
      </c>
      <c r="K150" s="58" t="s">
        <v>99</v>
      </c>
      <c r="L150" s="58" t="s">
        <v>100</v>
      </c>
      <c r="M150" s="58" t="s">
        <v>150</v>
      </c>
      <c r="N150" s="58" t="s">
        <v>885</v>
      </c>
      <c r="O150" s="58" t="s">
        <v>886</v>
      </c>
      <c r="P150" s="58" t="s">
        <v>699</v>
      </c>
      <c r="Q150" s="58"/>
      <c r="R150" s="58">
        <v>370430.0</v>
      </c>
      <c r="S150" s="58">
        <v>9741617.0</v>
      </c>
      <c r="T150" s="57"/>
      <c r="U150" s="58"/>
      <c r="V150" s="58" t="s">
        <v>700</v>
      </c>
      <c r="W150" s="58"/>
      <c r="X150" s="58"/>
      <c r="Y150" s="58"/>
      <c r="Z150" s="58"/>
      <c r="AA150" s="58"/>
      <c r="AB150" s="58"/>
      <c r="AE150" s="24"/>
      <c r="AM150" s="24"/>
    </row>
    <row r="151" ht="15.75" customHeight="1">
      <c r="A151" s="52">
        <v>953.0</v>
      </c>
      <c r="B151" s="55" t="s">
        <v>887</v>
      </c>
      <c r="C151" s="55" t="s">
        <v>50</v>
      </c>
      <c r="D151" s="55" t="s">
        <v>694</v>
      </c>
      <c r="E151" s="55" t="s">
        <v>695</v>
      </c>
      <c r="F151" s="131">
        <v>44318.0</v>
      </c>
      <c r="G151" s="131">
        <v>44232.0</v>
      </c>
      <c r="H151" s="55">
        <v>2021.0</v>
      </c>
      <c r="I151" s="53" t="s">
        <v>97</v>
      </c>
      <c r="J151" s="55" t="s">
        <v>98</v>
      </c>
      <c r="K151" s="53" t="s">
        <v>164</v>
      </c>
      <c r="L151" s="55" t="s">
        <v>100</v>
      </c>
      <c r="M151" s="55" t="s">
        <v>150</v>
      </c>
      <c r="N151" s="55" t="s">
        <v>888</v>
      </c>
      <c r="O151" s="56" t="s">
        <v>880</v>
      </c>
      <c r="P151" s="55" t="s">
        <v>106</v>
      </c>
      <c r="Q151" s="55"/>
      <c r="R151" s="55">
        <v>370437.0</v>
      </c>
      <c r="S151" s="55">
        <v>9741636.0</v>
      </c>
      <c r="T151" s="57"/>
      <c r="U151" s="58"/>
      <c r="V151" s="55" t="s">
        <v>700</v>
      </c>
      <c r="W151" s="58"/>
      <c r="X151" s="58"/>
      <c r="Y151" s="58"/>
      <c r="Z151" s="58"/>
      <c r="AA151" s="58"/>
      <c r="AB151" s="58"/>
      <c r="AC151" s="70"/>
      <c r="AD151" s="70"/>
      <c r="AE151" s="24"/>
      <c r="AF151" s="70"/>
      <c r="AG151" s="70"/>
      <c r="AH151" s="70"/>
      <c r="AI151" s="70"/>
      <c r="AJ151" s="70"/>
      <c r="AK151" s="70"/>
      <c r="AL151" s="70"/>
      <c r="AM151" s="24"/>
      <c r="AN151" s="70"/>
      <c r="AO151" s="70"/>
      <c r="AP151" s="70"/>
      <c r="AQ151" s="70"/>
      <c r="AR151" s="70"/>
      <c r="AS151" s="70"/>
      <c r="AT151" s="70"/>
      <c r="AU151" s="70"/>
      <c r="AV151" s="70"/>
      <c r="AW151" s="70"/>
      <c r="AX151" s="70"/>
      <c r="AY151" s="70"/>
      <c r="AZ151" s="70"/>
      <c r="BA151" s="70"/>
      <c r="BB151" s="70"/>
      <c r="BC151" s="70"/>
      <c r="BD151" s="70"/>
      <c r="BE151" s="70"/>
      <c r="BF151" s="70"/>
      <c r="BG151" s="70"/>
      <c r="BH151" s="70"/>
      <c r="BI151" s="70"/>
      <c r="BJ151" s="70"/>
      <c r="BK151" s="70"/>
      <c r="BL151" s="70"/>
      <c r="BM151" s="70"/>
      <c r="BN151" s="70"/>
      <c r="BO151" s="70"/>
      <c r="BP151" s="70"/>
      <c r="BQ151" s="70"/>
      <c r="BR151" s="70"/>
      <c r="BS151" s="70"/>
      <c r="BT151" s="70"/>
      <c r="BU151" s="70"/>
      <c r="BV151" s="70"/>
      <c r="BW151" s="70"/>
      <c r="BX151" s="70"/>
      <c r="BY151" s="70"/>
    </row>
    <row r="152" ht="15.75" customHeight="1">
      <c r="A152" s="52">
        <v>955.0</v>
      </c>
      <c r="B152" s="55" t="s">
        <v>889</v>
      </c>
      <c r="C152" s="55" t="s">
        <v>50</v>
      </c>
      <c r="D152" s="55" t="s">
        <v>694</v>
      </c>
      <c r="E152" s="55" t="s">
        <v>695</v>
      </c>
      <c r="F152" s="131">
        <v>44318.0</v>
      </c>
      <c r="G152" s="131">
        <v>44232.0</v>
      </c>
      <c r="H152" s="55">
        <v>2021.0</v>
      </c>
      <c r="I152" s="53" t="s">
        <v>97</v>
      </c>
      <c r="J152" s="55" t="s">
        <v>98</v>
      </c>
      <c r="K152" s="53" t="s">
        <v>164</v>
      </c>
      <c r="L152" s="55" t="s">
        <v>100</v>
      </c>
      <c r="M152" s="55" t="s">
        <v>150</v>
      </c>
      <c r="N152" s="55" t="s">
        <v>890</v>
      </c>
      <c r="O152" s="56" t="s">
        <v>880</v>
      </c>
      <c r="P152" s="55" t="s">
        <v>106</v>
      </c>
      <c r="Q152" s="55"/>
      <c r="R152" s="55">
        <v>370439.0</v>
      </c>
      <c r="S152" s="55">
        <v>9741594.0</v>
      </c>
      <c r="T152" s="57"/>
      <c r="U152" s="58"/>
      <c r="V152" s="55" t="s">
        <v>700</v>
      </c>
      <c r="W152" s="58"/>
      <c r="X152" s="58"/>
      <c r="Y152" s="58"/>
      <c r="Z152" s="58"/>
      <c r="AA152" s="58"/>
      <c r="AB152" s="58"/>
      <c r="AC152" s="70"/>
      <c r="AD152" s="70"/>
      <c r="AE152" s="24"/>
      <c r="AF152" s="70"/>
      <c r="AG152" s="70"/>
      <c r="AH152" s="70"/>
      <c r="AI152" s="70"/>
      <c r="AJ152" s="70"/>
      <c r="AK152" s="70"/>
      <c r="AL152" s="70"/>
      <c r="AM152" s="24"/>
      <c r="AN152" s="70"/>
      <c r="AO152" s="70"/>
      <c r="AP152" s="70"/>
      <c r="AQ152" s="70"/>
      <c r="AR152" s="70"/>
      <c r="AS152" s="70"/>
      <c r="AT152" s="70"/>
      <c r="AU152" s="70"/>
      <c r="AV152" s="70"/>
      <c r="AW152" s="70"/>
      <c r="AX152" s="70"/>
      <c r="AY152" s="70"/>
      <c r="AZ152" s="70"/>
      <c r="BA152" s="70"/>
      <c r="BB152" s="70"/>
      <c r="BC152" s="70"/>
      <c r="BD152" s="70"/>
      <c r="BE152" s="70"/>
      <c r="BF152" s="70"/>
      <c r="BG152" s="70"/>
      <c r="BH152" s="70"/>
      <c r="BI152" s="70"/>
      <c r="BJ152" s="70"/>
      <c r="BK152" s="70"/>
      <c r="BL152" s="70"/>
      <c r="BM152" s="70"/>
      <c r="BN152" s="70"/>
      <c r="BO152" s="70"/>
      <c r="BP152" s="70"/>
      <c r="BQ152" s="70"/>
      <c r="BR152" s="70"/>
      <c r="BS152" s="70"/>
      <c r="BT152" s="70"/>
      <c r="BU152" s="70"/>
      <c r="BV152" s="70"/>
      <c r="BW152" s="70"/>
      <c r="BX152" s="70"/>
      <c r="BY152" s="70"/>
    </row>
    <row r="153" ht="15.75" customHeight="1">
      <c r="A153" s="8">
        <v>122.0</v>
      </c>
      <c r="B153" s="17" t="s">
        <v>891</v>
      </c>
      <c r="C153" s="8" t="s">
        <v>50</v>
      </c>
      <c r="D153" s="8" t="s">
        <v>225</v>
      </c>
      <c r="E153" s="23" t="s">
        <v>726</v>
      </c>
      <c r="F153" s="17" t="s">
        <v>892</v>
      </c>
      <c r="G153" s="17" t="s">
        <v>112</v>
      </c>
      <c r="H153" s="28" t="s">
        <v>112</v>
      </c>
      <c r="I153" s="8" t="s">
        <v>97</v>
      </c>
      <c r="J153" s="8" t="s">
        <v>163</v>
      </c>
      <c r="K153" s="29" t="s">
        <v>164</v>
      </c>
      <c r="L153" s="17" t="s">
        <v>100</v>
      </c>
      <c r="M153" s="8" t="s">
        <v>150</v>
      </c>
      <c r="N153" s="8" t="s">
        <v>893</v>
      </c>
      <c r="O153" s="8" t="s">
        <v>894</v>
      </c>
      <c r="P153" s="8" t="s">
        <v>106</v>
      </c>
      <c r="Q153" s="8" t="s">
        <v>112</v>
      </c>
      <c r="R153" s="8">
        <v>370494.0</v>
      </c>
      <c r="S153" s="8">
        <v>9741107.0</v>
      </c>
      <c r="T153" s="8"/>
      <c r="U153" s="8"/>
      <c r="V153" s="8" t="s">
        <v>737</v>
      </c>
      <c r="W153" s="8" t="s">
        <v>895</v>
      </c>
      <c r="X153" s="8" t="s">
        <v>112</v>
      </c>
      <c r="Y153" s="8" t="s">
        <v>112</v>
      </c>
      <c r="Z153" s="23" t="s">
        <v>42</v>
      </c>
      <c r="AA153" s="23" t="s">
        <v>115</v>
      </c>
      <c r="AB153" s="8" t="s">
        <v>112</v>
      </c>
      <c r="AC153" s="70"/>
      <c r="AD153" s="70"/>
      <c r="AE153" s="24"/>
      <c r="AF153" s="70"/>
      <c r="AG153" s="70"/>
      <c r="AH153" s="70"/>
      <c r="AI153" s="70"/>
      <c r="AJ153" s="70"/>
      <c r="AK153" s="70"/>
      <c r="AL153" s="70"/>
      <c r="AM153" s="24"/>
      <c r="AN153" s="70"/>
      <c r="AO153" s="70"/>
      <c r="AP153" s="70"/>
      <c r="AQ153" s="70"/>
      <c r="AR153" s="70"/>
      <c r="AS153" s="70"/>
      <c r="AT153" s="70"/>
      <c r="AU153" s="70"/>
      <c r="AV153" s="70"/>
      <c r="AW153" s="70"/>
      <c r="AX153" s="70"/>
      <c r="AY153" s="70"/>
      <c r="AZ153" s="70"/>
      <c r="BA153" s="70"/>
      <c r="BB153" s="70"/>
      <c r="BC153" s="70"/>
      <c r="BD153" s="70"/>
      <c r="BE153" s="70"/>
      <c r="BF153" s="70"/>
      <c r="BG153" s="70"/>
      <c r="BH153" s="70"/>
      <c r="BI153" s="70"/>
      <c r="BJ153" s="70"/>
      <c r="BK153" s="70"/>
      <c r="BL153" s="70"/>
      <c r="BM153" s="70"/>
      <c r="BN153" s="70"/>
      <c r="BO153" s="70"/>
      <c r="BP153" s="70"/>
      <c r="BQ153" s="70"/>
      <c r="BR153" s="70"/>
      <c r="BS153" s="70"/>
      <c r="BT153" s="70"/>
      <c r="BU153" s="70"/>
      <c r="BV153" s="70"/>
      <c r="BW153" s="70"/>
      <c r="BX153" s="70"/>
      <c r="BY153" s="70"/>
    </row>
    <row r="154" ht="15.75" customHeight="1">
      <c r="A154" s="8">
        <v>743.0</v>
      </c>
      <c r="B154" s="118" t="s">
        <v>896</v>
      </c>
      <c r="C154" s="59" t="s">
        <v>48</v>
      </c>
      <c r="D154" s="51" t="s">
        <v>112</v>
      </c>
      <c r="E154" s="39" t="s">
        <v>112</v>
      </c>
      <c r="F154" s="60" t="s">
        <v>897</v>
      </c>
      <c r="G154" s="106">
        <v>42583.0</v>
      </c>
      <c r="H154" s="42" t="str">
        <f>TEXT(G154, "yyyy")</f>
        <v>2016</v>
      </c>
      <c r="I154" s="8" t="s">
        <v>186</v>
      </c>
      <c r="J154" s="133" t="s">
        <v>112</v>
      </c>
      <c r="K154" s="133" t="s">
        <v>112</v>
      </c>
      <c r="L154" s="59" t="s">
        <v>100</v>
      </c>
      <c r="M154" s="78" t="s">
        <v>187</v>
      </c>
      <c r="N154" s="39" t="s">
        <v>898</v>
      </c>
      <c r="O154" s="8" t="s">
        <v>899</v>
      </c>
      <c r="P154" s="39" t="s">
        <v>106</v>
      </c>
      <c r="Q154" s="51" t="s">
        <v>112</v>
      </c>
      <c r="R154" s="59">
        <v>370529.0</v>
      </c>
      <c r="S154" s="59">
        <v>9700781.0</v>
      </c>
      <c r="T154" s="39" t="s">
        <v>112</v>
      </c>
      <c r="U154" s="39" t="s">
        <v>112</v>
      </c>
      <c r="V154" s="59" t="s">
        <v>900</v>
      </c>
      <c r="W154" s="51" t="s">
        <v>112</v>
      </c>
      <c r="X154" s="51" t="s">
        <v>112</v>
      </c>
      <c r="Y154" s="51" t="s">
        <v>112</v>
      </c>
      <c r="Z154" s="8" t="s">
        <v>69</v>
      </c>
      <c r="AA154" s="23" t="s">
        <v>115</v>
      </c>
      <c r="AB154" s="8" t="s">
        <v>329</v>
      </c>
      <c r="AE154" s="24"/>
      <c r="AM154" s="24"/>
    </row>
    <row r="155" ht="15.75" customHeight="1">
      <c r="A155" s="52">
        <v>982.0</v>
      </c>
      <c r="B155" s="134" t="s">
        <v>901</v>
      </c>
      <c r="C155" s="134" t="s">
        <v>50</v>
      </c>
      <c r="D155" s="134" t="s">
        <v>694</v>
      </c>
      <c r="E155" s="134" t="s">
        <v>695</v>
      </c>
      <c r="F155" s="134" t="s">
        <v>902</v>
      </c>
      <c r="G155" s="134" t="s">
        <v>903</v>
      </c>
      <c r="H155" s="55">
        <v>2022.0</v>
      </c>
      <c r="I155" s="53" t="s">
        <v>97</v>
      </c>
      <c r="J155" s="135" t="s">
        <v>98</v>
      </c>
      <c r="K155" s="135" t="s">
        <v>164</v>
      </c>
      <c r="L155" s="134" t="s">
        <v>100</v>
      </c>
      <c r="M155" s="134" t="s">
        <v>485</v>
      </c>
      <c r="N155" s="134" t="s">
        <v>904</v>
      </c>
      <c r="O155" s="58" t="s">
        <v>905</v>
      </c>
      <c r="P155" s="134" t="s">
        <v>699</v>
      </c>
      <c r="Q155" s="134"/>
      <c r="R155" s="134">
        <v>370824.0</v>
      </c>
      <c r="S155" s="136">
        <v>9741075.0</v>
      </c>
      <c r="T155" s="137"/>
      <c r="U155" s="137"/>
      <c r="V155" s="134" t="s">
        <v>700</v>
      </c>
      <c r="W155" s="134" t="s">
        <v>906</v>
      </c>
      <c r="X155" s="134"/>
      <c r="Y155" s="134"/>
      <c r="Z155" s="58"/>
      <c r="AA155" s="58"/>
      <c r="AB155" s="58"/>
      <c r="AE155" s="24"/>
      <c r="AM155" s="24"/>
    </row>
    <row r="156" ht="15.75" customHeight="1">
      <c r="A156" s="52">
        <v>989.0</v>
      </c>
      <c r="B156" s="134" t="s">
        <v>907</v>
      </c>
      <c r="C156" s="134" t="s">
        <v>50</v>
      </c>
      <c r="D156" s="134" t="s">
        <v>694</v>
      </c>
      <c r="E156" s="134" t="s">
        <v>695</v>
      </c>
      <c r="F156" s="134" t="s">
        <v>908</v>
      </c>
      <c r="G156" s="134" t="s">
        <v>909</v>
      </c>
      <c r="H156" s="55">
        <v>2023.0</v>
      </c>
      <c r="I156" s="53" t="s">
        <v>97</v>
      </c>
      <c r="J156" s="134" t="s">
        <v>230</v>
      </c>
      <c r="K156" s="134" t="s">
        <v>164</v>
      </c>
      <c r="L156" s="134" t="s">
        <v>100</v>
      </c>
      <c r="M156" s="134" t="s">
        <v>485</v>
      </c>
      <c r="N156" s="134" t="s">
        <v>910</v>
      </c>
      <c r="O156" s="58" t="s">
        <v>722</v>
      </c>
      <c r="P156" s="134" t="s">
        <v>699</v>
      </c>
      <c r="Q156" s="134"/>
      <c r="R156" s="134">
        <v>370830.0</v>
      </c>
      <c r="S156" s="134">
        <v>9740992.0</v>
      </c>
      <c r="T156" s="137"/>
      <c r="U156" s="137"/>
      <c r="V156" s="134"/>
      <c r="W156" s="134" t="s">
        <v>911</v>
      </c>
      <c r="X156" s="134"/>
      <c r="Y156" s="134"/>
      <c r="Z156" s="58"/>
      <c r="AA156" s="58"/>
      <c r="AB156" s="58"/>
      <c r="AE156" s="24"/>
      <c r="AM156" s="24"/>
    </row>
    <row r="157" ht="15.75" customHeight="1">
      <c r="A157" s="8">
        <v>447.0</v>
      </c>
      <c r="B157" s="127" t="s">
        <v>912</v>
      </c>
      <c r="C157" s="138" t="s">
        <v>48</v>
      </c>
      <c r="D157" s="127" t="s">
        <v>112</v>
      </c>
      <c r="E157" s="127" t="s">
        <v>112</v>
      </c>
      <c r="F157" s="139">
        <v>40338.0</v>
      </c>
      <c r="G157" s="140">
        <v>40330.0</v>
      </c>
      <c r="H157" s="42" t="str">
        <f>TEXT(G157, "yyyy")</f>
        <v>2010</v>
      </c>
      <c r="I157" s="8" t="s">
        <v>176</v>
      </c>
      <c r="J157" s="127" t="s">
        <v>112</v>
      </c>
      <c r="K157" s="141" t="s">
        <v>99</v>
      </c>
      <c r="L157" s="138" t="s">
        <v>100</v>
      </c>
      <c r="M157" s="142" t="s">
        <v>177</v>
      </c>
      <c r="N157" s="143" t="s">
        <v>112</v>
      </c>
      <c r="O157" s="45" t="s">
        <v>785</v>
      </c>
      <c r="P157" s="127" t="s">
        <v>106</v>
      </c>
      <c r="Q157" s="127" t="s">
        <v>112</v>
      </c>
      <c r="R157" s="144">
        <v>370965.0</v>
      </c>
      <c r="S157" s="138">
        <v>9742512.0</v>
      </c>
      <c r="T157" s="145">
        <v>-2.3290813</v>
      </c>
      <c r="U157" s="145">
        <v>-76.160477</v>
      </c>
      <c r="V157" s="138" t="s">
        <v>913</v>
      </c>
      <c r="W157" s="127" t="s">
        <v>112</v>
      </c>
      <c r="X157" s="127" t="s">
        <v>112</v>
      </c>
      <c r="Y157" s="127" t="s">
        <v>112</v>
      </c>
      <c r="Z157" s="47" t="s">
        <v>37</v>
      </c>
      <c r="AA157" s="23" t="s">
        <v>115</v>
      </c>
      <c r="AB157" s="21" t="s">
        <v>296</v>
      </c>
      <c r="AE157" s="24"/>
      <c r="AM157" s="24"/>
    </row>
    <row r="158" ht="15.75" customHeight="1">
      <c r="A158" s="8">
        <v>117.0</v>
      </c>
      <c r="B158" s="146" t="s">
        <v>914</v>
      </c>
      <c r="C158" s="128" t="s">
        <v>50</v>
      </c>
      <c r="D158" s="128" t="s">
        <v>225</v>
      </c>
      <c r="E158" s="147" t="s">
        <v>726</v>
      </c>
      <c r="F158" s="146" t="s">
        <v>915</v>
      </c>
      <c r="G158" s="146" t="s">
        <v>112</v>
      </c>
      <c r="H158" s="28" t="s">
        <v>112</v>
      </c>
      <c r="I158" s="8" t="s">
        <v>63</v>
      </c>
      <c r="J158" s="128" t="s">
        <v>112</v>
      </c>
      <c r="K158" s="128" t="s">
        <v>99</v>
      </c>
      <c r="L158" s="146" t="s">
        <v>100</v>
      </c>
      <c r="M158" s="128" t="s">
        <v>916</v>
      </c>
      <c r="N158" s="128" t="s">
        <v>917</v>
      </c>
      <c r="O158" s="8" t="s">
        <v>918</v>
      </c>
      <c r="P158" s="128" t="s">
        <v>106</v>
      </c>
      <c r="Q158" s="128" t="s">
        <v>112</v>
      </c>
      <c r="R158" s="128">
        <v>371171.0</v>
      </c>
      <c r="S158" s="128">
        <v>9741368.0</v>
      </c>
      <c r="T158" s="128"/>
      <c r="U158" s="128"/>
      <c r="V158" s="128" t="s">
        <v>737</v>
      </c>
      <c r="W158" s="128" t="s">
        <v>895</v>
      </c>
      <c r="X158" s="128" t="s">
        <v>112</v>
      </c>
      <c r="Y158" s="128" t="s">
        <v>112</v>
      </c>
      <c r="Z158" s="23" t="s">
        <v>42</v>
      </c>
      <c r="AA158" s="23" t="s">
        <v>115</v>
      </c>
      <c r="AB158" s="8" t="s">
        <v>112</v>
      </c>
      <c r="AE158" s="24"/>
      <c r="AM158" s="24"/>
    </row>
    <row r="159" ht="15.75" customHeight="1">
      <c r="A159" s="8">
        <v>118.0</v>
      </c>
      <c r="B159" s="146" t="s">
        <v>919</v>
      </c>
      <c r="C159" s="128" t="s">
        <v>50</v>
      </c>
      <c r="D159" s="128" t="s">
        <v>225</v>
      </c>
      <c r="E159" s="147" t="s">
        <v>726</v>
      </c>
      <c r="F159" s="146" t="s">
        <v>915</v>
      </c>
      <c r="G159" s="146" t="s">
        <v>112</v>
      </c>
      <c r="H159" s="28" t="s">
        <v>112</v>
      </c>
      <c r="I159" s="8" t="s">
        <v>63</v>
      </c>
      <c r="J159" s="128" t="s">
        <v>112</v>
      </c>
      <c r="K159" s="128" t="s">
        <v>99</v>
      </c>
      <c r="L159" s="146" t="s">
        <v>100</v>
      </c>
      <c r="M159" s="128" t="s">
        <v>101</v>
      </c>
      <c r="N159" s="128" t="s">
        <v>920</v>
      </c>
      <c r="O159" s="8" t="s">
        <v>921</v>
      </c>
      <c r="P159" s="128" t="s">
        <v>106</v>
      </c>
      <c r="Q159" s="128" t="s">
        <v>112</v>
      </c>
      <c r="R159" s="128">
        <v>371202.0</v>
      </c>
      <c r="S159" s="128">
        <v>9741540.0</v>
      </c>
      <c r="T159" s="128"/>
      <c r="U159" s="128"/>
      <c r="V159" s="128" t="s">
        <v>737</v>
      </c>
      <c r="W159" s="128" t="s">
        <v>922</v>
      </c>
      <c r="X159" s="128" t="s">
        <v>112</v>
      </c>
      <c r="Y159" s="128" t="s">
        <v>112</v>
      </c>
      <c r="Z159" s="23" t="s">
        <v>42</v>
      </c>
      <c r="AA159" s="23" t="s">
        <v>115</v>
      </c>
      <c r="AB159" s="8" t="s">
        <v>112</v>
      </c>
      <c r="AE159" s="24"/>
      <c r="AM159" s="24"/>
    </row>
    <row r="160" ht="15.75" customHeight="1">
      <c r="A160" s="8">
        <v>633.0</v>
      </c>
      <c r="B160" s="127" t="s">
        <v>923</v>
      </c>
      <c r="C160" s="127" t="s">
        <v>56</v>
      </c>
      <c r="D160" s="127" t="s">
        <v>511</v>
      </c>
      <c r="E160" s="127" t="s">
        <v>112</v>
      </c>
      <c r="F160" s="148" t="s">
        <v>924</v>
      </c>
      <c r="G160" s="140">
        <v>42248.0</v>
      </c>
      <c r="H160" s="42" t="str">
        <f t="shared" ref="H160:H172" si="12">TEXT(G160, "yyyy")</f>
        <v>2015</v>
      </c>
      <c r="I160" s="8" t="s">
        <v>172</v>
      </c>
      <c r="J160" s="127" t="s">
        <v>112</v>
      </c>
      <c r="K160" s="127" t="s">
        <v>112</v>
      </c>
      <c r="L160" s="127" t="s">
        <v>100</v>
      </c>
      <c r="M160" s="149" t="s">
        <v>177</v>
      </c>
      <c r="N160" s="138" t="s">
        <v>112</v>
      </c>
      <c r="O160" s="8" t="s">
        <v>785</v>
      </c>
      <c r="P160" s="127" t="s">
        <v>106</v>
      </c>
      <c r="Q160" s="127" t="s">
        <v>112</v>
      </c>
      <c r="R160" s="149">
        <v>371378.0</v>
      </c>
      <c r="S160" s="149">
        <v>9708648.0</v>
      </c>
      <c r="T160" s="127" t="s">
        <v>112</v>
      </c>
      <c r="U160" s="127" t="s">
        <v>112</v>
      </c>
      <c r="V160" s="127" t="s">
        <v>112</v>
      </c>
      <c r="W160" s="127" t="s">
        <v>925</v>
      </c>
      <c r="X160" s="127" t="s">
        <v>112</v>
      </c>
      <c r="Y160" s="127" t="s">
        <v>112</v>
      </c>
      <c r="Z160" s="8" t="s">
        <v>69</v>
      </c>
      <c r="AA160" s="23" t="s">
        <v>115</v>
      </c>
      <c r="AB160" s="8"/>
      <c r="AE160" s="24"/>
      <c r="AM160" s="24"/>
    </row>
    <row r="161" ht="15.75" customHeight="1">
      <c r="A161" s="8">
        <v>639.0</v>
      </c>
      <c r="B161" s="150" t="s">
        <v>926</v>
      </c>
      <c r="C161" s="138" t="s">
        <v>48</v>
      </c>
      <c r="D161" s="149" t="s">
        <v>112</v>
      </c>
      <c r="E161" s="127" t="s">
        <v>112</v>
      </c>
      <c r="F161" s="151">
        <v>42315.0</v>
      </c>
      <c r="G161" s="152">
        <v>42309.0</v>
      </c>
      <c r="H161" s="42" t="str">
        <f t="shared" si="12"/>
        <v>2015</v>
      </c>
      <c r="I161" s="8" t="s">
        <v>176</v>
      </c>
      <c r="J161" s="149" t="s">
        <v>112</v>
      </c>
      <c r="K161" s="149" t="s">
        <v>112</v>
      </c>
      <c r="L161" s="138" t="s">
        <v>100</v>
      </c>
      <c r="M161" s="153" t="s">
        <v>513</v>
      </c>
      <c r="N161" s="127" t="s">
        <v>927</v>
      </c>
      <c r="O161" s="8" t="s">
        <v>928</v>
      </c>
      <c r="P161" s="127" t="s">
        <v>106</v>
      </c>
      <c r="Q161" s="149" t="s">
        <v>112</v>
      </c>
      <c r="R161" s="149">
        <v>371794.0</v>
      </c>
      <c r="S161" s="149">
        <v>9740792.0</v>
      </c>
      <c r="T161" s="127" t="s">
        <v>112</v>
      </c>
      <c r="U161" s="127" t="s">
        <v>112</v>
      </c>
      <c r="V161" s="138" t="s">
        <v>112</v>
      </c>
      <c r="W161" s="149" t="s">
        <v>112</v>
      </c>
      <c r="X161" s="149" t="s">
        <v>112</v>
      </c>
      <c r="Y161" s="149" t="s">
        <v>112</v>
      </c>
      <c r="Z161" s="8" t="s">
        <v>69</v>
      </c>
      <c r="AA161" s="23" t="s">
        <v>115</v>
      </c>
      <c r="AB161" s="154" t="s">
        <v>316</v>
      </c>
      <c r="AE161" s="24"/>
      <c r="AM161" s="24"/>
    </row>
    <row r="162" ht="15.75" customHeight="1">
      <c r="A162" s="8">
        <v>234.0</v>
      </c>
      <c r="B162" s="127" t="s">
        <v>929</v>
      </c>
      <c r="C162" s="138" t="s">
        <v>48</v>
      </c>
      <c r="D162" s="127" t="s">
        <v>112</v>
      </c>
      <c r="E162" s="127" t="s">
        <v>112</v>
      </c>
      <c r="F162" s="142">
        <v>39063.0</v>
      </c>
      <c r="G162" s="140">
        <v>39052.0</v>
      </c>
      <c r="H162" s="42" t="str">
        <f t="shared" si="12"/>
        <v>2006</v>
      </c>
      <c r="I162" s="8" t="s">
        <v>186</v>
      </c>
      <c r="J162" s="127" t="s">
        <v>112</v>
      </c>
      <c r="K162" s="127" t="s">
        <v>112</v>
      </c>
      <c r="L162" s="127" t="s">
        <v>100</v>
      </c>
      <c r="M162" s="142" t="s">
        <v>112</v>
      </c>
      <c r="N162" s="143" t="s">
        <v>930</v>
      </c>
      <c r="O162" s="45" t="s">
        <v>928</v>
      </c>
      <c r="P162" s="127" t="s">
        <v>106</v>
      </c>
      <c r="Q162" s="127" t="s">
        <v>112</v>
      </c>
      <c r="R162" s="155">
        <v>372255.0</v>
      </c>
      <c r="S162" s="138">
        <v>9732515.0</v>
      </c>
      <c r="T162" s="127" t="s">
        <v>112</v>
      </c>
      <c r="U162" s="127" t="s">
        <v>112</v>
      </c>
      <c r="V162" s="138" t="s">
        <v>779</v>
      </c>
      <c r="W162" s="127" t="s">
        <v>112</v>
      </c>
      <c r="X162" s="127" t="s">
        <v>112</v>
      </c>
      <c r="Y162" s="127" t="s">
        <v>112</v>
      </c>
      <c r="Z162" s="8" t="s">
        <v>36</v>
      </c>
      <c r="AA162" s="23" t="s">
        <v>144</v>
      </c>
      <c r="AB162" s="21" t="s">
        <v>391</v>
      </c>
      <c r="AE162" s="24"/>
      <c r="AM162" s="24"/>
    </row>
    <row r="163" ht="15.75" customHeight="1">
      <c r="A163" s="8">
        <v>567.0</v>
      </c>
      <c r="B163" s="150" t="s">
        <v>931</v>
      </c>
      <c r="C163" s="156" t="s">
        <v>48</v>
      </c>
      <c r="D163" s="157" t="s">
        <v>112</v>
      </c>
      <c r="E163" s="158" t="s">
        <v>112</v>
      </c>
      <c r="F163" s="159">
        <v>41760.0</v>
      </c>
      <c r="G163" s="160">
        <v>41760.0</v>
      </c>
      <c r="H163" s="20" t="str">
        <f t="shared" si="12"/>
        <v>2014</v>
      </c>
      <c r="I163" s="8" t="s">
        <v>176</v>
      </c>
      <c r="J163" s="157" t="s">
        <v>112</v>
      </c>
      <c r="K163" s="157" t="s">
        <v>112</v>
      </c>
      <c r="L163" s="156" t="s">
        <v>100</v>
      </c>
      <c r="M163" s="161" t="s">
        <v>177</v>
      </c>
      <c r="N163" s="158" t="s">
        <v>112</v>
      </c>
      <c r="O163" s="8" t="s">
        <v>932</v>
      </c>
      <c r="P163" s="158" t="s">
        <v>106</v>
      </c>
      <c r="Q163" s="157" t="s">
        <v>112</v>
      </c>
      <c r="R163" s="156">
        <v>372433.0</v>
      </c>
      <c r="S163" s="156">
        <v>9703618.0</v>
      </c>
      <c r="T163" s="162">
        <v>-2.6809006</v>
      </c>
      <c r="U163" s="162">
        <v>-76.147583</v>
      </c>
      <c r="V163" s="158" t="s">
        <v>112</v>
      </c>
      <c r="W163" s="157" t="s">
        <v>112</v>
      </c>
      <c r="X163" s="157" t="s">
        <v>112</v>
      </c>
      <c r="Y163" s="157" t="s">
        <v>112</v>
      </c>
      <c r="Z163" s="8" t="s">
        <v>149</v>
      </c>
      <c r="AA163" s="23" t="s">
        <v>115</v>
      </c>
      <c r="AB163" s="8"/>
      <c r="AE163" s="24"/>
      <c r="AM163" s="24"/>
    </row>
    <row r="164" ht="15.75" customHeight="1">
      <c r="A164" s="8">
        <v>698.0</v>
      </c>
      <c r="B164" s="127" t="s">
        <v>933</v>
      </c>
      <c r="C164" s="138" t="s">
        <v>48</v>
      </c>
      <c r="D164" s="127" t="s">
        <v>112</v>
      </c>
      <c r="E164" s="127" t="s">
        <v>112</v>
      </c>
      <c r="F164" s="151">
        <v>42473.0</v>
      </c>
      <c r="G164" s="140">
        <v>42461.0</v>
      </c>
      <c r="H164" s="42" t="str">
        <f t="shared" si="12"/>
        <v>2016</v>
      </c>
      <c r="I164" s="8" t="s">
        <v>176</v>
      </c>
      <c r="J164" s="127" t="s">
        <v>112</v>
      </c>
      <c r="K164" s="127" t="s">
        <v>112</v>
      </c>
      <c r="L164" s="138" t="s">
        <v>100</v>
      </c>
      <c r="M164" s="153" t="s">
        <v>513</v>
      </c>
      <c r="N164" s="127" t="s">
        <v>934</v>
      </c>
      <c r="O164" s="8" t="s">
        <v>935</v>
      </c>
      <c r="P164" s="127" t="s">
        <v>106</v>
      </c>
      <c r="Q164" s="127" t="s">
        <v>112</v>
      </c>
      <c r="R164" s="138">
        <v>372539.0</v>
      </c>
      <c r="S164" s="138">
        <v>9728301.0</v>
      </c>
      <c r="T164" s="138" t="s">
        <v>112</v>
      </c>
      <c r="U164" s="138" t="s">
        <v>112</v>
      </c>
      <c r="V164" s="138" t="s">
        <v>936</v>
      </c>
      <c r="W164" s="127" t="s">
        <v>112</v>
      </c>
      <c r="X164" s="127" t="s">
        <v>112</v>
      </c>
      <c r="Y164" s="127" t="s">
        <v>112</v>
      </c>
      <c r="Z164" s="8" t="s">
        <v>69</v>
      </c>
      <c r="AA164" s="23" t="s">
        <v>115</v>
      </c>
      <c r="AB164" s="8" t="s">
        <v>378</v>
      </c>
      <c r="AE164" s="24"/>
      <c r="AM164" s="24"/>
    </row>
    <row r="165" ht="15.75" customHeight="1">
      <c r="A165" s="8">
        <v>631.0</v>
      </c>
      <c r="B165" s="163" t="s">
        <v>937</v>
      </c>
      <c r="C165" s="127" t="s">
        <v>52</v>
      </c>
      <c r="D165" s="127" t="s">
        <v>511</v>
      </c>
      <c r="E165" s="127" t="s">
        <v>112</v>
      </c>
      <c r="F165" s="148" t="s">
        <v>938</v>
      </c>
      <c r="G165" s="140">
        <v>42217.0</v>
      </c>
      <c r="H165" s="42" t="str">
        <f t="shared" si="12"/>
        <v>2015</v>
      </c>
      <c r="I165" s="8" t="s">
        <v>172</v>
      </c>
      <c r="J165" s="127" t="s">
        <v>112</v>
      </c>
      <c r="K165" s="127" t="s">
        <v>112</v>
      </c>
      <c r="L165" s="127" t="s">
        <v>100</v>
      </c>
      <c r="M165" s="149" t="s">
        <v>177</v>
      </c>
      <c r="N165" s="127" t="s">
        <v>112</v>
      </c>
      <c r="O165" s="8" t="s">
        <v>877</v>
      </c>
      <c r="P165" s="127" t="s">
        <v>106</v>
      </c>
      <c r="Q165" s="127" t="s">
        <v>112</v>
      </c>
      <c r="R165" s="149">
        <v>373461.0</v>
      </c>
      <c r="S165" s="149">
        <v>9724281.0</v>
      </c>
      <c r="T165" s="127" t="s">
        <v>112</v>
      </c>
      <c r="U165" s="127" t="s">
        <v>112</v>
      </c>
      <c r="V165" s="127" t="s">
        <v>112</v>
      </c>
      <c r="W165" s="127" t="s">
        <v>939</v>
      </c>
      <c r="X165" s="127" t="s">
        <v>112</v>
      </c>
      <c r="Y165" s="127" t="s">
        <v>112</v>
      </c>
      <c r="Z165" s="8" t="s">
        <v>69</v>
      </c>
      <c r="AA165" s="23" t="s">
        <v>115</v>
      </c>
      <c r="AB165" s="8"/>
      <c r="AE165" s="24"/>
      <c r="AM165" s="24"/>
    </row>
    <row r="166" ht="15.75" customHeight="1">
      <c r="A166" s="8">
        <v>592.0</v>
      </c>
      <c r="B166" s="158" t="s">
        <v>940</v>
      </c>
      <c r="C166" s="158" t="s">
        <v>52</v>
      </c>
      <c r="D166" s="158" t="s">
        <v>941</v>
      </c>
      <c r="E166" s="158" t="s">
        <v>112</v>
      </c>
      <c r="F166" s="159" t="s">
        <v>942</v>
      </c>
      <c r="G166" s="164">
        <v>41760.0</v>
      </c>
      <c r="H166" s="20" t="str">
        <f t="shared" si="12"/>
        <v>2014</v>
      </c>
      <c r="I166" s="8" t="s">
        <v>176</v>
      </c>
      <c r="J166" s="158" t="s">
        <v>112</v>
      </c>
      <c r="K166" s="158" t="s">
        <v>112</v>
      </c>
      <c r="L166" s="158" t="s">
        <v>100</v>
      </c>
      <c r="M166" s="157" t="s">
        <v>177</v>
      </c>
      <c r="N166" s="158" t="s">
        <v>943</v>
      </c>
      <c r="O166" s="8" t="s">
        <v>944</v>
      </c>
      <c r="P166" s="158" t="s">
        <v>106</v>
      </c>
      <c r="Q166" s="158" t="s">
        <v>112</v>
      </c>
      <c r="R166" s="156">
        <v>373602.0</v>
      </c>
      <c r="S166" s="156">
        <v>9707134.0</v>
      </c>
      <c r="T166" s="162">
        <v>-2.6491071</v>
      </c>
      <c r="U166" s="162">
        <v>-76.137039</v>
      </c>
      <c r="V166" s="158" t="s">
        <v>112</v>
      </c>
      <c r="W166" s="158" t="s">
        <v>112</v>
      </c>
      <c r="X166" s="158">
        <v>0.0</v>
      </c>
      <c r="Y166" s="158" t="s">
        <v>112</v>
      </c>
      <c r="Z166" s="8" t="s">
        <v>149</v>
      </c>
      <c r="AA166" s="23" t="s">
        <v>115</v>
      </c>
      <c r="AB166" s="8"/>
      <c r="AC166" s="70"/>
      <c r="AD166" s="70"/>
      <c r="AE166" s="24"/>
      <c r="AF166" s="70"/>
      <c r="AG166" s="70"/>
      <c r="AH166" s="70"/>
      <c r="AI166" s="70"/>
      <c r="AJ166" s="70"/>
      <c r="AK166" s="70"/>
      <c r="AL166" s="70"/>
      <c r="AM166" s="24"/>
      <c r="AN166" s="70"/>
      <c r="AO166" s="70"/>
      <c r="AP166" s="70"/>
      <c r="AQ166" s="70"/>
      <c r="AR166" s="70"/>
      <c r="AS166" s="70"/>
      <c r="AT166" s="70"/>
      <c r="AU166" s="70"/>
      <c r="AV166" s="70"/>
      <c r="AW166" s="70"/>
      <c r="AX166" s="70"/>
      <c r="AY166" s="70"/>
      <c r="AZ166" s="70"/>
      <c r="BA166" s="70"/>
      <c r="BB166" s="70"/>
      <c r="BC166" s="70"/>
      <c r="BD166" s="70"/>
      <c r="BE166" s="70"/>
      <c r="BF166" s="70"/>
      <c r="BG166" s="70"/>
      <c r="BH166" s="70"/>
      <c r="BI166" s="70"/>
      <c r="BJ166" s="70"/>
      <c r="BK166" s="70"/>
      <c r="BL166" s="70"/>
      <c r="BM166" s="70"/>
      <c r="BN166" s="70"/>
      <c r="BO166" s="70"/>
      <c r="BP166" s="70"/>
      <c r="BQ166" s="70"/>
      <c r="BR166" s="70"/>
      <c r="BS166" s="70"/>
      <c r="BT166" s="70"/>
      <c r="BU166" s="70"/>
      <c r="BV166" s="70"/>
      <c r="BW166" s="70"/>
      <c r="BX166" s="70"/>
      <c r="BY166" s="70"/>
    </row>
    <row r="167" ht="15.75" customHeight="1">
      <c r="A167" s="8">
        <v>848.0</v>
      </c>
      <c r="B167" s="158" t="s">
        <v>945</v>
      </c>
      <c r="C167" s="158" t="s">
        <v>52</v>
      </c>
      <c r="D167" s="157" t="s">
        <v>663</v>
      </c>
      <c r="E167" s="158" t="s">
        <v>112</v>
      </c>
      <c r="F167" s="165">
        <v>42881.0</v>
      </c>
      <c r="G167" s="164">
        <v>42856.0</v>
      </c>
      <c r="H167" s="20" t="str">
        <f t="shared" si="12"/>
        <v>2017</v>
      </c>
      <c r="I167" s="8" t="s">
        <v>176</v>
      </c>
      <c r="J167" s="158" t="s">
        <v>112</v>
      </c>
      <c r="K167" s="158" t="s">
        <v>112</v>
      </c>
      <c r="L167" s="158" t="s">
        <v>100</v>
      </c>
      <c r="M167" s="158" t="s">
        <v>513</v>
      </c>
      <c r="N167" s="158" t="s">
        <v>946</v>
      </c>
      <c r="O167" s="29" t="s">
        <v>947</v>
      </c>
      <c r="P167" s="158" t="s">
        <v>106</v>
      </c>
      <c r="Q167" s="158" t="s">
        <v>112</v>
      </c>
      <c r="R167" s="158">
        <v>373672.0</v>
      </c>
      <c r="S167" s="158">
        <v>9725225.0</v>
      </c>
      <c r="T167" s="156">
        <v>-76.1378967</v>
      </c>
      <c r="U167" s="156">
        <v>-2.49658429</v>
      </c>
      <c r="V167" s="156" t="s">
        <v>844</v>
      </c>
      <c r="W167" s="158" t="s">
        <v>112</v>
      </c>
      <c r="X167" s="158">
        <v>1.0</v>
      </c>
      <c r="Y167" s="166" t="s">
        <v>948</v>
      </c>
      <c r="Z167" s="8" t="s">
        <v>148</v>
      </c>
      <c r="AA167" s="23" t="s">
        <v>144</v>
      </c>
      <c r="AB167" s="8" t="s">
        <v>387</v>
      </c>
      <c r="AC167" s="70"/>
      <c r="AD167" s="70"/>
      <c r="AE167" s="24"/>
      <c r="AF167" s="70"/>
      <c r="AG167" s="70"/>
      <c r="AH167" s="70"/>
      <c r="AI167" s="70"/>
      <c r="AJ167" s="70"/>
      <c r="AK167" s="70"/>
      <c r="AL167" s="70"/>
      <c r="AM167" s="24"/>
      <c r="AN167" s="70"/>
      <c r="AO167" s="70"/>
      <c r="AP167" s="70"/>
      <c r="AQ167" s="70"/>
      <c r="AR167" s="70"/>
      <c r="AS167" s="70"/>
      <c r="AT167" s="70"/>
      <c r="AU167" s="70"/>
      <c r="AV167" s="70"/>
      <c r="AW167" s="70"/>
      <c r="AX167" s="70"/>
      <c r="AY167" s="70"/>
      <c r="AZ167" s="70"/>
      <c r="BA167" s="70"/>
      <c r="BB167" s="70"/>
      <c r="BC167" s="70"/>
      <c r="BD167" s="70"/>
      <c r="BE167" s="70"/>
      <c r="BF167" s="70"/>
      <c r="BG167" s="70"/>
      <c r="BH167" s="70"/>
      <c r="BI167" s="70"/>
      <c r="BJ167" s="70"/>
      <c r="BK167" s="70"/>
      <c r="BL167" s="70"/>
      <c r="BM167" s="70"/>
      <c r="BN167" s="70"/>
      <c r="BO167" s="70"/>
      <c r="BP167" s="70"/>
      <c r="BQ167" s="70"/>
      <c r="BR167" s="70"/>
      <c r="BS167" s="70"/>
      <c r="BT167" s="70"/>
      <c r="BU167" s="70"/>
      <c r="BV167" s="70"/>
      <c r="BW167" s="70"/>
      <c r="BX167" s="70"/>
      <c r="BY167" s="70"/>
    </row>
    <row r="168" ht="15.75" customHeight="1">
      <c r="A168" s="8">
        <v>284.0</v>
      </c>
      <c r="B168" s="163" t="s">
        <v>949</v>
      </c>
      <c r="C168" s="167" t="s">
        <v>58</v>
      </c>
      <c r="D168" s="163" t="s">
        <v>511</v>
      </c>
      <c r="E168" s="163" t="s">
        <v>112</v>
      </c>
      <c r="F168" s="168" t="s">
        <v>950</v>
      </c>
      <c r="G168" s="169">
        <v>39173.0</v>
      </c>
      <c r="H168" s="112" t="str">
        <f t="shared" si="12"/>
        <v>2007</v>
      </c>
      <c r="I168" s="8" t="s">
        <v>176</v>
      </c>
      <c r="J168" s="163" t="s">
        <v>112</v>
      </c>
      <c r="K168" s="163" t="s">
        <v>112</v>
      </c>
      <c r="L168" s="163" t="s">
        <v>100</v>
      </c>
      <c r="M168" s="158" t="s">
        <v>177</v>
      </c>
      <c r="N168" s="170" t="s">
        <v>951</v>
      </c>
      <c r="O168" s="45" t="s">
        <v>952</v>
      </c>
      <c r="P168" s="163" t="s">
        <v>106</v>
      </c>
      <c r="Q168" s="163" t="s">
        <v>112</v>
      </c>
      <c r="R168" s="171">
        <v>373674.0</v>
      </c>
      <c r="S168" s="167">
        <v>9725156.0</v>
      </c>
      <c r="T168" s="163" t="s">
        <v>112</v>
      </c>
      <c r="U168" s="163" t="s">
        <v>112</v>
      </c>
      <c r="V168" s="167" t="s">
        <v>717</v>
      </c>
      <c r="W168" s="163" t="s">
        <v>112</v>
      </c>
      <c r="X168" s="158">
        <v>1.0</v>
      </c>
      <c r="Y168" s="158" t="s">
        <v>953</v>
      </c>
      <c r="Z168" s="8" t="s">
        <v>36</v>
      </c>
      <c r="AA168" s="23" t="s">
        <v>144</v>
      </c>
      <c r="AB168" s="21" t="s">
        <v>391</v>
      </c>
      <c r="AC168" s="70"/>
      <c r="AD168" s="70"/>
      <c r="AE168" s="24"/>
      <c r="AF168" s="70"/>
      <c r="AG168" s="70"/>
      <c r="AH168" s="70"/>
      <c r="AI168" s="70"/>
      <c r="AJ168" s="70"/>
      <c r="AK168" s="70"/>
      <c r="AL168" s="70"/>
      <c r="AM168" s="24"/>
      <c r="AN168" s="70"/>
      <c r="AO168" s="70"/>
      <c r="AP168" s="70"/>
      <c r="AQ168" s="70"/>
      <c r="AR168" s="70"/>
      <c r="AS168" s="70"/>
      <c r="AT168" s="70"/>
      <c r="AU168" s="70"/>
      <c r="AV168" s="70"/>
      <c r="AW168" s="70"/>
      <c r="AX168" s="70"/>
      <c r="AY168" s="70"/>
      <c r="AZ168" s="70"/>
      <c r="BA168" s="70"/>
      <c r="BB168" s="70"/>
      <c r="BC168" s="70"/>
      <c r="BD168" s="70"/>
      <c r="BE168" s="70"/>
      <c r="BF168" s="70"/>
      <c r="BG168" s="70"/>
      <c r="BH168" s="70"/>
      <c r="BI168" s="70"/>
      <c r="BJ168" s="70"/>
      <c r="BK168" s="70"/>
      <c r="BL168" s="70"/>
      <c r="BM168" s="70"/>
      <c r="BN168" s="70"/>
      <c r="BO168" s="70"/>
      <c r="BP168" s="70"/>
      <c r="BQ168" s="70"/>
      <c r="BR168" s="70"/>
      <c r="BS168" s="70"/>
      <c r="BT168" s="70"/>
      <c r="BU168" s="70"/>
      <c r="BV168" s="70"/>
      <c r="BW168" s="70"/>
      <c r="BX168" s="70"/>
      <c r="BY168" s="70"/>
    </row>
    <row r="169" ht="15.75" customHeight="1">
      <c r="A169" s="8">
        <v>441.0</v>
      </c>
      <c r="B169" s="163" t="s">
        <v>954</v>
      </c>
      <c r="C169" s="167" t="s">
        <v>48</v>
      </c>
      <c r="D169" s="163" t="s">
        <v>112</v>
      </c>
      <c r="E169" s="163" t="s">
        <v>112</v>
      </c>
      <c r="F169" s="172">
        <v>40249.0</v>
      </c>
      <c r="G169" s="169">
        <v>40238.0</v>
      </c>
      <c r="H169" s="42" t="str">
        <f t="shared" si="12"/>
        <v>2010</v>
      </c>
      <c r="I169" s="8" t="s">
        <v>176</v>
      </c>
      <c r="J169" s="163" t="s">
        <v>112</v>
      </c>
      <c r="K169" s="141" t="s">
        <v>99</v>
      </c>
      <c r="L169" s="167" t="s">
        <v>100</v>
      </c>
      <c r="M169" s="173" t="s">
        <v>177</v>
      </c>
      <c r="N169" s="174" t="s">
        <v>955</v>
      </c>
      <c r="O169" s="45" t="s">
        <v>928</v>
      </c>
      <c r="P169" s="163" t="s">
        <v>106</v>
      </c>
      <c r="Q169" s="163" t="s">
        <v>112</v>
      </c>
      <c r="R169" s="175">
        <v>373976.0</v>
      </c>
      <c r="S169" s="167">
        <v>9723937.0</v>
      </c>
      <c r="T169" s="176">
        <v>-2.4971212</v>
      </c>
      <c r="U169" s="176">
        <v>-76.13354</v>
      </c>
      <c r="V169" s="167" t="s">
        <v>913</v>
      </c>
      <c r="W169" s="163" t="s">
        <v>112</v>
      </c>
      <c r="X169" s="163" t="s">
        <v>112</v>
      </c>
      <c r="Y169" s="163" t="s">
        <v>112</v>
      </c>
      <c r="Z169" s="47" t="s">
        <v>37</v>
      </c>
      <c r="AA169" s="23" t="s">
        <v>115</v>
      </c>
      <c r="AB169" s="8" t="s">
        <v>392</v>
      </c>
      <c r="AC169" s="70"/>
      <c r="AD169" s="70"/>
      <c r="AE169" s="24"/>
      <c r="AF169" s="70"/>
      <c r="AG169" s="70"/>
      <c r="AH169" s="70"/>
      <c r="AI169" s="70"/>
      <c r="AJ169" s="70"/>
      <c r="AK169" s="70"/>
      <c r="AL169" s="70"/>
      <c r="AM169" s="24"/>
      <c r="AN169" s="70"/>
      <c r="AO169" s="70"/>
      <c r="AP169" s="70"/>
      <c r="AQ169" s="70"/>
      <c r="AR169" s="70"/>
      <c r="AS169" s="70"/>
      <c r="AT169" s="70"/>
      <c r="AU169" s="70"/>
      <c r="AV169" s="70"/>
      <c r="AW169" s="70"/>
      <c r="AX169" s="70"/>
      <c r="AY169" s="70"/>
      <c r="AZ169" s="70"/>
      <c r="BA169" s="70"/>
      <c r="BB169" s="70"/>
      <c r="BC169" s="70"/>
      <c r="BD169" s="70"/>
      <c r="BE169" s="70"/>
      <c r="BF169" s="70"/>
      <c r="BG169" s="70"/>
      <c r="BH169" s="70"/>
      <c r="BI169" s="70"/>
      <c r="BJ169" s="70"/>
      <c r="BK169" s="70"/>
      <c r="BL169" s="70"/>
      <c r="BM169" s="70"/>
      <c r="BN169" s="70"/>
      <c r="BO169" s="70"/>
      <c r="BP169" s="70"/>
      <c r="BQ169" s="70"/>
      <c r="BR169" s="70"/>
      <c r="BS169" s="70"/>
      <c r="BT169" s="70"/>
      <c r="BU169" s="70"/>
      <c r="BV169" s="70"/>
      <c r="BW169" s="70"/>
      <c r="BX169" s="70"/>
      <c r="BY169" s="70"/>
    </row>
    <row r="170" ht="15.75" customHeight="1">
      <c r="A170" s="8">
        <v>882.0</v>
      </c>
      <c r="B170" s="158" t="s">
        <v>956</v>
      </c>
      <c r="C170" s="158" t="s">
        <v>52</v>
      </c>
      <c r="D170" s="157" t="s">
        <v>663</v>
      </c>
      <c r="E170" s="158" t="s">
        <v>112</v>
      </c>
      <c r="F170" s="165" t="s">
        <v>957</v>
      </c>
      <c r="G170" s="164">
        <v>42856.0</v>
      </c>
      <c r="H170" s="95" t="str">
        <f t="shared" si="12"/>
        <v>2017</v>
      </c>
      <c r="I170" s="8" t="s">
        <v>774</v>
      </c>
      <c r="J170" s="158" t="s">
        <v>112</v>
      </c>
      <c r="K170" s="158" t="s">
        <v>112</v>
      </c>
      <c r="L170" s="158" t="s">
        <v>100</v>
      </c>
      <c r="M170" s="158" t="s">
        <v>513</v>
      </c>
      <c r="N170" s="158" t="s">
        <v>958</v>
      </c>
      <c r="O170" s="8" t="s">
        <v>959</v>
      </c>
      <c r="P170" s="158" t="s">
        <v>106</v>
      </c>
      <c r="Q170" s="158" t="s">
        <v>112</v>
      </c>
      <c r="R170" s="158">
        <v>374088.0</v>
      </c>
      <c r="S170" s="158">
        <v>9728558.0</v>
      </c>
      <c r="T170" s="156">
        <v>-76.13251965</v>
      </c>
      <c r="U170" s="156">
        <v>-2.45534932</v>
      </c>
      <c r="V170" s="156" t="s">
        <v>844</v>
      </c>
      <c r="W170" s="158" t="s">
        <v>112</v>
      </c>
      <c r="X170" s="158">
        <v>1.0</v>
      </c>
      <c r="Y170" s="166" t="s">
        <v>948</v>
      </c>
      <c r="Z170" s="8" t="s">
        <v>148</v>
      </c>
      <c r="AA170" s="23" t="s">
        <v>144</v>
      </c>
      <c r="AB170" s="8" t="s">
        <v>386</v>
      </c>
      <c r="AC170" s="70"/>
      <c r="AD170" s="70"/>
      <c r="AE170" s="24"/>
      <c r="AF170" s="70"/>
      <c r="AG170" s="70"/>
      <c r="AH170" s="70"/>
      <c r="AI170" s="70"/>
      <c r="AJ170" s="70"/>
      <c r="AK170" s="70"/>
      <c r="AL170" s="70"/>
      <c r="AM170" s="24"/>
      <c r="AN170" s="70"/>
      <c r="AO170" s="70"/>
      <c r="AP170" s="70"/>
      <c r="AQ170" s="70"/>
      <c r="AR170" s="70"/>
      <c r="AS170" s="70"/>
      <c r="AT170" s="70"/>
      <c r="AU170" s="70"/>
      <c r="AV170" s="70"/>
      <c r="AW170" s="70"/>
      <c r="AX170" s="70"/>
      <c r="AY170" s="70"/>
      <c r="AZ170" s="70"/>
      <c r="BA170" s="70"/>
      <c r="BB170" s="70"/>
      <c r="BC170" s="70"/>
      <c r="BD170" s="70"/>
      <c r="BE170" s="70"/>
      <c r="BF170" s="70"/>
      <c r="BG170" s="70"/>
      <c r="BH170" s="70"/>
      <c r="BI170" s="70"/>
      <c r="BJ170" s="70"/>
      <c r="BK170" s="70"/>
      <c r="BL170" s="70"/>
      <c r="BM170" s="70"/>
      <c r="BN170" s="70"/>
      <c r="BO170" s="70"/>
      <c r="BP170" s="70"/>
      <c r="BQ170" s="70"/>
      <c r="BR170" s="70"/>
      <c r="BS170" s="70"/>
      <c r="BT170" s="70"/>
      <c r="BU170" s="70"/>
      <c r="BV170" s="70"/>
      <c r="BW170" s="70"/>
      <c r="BX170" s="70"/>
      <c r="BY170" s="70"/>
    </row>
    <row r="171" ht="15.75" customHeight="1">
      <c r="A171" s="8">
        <v>251.0</v>
      </c>
      <c r="B171" s="163" t="s">
        <v>960</v>
      </c>
      <c r="C171" s="167" t="s">
        <v>48</v>
      </c>
      <c r="D171" s="163" t="s">
        <v>112</v>
      </c>
      <c r="E171" s="163" t="s">
        <v>112</v>
      </c>
      <c r="F171" s="173">
        <v>39196.0</v>
      </c>
      <c r="G171" s="169">
        <v>39173.0</v>
      </c>
      <c r="H171" s="42" t="str">
        <f t="shared" si="12"/>
        <v>2007</v>
      </c>
      <c r="I171" s="8" t="s">
        <v>186</v>
      </c>
      <c r="J171" s="163" t="s">
        <v>112</v>
      </c>
      <c r="K171" s="163" t="s">
        <v>112</v>
      </c>
      <c r="L171" s="167" t="s">
        <v>100</v>
      </c>
      <c r="M171" s="173" t="s">
        <v>112</v>
      </c>
      <c r="N171" s="174" t="s">
        <v>112</v>
      </c>
      <c r="O171" s="45" t="s">
        <v>877</v>
      </c>
      <c r="P171" s="163" t="s">
        <v>106</v>
      </c>
      <c r="Q171" s="163" t="s">
        <v>112</v>
      </c>
      <c r="R171" s="171">
        <v>374204.0</v>
      </c>
      <c r="S171" s="167">
        <v>9728704.0</v>
      </c>
      <c r="T171" s="163" t="s">
        <v>112</v>
      </c>
      <c r="U171" s="163" t="s">
        <v>112</v>
      </c>
      <c r="V171" s="167" t="s">
        <v>717</v>
      </c>
      <c r="W171" s="163" t="s">
        <v>112</v>
      </c>
      <c r="X171" s="163" t="s">
        <v>112</v>
      </c>
      <c r="Y171" s="163" t="s">
        <v>112</v>
      </c>
      <c r="Z171" s="8" t="s">
        <v>36</v>
      </c>
      <c r="AA171" s="23" t="s">
        <v>144</v>
      </c>
      <c r="AB171" s="21" t="s">
        <v>391</v>
      </c>
      <c r="AC171" s="70"/>
      <c r="AD171" s="70"/>
      <c r="AE171" s="24"/>
      <c r="AF171" s="70"/>
      <c r="AG171" s="70"/>
      <c r="AH171" s="70"/>
      <c r="AI171" s="70"/>
      <c r="AJ171" s="70"/>
      <c r="AK171" s="70"/>
      <c r="AL171" s="70"/>
      <c r="AM171" s="24"/>
      <c r="AN171" s="70"/>
      <c r="AO171" s="70"/>
      <c r="AP171" s="70"/>
      <c r="AQ171" s="70"/>
      <c r="AR171" s="70"/>
      <c r="AS171" s="70"/>
      <c r="AT171" s="70"/>
      <c r="AU171" s="70"/>
      <c r="AV171" s="70"/>
      <c r="AW171" s="70"/>
      <c r="AX171" s="70"/>
      <c r="AY171" s="70"/>
      <c r="AZ171" s="70"/>
      <c r="BA171" s="70"/>
      <c r="BB171" s="70"/>
      <c r="BC171" s="70"/>
      <c r="BD171" s="70"/>
      <c r="BE171" s="70"/>
      <c r="BF171" s="70"/>
      <c r="BG171" s="70"/>
      <c r="BH171" s="70"/>
      <c r="BI171" s="70"/>
      <c r="BJ171" s="70"/>
      <c r="BK171" s="70"/>
      <c r="BL171" s="70"/>
      <c r="BM171" s="70"/>
      <c r="BN171" s="70"/>
      <c r="BO171" s="70"/>
      <c r="BP171" s="70"/>
      <c r="BQ171" s="70"/>
      <c r="BR171" s="70"/>
      <c r="BS171" s="70"/>
      <c r="BT171" s="70"/>
      <c r="BU171" s="70"/>
      <c r="BV171" s="70"/>
      <c r="BW171" s="70"/>
      <c r="BX171" s="70"/>
      <c r="BY171" s="70"/>
    </row>
    <row r="172" ht="15.75" customHeight="1">
      <c r="A172" s="8">
        <v>660.0</v>
      </c>
      <c r="B172" s="163" t="s">
        <v>961</v>
      </c>
      <c r="C172" s="167" t="s">
        <v>48</v>
      </c>
      <c r="D172" s="163" t="s">
        <v>112</v>
      </c>
      <c r="E172" s="163" t="s">
        <v>112</v>
      </c>
      <c r="F172" s="177">
        <v>42404.0</v>
      </c>
      <c r="G172" s="169">
        <v>42401.0</v>
      </c>
      <c r="H172" s="42" t="str">
        <f t="shared" si="12"/>
        <v>2016</v>
      </c>
      <c r="I172" s="8" t="s">
        <v>63</v>
      </c>
      <c r="J172" s="163" t="s">
        <v>112</v>
      </c>
      <c r="K172" s="163" t="s">
        <v>112</v>
      </c>
      <c r="L172" s="167" t="s">
        <v>100</v>
      </c>
      <c r="M172" s="178" t="s">
        <v>112</v>
      </c>
      <c r="N172" s="163" t="s">
        <v>112</v>
      </c>
      <c r="O172" s="8" t="s">
        <v>962</v>
      </c>
      <c r="P172" s="163" t="s">
        <v>106</v>
      </c>
      <c r="Q172" s="163" t="s">
        <v>112</v>
      </c>
      <c r="R172" s="167">
        <v>374449.0</v>
      </c>
      <c r="S172" s="167">
        <v>9720007.0</v>
      </c>
      <c r="T172" s="167" t="s">
        <v>112</v>
      </c>
      <c r="U172" s="167" t="s">
        <v>112</v>
      </c>
      <c r="V172" s="167" t="s">
        <v>844</v>
      </c>
      <c r="W172" s="163" t="s">
        <v>112</v>
      </c>
      <c r="X172" s="163" t="s">
        <v>112</v>
      </c>
      <c r="Y172" s="163" t="s">
        <v>112</v>
      </c>
      <c r="Z172" s="8" t="s">
        <v>69</v>
      </c>
      <c r="AA172" s="23" t="s">
        <v>115</v>
      </c>
      <c r="AB172" s="8"/>
      <c r="AC172" s="70"/>
      <c r="AD172" s="70"/>
      <c r="AE172" s="24"/>
      <c r="AF172" s="70"/>
      <c r="AG172" s="70"/>
      <c r="AH172" s="70"/>
      <c r="AI172" s="70"/>
      <c r="AJ172" s="70"/>
      <c r="AK172" s="70"/>
      <c r="AL172" s="70"/>
      <c r="AM172" s="24"/>
      <c r="AN172" s="70"/>
      <c r="AO172" s="70"/>
      <c r="AP172" s="70"/>
      <c r="AQ172" s="70"/>
      <c r="AR172" s="70"/>
      <c r="AS172" s="70"/>
      <c r="AT172" s="70"/>
      <c r="AU172" s="70"/>
      <c r="AV172" s="70"/>
      <c r="AW172" s="70"/>
      <c r="AX172" s="70"/>
      <c r="AY172" s="70"/>
      <c r="AZ172" s="70"/>
      <c r="BA172" s="70"/>
      <c r="BB172" s="70"/>
      <c r="BC172" s="70"/>
      <c r="BD172" s="70"/>
      <c r="BE172" s="70"/>
      <c r="BF172" s="70"/>
      <c r="BG172" s="70"/>
      <c r="BH172" s="70"/>
      <c r="BI172" s="70"/>
      <c r="BJ172" s="70"/>
      <c r="BK172" s="70"/>
      <c r="BL172" s="70"/>
      <c r="BM172" s="70"/>
      <c r="BN172" s="70"/>
      <c r="BO172" s="70"/>
      <c r="BP172" s="70"/>
      <c r="BQ172" s="70"/>
      <c r="BR172" s="70"/>
      <c r="BS172" s="70"/>
      <c r="BT172" s="70"/>
      <c r="BU172" s="70"/>
      <c r="BV172" s="70"/>
      <c r="BW172" s="70"/>
      <c r="BX172" s="70"/>
      <c r="BY172" s="70"/>
    </row>
    <row r="173" ht="15.75" customHeight="1">
      <c r="A173" s="52">
        <v>960.0</v>
      </c>
      <c r="B173" s="179" t="s">
        <v>963</v>
      </c>
      <c r="C173" s="179" t="s">
        <v>57</v>
      </c>
      <c r="D173" s="179" t="s">
        <v>694</v>
      </c>
      <c r="E173" s="179" t="s">
        <v>964</v>
      </c>
      <c r="F173" s="179" t="s">
        <v>965</v>
      </c>
      <c r="G173" s="179" t="s">
        <v>965</v>
      </c>
      <c r="H173" s="55">
        <v>2021.0</v>
      </c>
      <c r="I173" s="53" t="s">
        <v>97</v>
      </c>
      <c r="J173" s="179" t="s">
        <v>98</v>
      </c>
      <c r="K173" s="179" t="s">
        <v>164</v>
      </c>
      <c r="L173" s="179" t="s">
        <v>100</v>
      </c>
      <c r="M173" s="179" t="s">
        <v>150</v>
      </c>
      <c r="N173" s="179" t="s">
        <v>966</v>
      </c>
      <c r="O173" s="53" t="s">
        <v>967</v>
      </c>
      <c r="P173" s="179" t="s">
        <v>106</v>
      </c>
      <c r="Q173" s="179"/>
      <c r="R173" s="179">
        <v>374464.0</v>
      </c>
      <c r="S173" s="179">
        <v>9725437.0</v>
      </c>
      <c r="T173" s="137"/>
      <c r="U173" s="134"/>
      <c r="V173" s="179" t="s">
        <v>968</v>
      </c>
      <c r="W173" s="134"/>
      <c r="X173" s="134"/>
      <c r="Y173" s="134"/>
      <c r="Z173" s="58"/>
      <c r="AA173" s="58"/>
      <c r="AB173" s="58"/>
      <c r="AC173" s="70"/>
      <c r="AD173" s="70"/>
      <c r="AE173" s="24"/>
      <c r="AF173" s="70"/>
      <c r="AG173" s="70"/>
      <c r="AH173" s="70"/>
      <c r="AI173" s="70"/>
      <c r="AJ173" s="70"/>
      <c r="AK173" s="70"/>
      <c r="AL173" s="70"/>
      <c r="AM173" s="24"/>
      <c r="AN173" s="70"/>
      <c r="AO173" s="70"/>
      <c r="AP173" s="70"/>
      <c r="AQ173" s="70"/>
      <c r="AR173" s="70"/>
      <c r="AS173" s="70"/>
      <c r="AT173" s="70"/>
      <c r="AU173" s="70"/>
      <c r="AV173" s="70"/>
      <c r="AW173" s="70"/>
      <c r="AX173" s="70"/>
      <c r="AY173" s="70"/>
      <c r="AZ173" s="70"/>
      <c r="BA173" s="70"/>
      <c r="BB173" s="70"/>
      <c r="BC173" s="70"/>
      <c r="BD173" s="70"/>
      <c r="BE173" s="70"/>
      <c r="BF173" s="70"/>
      <c r="BG173" s="70"/>
      <c r="BH173" s="70"/>
      <c r="BI173" s="70"/>
      <c r="BJ173" s="70"/>
      <c r="BK173" s="70"/>
      <c r="BL173" s="70"/>
      <c r="BM173" s="70"/>
      <c r="BN173" s="70"/>
      <c r="BO173" s="70"/>
      <c r="BP173" s="70"/>
      <c r="BQ173" s="70"/>
      <c r="BR173" s="70"/>
      <c r="BS173" s="70"/>
      <c r="BT173" s="70"/>
      <c r="BU173" s="70"/>
      <c r="BV173" s="70"/>
      <c r="BW173" s="70"/>
      <c r="BX173" s="70"/>
      <c r="BY173" s="70"/>
    </row>
    <row r="174" ht="15.75" customHeight="1">
      <c r="A174" s="8">
        <v>659.0</v>
      </c>
      <c r="B174" s="163" t="s">
        <v>969</v>
      </c>
      <c r="C174" s="167" t="s">
        <v>48</v>
      </c>
      <c r="D174" s="163" t="s">
        <v>112</v>
      </c>
      <c r="E174" s="163" t="s">
        <v>112</v>
      </c>
      <c r="F174" s="177">
        <v>42404.0</v>
      </c>
      <c r="G174" s="169">
        <v>42401.0</v>
      </c>
      <c r="H174" s="42" t="str">
        <f t="shared" ref="H174:H188" si="13">TEXT(G174, "yyyy")</f>
        <v>2016</v>
      </c>
      <c r="I174" s="8" t="s">
        <v>63</v>
      </c>
      <c r="J174" s="163" t="s">
        <v>112</v>
      </c>
      <c r="K174" s="163" t="s">
        <v>112</v>
      </c>
      <c r="L174" s="167" t="s">
        <v>100</v>
      </c>
      <c r="M174" s="178" t="s">
        <v>112</v>
      </c>
      <c r="N174" s="163" t="s">
        <v>112</v>
      </c>
      <c r="O174" s="8" t="s">
        <v>970</v>
      </c>
      <c r="P174" s="163" t="s">
        <v>106</v>
      </c>
      <c r="Q174" s="163" t="s">
        <v>112</v>
      </c>
      <c r="R174" s="167">
        <v>374467.0</v>
      </c>
      <c r="S174" s="167">
        <v>9720089.0</v>
      </c>
      <c r="T174" s="167" t="s">
        <v>112</v>
      </c>
      <c r="U174" s="167" t="s">
        <v>112</v>
      </c>
      <c r="V174" s="167" t="s">
        <v>844</v>
      </c>
      <c r="W174" s="163" t="s">
        <v>112</v>
      </c>
      <c r="X174" s="163" t="s">
        <v>112</v>
      </c>
      <c r="Y174" s="163" t="s">
        <v>112</v>
      </c>
      <c r="Z174" s="8" t="s">
        <v>69</v>
      </c>
      <c r="AA174" s="23" t="s">
        <v>115</v>
      </c>
      <c r="AB174" s="8"/>
      <c r="AC174" s="70"/>
      <c r="AD174" s="70"/>
      <c r="AE174" s="24"/>
      <c r="AF174" s="70"/>
      <c r="AG174" s="70"/>
      <c r="AH174" s="70"/>
      <c r="AI174" s="70"/>
      <c r="AJ174" s="70"/>
      <c r="AK174" s="70"/>
      <c r="AL174" s="70"/>
      <c r="AM174" s="24"/>
      <c r="AN174" s="70"/>
      <c r="AO174" s="70"/>
      <c r="AP174" s="70"/>
      <c r="AQ174" s="70"/>
      <c r="AR174" s="70"/>
      <c r="AS174" s="70"/>
      <c r="AT174" s="70"/>
      <c r="AU174" s="70"/>
      <c r="AV174" s="70"/>
      <c r="AW174" s="70"/>
      <c r="AX174" s="70"/>
      <c r="AY174" s="70"/>
      <c r="AZ174" s="70"/>
      <c r="BA174" s="70"/>
      <c r="BB174" s="70"/>
      <c r="BC174" s="70"/>
      <c r="BD174" s="70"/>
      <c r="BE174" s="70"/>
      <c r="BF174" s="70"/>
      <c r="BG174" s="70"/>
      <c r="BH174" s="70"/>
      <c r="BI174" s="70"/>
      <c r="BJ174" s="70"/>
      <c r="BK174" s="70"/>
      <c r="BL174" s="70"/>
      <c r="BM174" s="70"/>
      <c r="BN174" s="70"/>
      <c r="BO174" s="70"/>
      <c r="BP174" s="70"/>
      <c r="BQ174" s="70"/>
      <c r="BR174" s="70"/>
      <c r="BS174" s="70"/>
      <c r="BT174" s="70"/>
      <c r="BU174" s="70"/>
      <c r="BV174" s="70"/>
      <c r="BW174" s="70"/>
      <c r="BX174" s="70"/>
      <c r="BY174" s="70"/>
    </row>
    <row r="175" ht="15.75" customHeight="1">
      <c r="A175" s="8">
        <v>658.0</v>
      </c>
      <c r="B175" s="163" t="s">
        <v>971</v>
      </c>
      <c r="C175" s="167" t="s">
        <v>48</v>
      </c>
      <c r="D175" s="163" t="s">
        <v>112</v>
      </c>
      <c r="E175" s="163" t="s">
        <v>112</v>
      </c>
      <c r="F175" s="177">
        <v>42403.0</v>
      </c>
      <c r="G175" s="169">
        <v>42401.0</v>
      </c>
      <c r="H175" s="42" t="str">
        <f t="shared" si="13"/>
        <v>2016</v>
      </c>
      <c r="I175" s="8" t="s">
        <v>63</v>
      </c>
      <c r="J175" s="163" t="s">
        <v>112</v>
      </c>
      <c r="K175" s="163" t="s">
        <v>112</v>
      </c>
      <c r="L175" s="167" t="s">
        <v>100</v>
      </c>
      <c r="M175" s="168" t="s">
        <v>112</v>
      </c>
      <c r="N175" s="163" t="s">
        <v>112</v>
      </c>
      <c r="O175" s="8" t="s">
        <v>972</v>
      </c>
      <c r="P175" s="163" t="s">
        <v>106</v>
      </c>
      <c r="Q175" s="163" t="s">
        <v>112</v>
      </c>
      <c r="R175" s="167">
        <v>374470.0</v>
      </c>
      <c r="S175" s="167">
        <v>9720155.0</v>
      </c>
      <c r="T175" s="167" t="s">
        <v>112</v>
      </c>
      <c r="U175" s="167" t="s">
        <v>112</v>
      </c>
      <c r="V175" s="167" t="s">
        <v>844</v>
      </c>
      <c r="W175" s="163" t="s">
        <v>112</v>
      </c>
      <c r="X175" s="163" t="s">
        <v>112</v>
      </c>
      <c r="Y175" s="163" t="s">
        <v>112</v>
      </c>
      <c r="Z175" s="8" t="s">
        <v>69</v>
      </c>
      <c r="AA175" s="23" t="s">
        <v>115</v>
      </c>
      <c r="AB175" s="8"/>
      <c r="AE175" s="24"/>
      <c r="AM175" s="24"/>
    </row>
    <row r="176" ht="15.75" customHeight="1">
      <c r="A176" s="8">
        <v>661.0</v>
      </c>
      <c r="B176" s="163" t="s">
        <v>973</v>
      </c>
      <c r="C176" s="167" t="s">
        <v>48</v>
      </c>
      <c r="D176" s="163" t="s">
        <v>112</v>
      </c>
      <c r="E176" s="163" t="s">
        <v>112</v>
      </c>
      <c r="F176" s="177">
        <v>42404.0</v>
      </c>
      <c r="G176" s="169">
        <v>42401.0</v>
      </c>
      <c r="H176" s="42" t="str">
        <f t="shared" si="13"/>
        <v>2016</v>
      </c>
      <c r="I176" s="8" t="s">
        <v>63</v>
      </c>
      <c r="J176" s="163" t="s">
        <v>112</v>
      </c>
      <c r="K176" s="163" t="s">
        <v>112</v>
      </c>
      <c r="L176" s="167" t="s">
        <v>100</v>
      </c>
      <c r="M176" s="168" t="s">
        <v>112</v>
      </c>
      <c r="N176" s="163" t="s">
        <v>112</v>
      </c>
      <c r="O176" s="8" t="s">
        <v>974</v>
      </c>
      <c r="P176" s="163" t="s">
        <v>106</v>
      </c>
      <c r="Q176" s="163" t="s">
        <v>112</v>
      </c>
      <c r="R176" s="167">
        <v>374502.0</v>
      </c>
      <c r="S176" s="167">
        <v>9729945.0</v>
      </c>
      <c r="T176" s="167" t="s">
        <v>112</v>
      </c>
      <c r="U176" s="167" t="s">
        <v>112</v>
      </c>
      <c r="V176" s="167" t="s">
        <v>844</v>
      </c>
      <c r="W176" s="163" t="s">
        <v>112</v>
      </c>
      <c r="X176" s="163" t="s">
        <v>112</v>
      </c>
      <c r="Y176" s="163" t="s">
        <v>112</v>
      </c>
      <c r="Z176" s="8" t="s">
        <v>69</v>
      </c>
      <c r="AA176" s="23" t="s">
        <v>115</v>
      </c>
      <c r="AB176" s="8"/>
      <c r="AE176" s="24"/>
      <c r="AM176" s="24"/>
    </row>
    <row r="177" ht="15.75" customHeight="1">
      <c r="A177" s="8">
        <v>657.0</v>
      </c>
      <c r="B177" s="163" t="s">
        <v>975</v>
      </c>
      <c r="C177" s="167" t="s">
        <v>48</v>
      </c>
      <c r="D177" s="163" t="s">
        <v>112</v>
      </c>
      <c r="E177" s="163" t="s">
        <v>112</v>
      </c>
      <c r="F177" s="177">
        <v>42403.0</v>
      </c>
      <c r="G177" s="169">
        <v>42401.0</v>
      </c>
      <c r="H177" s="42" t="str">
        <f t="shared" si="13"/>
        <v>2016</v>
      </c>
      <c r="I177" s="8" t="s">
        <v>63</v>
      </c>
      <c r="J177" s="163" t="s">
        <v>112</v>
      </c>
      <c r="K177" s="163" t="s">
        <v>112</v>
      </c>
      <c r="L177" s="167" t="s">
        <v>100</v>
      </c>
      <c r="M177" s="168" t="s">
        <v>112</v>
      </c>
      <c r="N177" s="163" t="s">
        <v>112</v>
      </c>
      <c r="O177" s="8" t="s">
        <v>976</v>
      </c>
      <c r="P177" s="163" t="s">
        <v>106</v>
      </c>
      <c r="Q177" s="163" t="s">
        <v>112</v>
      </c>
      <c r="R177" s="167">
        <v>374528.0</v>
      </c>
      <c r="S177" s="167">
        <v>9720170.0</v>
      </c>
      <c r="T177" s="167" t="s">
        <v>112</v>
      </c>
      <c r="U177" s="167" t="s">
        <v>112</v>
      </c>
      <c r="V177" s="167" t="s">
        <v>844</v>
      </c>
      <c r="W177" s="163" t="s">
        <v>112</v>
      </c>
      <c r="X177" s="163" t="s">
        <v>112</v>
      </c>
      <c r="Y177" s="163" t="s">
        <v>112</v>
      </c>
      <c r="Z177" s="8" t="s">
        <v>69</v>
      </c>
      <c r="AA177" s="23" t="s">
        <v>115</v>
      </c>
      <c r="AB177" s="8"/>
      <c r="AC177" s="70"/>
      <c r="AD177" s="70"/>
      <c r="AE177" s="24"/>
      <c r="AF177" s="70"/>
      <c r="AG177" s="70"/>
      <c r="AH177" s="70"/>
      <c r="AI177" s="70"/>
      <c r="AJ177" s="70"/>
      <c r="AK177" s="70"/>
      <c r="AL177" s="70"/>
      <c r="AM177" s="24"/>
      <c r="AN177" s="70"/>
      <c r="AO177" s="70"/>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c r="BQ177" s="70"/>
      <c r="BR177" s="70"/>
      <c r="BS177" s="70"/>
      <c r="BT177" s="70"/>
      <c r="BU177" s="70"/>
      <c r="BV177" s="70"/>
      <c r="BW177" s="70"/>
      <c r="BX177" s="70"/>
      <c r="BY177" s="70"/>
    </row>
    <row r="178" ht="15.75" customHeight="1">
      <c r="A178" s="8">
        <v>662.0</v>
      </c>
      <c r="B178" s="163" t="s">
        <v>977</v>
      </c>
      <c r="C178" s="167" t="s">
        <v>48</v>
      </c>
      <c r="D178" s="163" t="s">
        <v>112</v>
      </c>
      <c r="E178" s="163" t="s">
        <v>112</v>
      </c>
      <c r="F178" s="180">
        <v>42404.0</v>
      </c>
      <c r="G178" s="169">
        <v>42401.0</v>
      </c>
      <c r="H178" s="42" t="str">
        <f t="shared" si="13"/>
        <v>2016</v>
      </c>
      <c r="I178" s="8" t="s">
        <v>63</v>
      </c>
      <c r="J178" s="163" t="s">
        <v>112</v>
      </c>
      <c r="K178" s="163" t="s">
        <v>112</v>
      </c>
      <c r="L178" s="167" t="s">
        <v>100</v>
      </c>
      <c r="M178" s="168" t="s">
        <v>112</v>
      </c>
      <c r="N178" s="163" t="s">
        <v>112</v>
      </c>
      <c r="O178" s="8" t="s">
        <v>978</v>
      </c>
      <c r="P178" s="163" t="s">
        <v>106</v>
      </c>
      <c r="Q178" s="163" t="s">
        <v>112</v>
      </c>
      <c r="R178" s="167">
        <v>374575.0</v>
      </c>
      <c r="S178" s="167">
        <v>9720001.0</v>
      </c>
      <c r="T178" s="167" t="s">
        <v>112</v>
      </c>
      <c r="U178" s="167" t="s">
        <v>112</v>
      </c>
      <c r="V178" s="167" t="s">
        <v>844</v>
      </c>
      <c r="W178" s="163" t="s">
        <v>112</v>
      </c>
      <c r="X178" s="163" t="s">
        <v>112</v>
      </c>
      <c r="Y178" s="163" t="s">
        <v>112</v>
      </c>
      <c r="Z178" s="8" t="s">
        <v>69</v>
      </c>
      <c r="AA178" s="23" t="s">
        <v>115</v>
      </c>
      <c r="AB178" s="8"/>
      <c r="AC178" s="70"/>
      <c r="AD178" s="70"/>
      <c r="AE178" s="24"/>
      <c r="AF178" s="70"/>
      <c r="AG178" s="70"/>
      <c r="AH178" s="70"/>
      <c r="AI178" s="70"/>
      <c r="AJ178" s="70"/>
      <c r="AK178" s="70"/>
      <c r="AL178" s="70"/>
      <c r="AM178" s="24"/>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c r="BY178" s="70"/>
    </row>
    <row r="179" ht="15.75" customHeight="1">
      <c r="A179" s="8">
        <v>663.0</v>
      </c>
      <c r="B179" s="163" t="s">
        <v>979</v>
      </c>
      <c r="C179" s="167" t="s">
        <v>48</v>
      </c>
      <c r="D179" s="163" t="s">
        <v>112</v>
      </c>
      <c r="E179" s="163" t="s">
        <v>112</v>
      </c>
      <c r="F179" s="180">
        <v>42404.0</v>
      </c>
      <c r="G179" s="169">
        <v>42401.0</v>
      </c>
      <c r="H179" s="42" t="str">
        <f t="shared" si="13"/>
        <v>2016</v>
      </c>
      <c r="I179" s="8" t="s">
        <v>63</v>
      </c>
      <c r="J179" s="163" t="s">
        <v>112</v>
      </c>
      <c r="K179" s="163" t="s">
        <v>112</v>
      </c>
      <c r="L179" s="167" t="s">
        <v>100</v>
      </c>
      <c r="M179" s="168" t="s">
        <v>112</v>
      </c>
      <c r="N179" s="163" t="s">
        <v>112</v>
      </c>
      <c r="O179" s="8" t="s">
        <v>980</v>
      </c>
      <c r="P179" s="163" t="s">
        <v>106</v>
      </c>
      <c r="Q179" s="163" t="s">
        <v>112</v>
      </c>
      <c r="R179" s="167">
        <v>374593.0</v>
      </c>
      <c r="S179" s="167">
        <v>9720076.0</v>
      </c>
      <c r="T179" s="167" t="s">
        <v>112</v>
      </c>
      <c r="U179" s="167" t="s">
        <v>112</v>
      </c>
      <c r="V179" s="167" t="s">
        <v>844</v>
      </c>
      <c r="W179" s="163" t="s">
        <v>112</v>
      </c>
      <c r="X179" s="163" t="s">
        <v>112</v>
      </c>
      <c r="Y179" s="163" t="s">
        <v>112</v>
      </c>
      <c r="Z179" s="8" t="s">
        <v>69</v>
      </c>
      <c r="AA179" s="23" t="s">
        <v>115</v>
      </c>
      <c r="AB179" s="8" t="s">
        <v>379</v>
      </c>
      <c r="AC179" s="70"/>
      <c r="AD179" s="70"/>
      <c r="AE179" s="24"/>
      <c r="AF179" s="70"/>
      <c r="AG179" s="70"/>
      <c r="AH179" s="70"/>
      <c r="AI179" s="70"/>
      <c r="AJ179" s="70"/>
      <c r="AK179" s="70"/>
      <c r="AL179" s="70"/>
      <c r="AM179" s="24"/>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c r="BQ179" s="70"/>
      <c r="BR179" s="70"/>
      <c r="BS179" s="70"/>
      <c r="BT179" s="70"/>
      <c r="BU179" s="70"/>
      <c r="BV179" s="70"/>
      <c r="BW179" s="70"/>
      <c r="BX179" s="70"/>
      <c r="BY179" s="70"/>
    </row>
    <row r="180" ht="15.75" customHeight="1">
      <c r="A180" s="8">
        <v>656.0</v>
      </c>
      <c r="B180" s="163" t="s">
        <v>981</v>
      </c>
      <c r="C180" s="167" t="s">
        <v>48</v>
      </c>
      <c r="D180" s="163" t="s">
        <v>112</v>
      </c>
      <c r="E180" s="163" t="s">
        <v>112</v>
      </c>
      <c r="F180" s="177">
        <v>42403.0</v>
      </c>
      <c r="G180" s="169">
        <v>42401.0</v>
      </c>
      <c r="H180" s="42" t="str">
        <f t="shared" si="13"/>
        <v>2016</v>
      </c>
      <c r="I180" s="8" t="s">
        <v>63</v>
      </c>
      <c r="J180" s="163" t="s">
        <v>112</v>
      </c>
      <c r="K180" s="163" t="s">
        <v>112</v>
      </c>
      <c r="L180" s="167" t="s">
        <v>100</v>
      </c>
      <c r="M180" s="168" t="s">
        <v>112</v>
      </c>
      <c r="N180" s="163" t="s">
        <v>112</v>
      </c>
      <c r="O180" s="8" t="s">
        <v>982</v>
      </c>
      <c r="P180" s="163" t="s">
        <v>106</v>
      </c>
      <c r="Q180" s="163" t="s">
        <v>112</v>
      </c>
      <c r="R180" s="167">
        <v>374610.0</v>
      </c>
      <c r="S180" s="167">
        <v>9720314.0</v>
      </c>
      <c r="T180" s="163" t="s">
        <v>112</v>
      </c>
      <c r="U180" s="163" t="s">
        <v>112</v>
      </c>
      <c r="V180" s="167" t="s">
        <v>844</v>
      </c>
      <c r="W180" s="163" t="s">
        <v>112</v>
      </c>
      <c r="X180" s="163" t="s">
        <v>112</v>
      </c>
      <c r="Y180" s="163" t="s">
        <v>112</v>
      </c>
      <c r="Z180" s="8" t="s">
        <v>69</v>
      </c>
      <c r="AA180" s="23" t="s">
        <v>115</v>
      </c>
      <c r="AB180" s="8"/>
      <c r="AC180" s="70"/>
      <c r="AD180" s="70"/>
      <c r="AE180" s="24"/>
      <c r="AF180" s="70"/>
      <c r="AG180" s="70"/>
      <c r="AH180" s="70"/>
      <c r="AI180" s="70"/>
      <c r="AJ180" s="70"/>
      <c r="AK180" s="70"/>
      <c r="AL180" s="70"/>
      <c r="AM180" s="24"/>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c r="BY180" s="70"/>
    </row>
    <row r="181" ht="15.75" customHeight="1">
      <c r="A181" s="8">
        <v>655.0</v>
      </c>
      <c r="B181" s="163" t="s">
        <v>983</v>
      </c>
      <c r="C181" s="167" t="s">
        <v>48</v>
      </c>
      <c r="D181" s="163" t="s">
        <v>112</v>
      </c>
      <c r="E181" s="163" t="s">
        <v>112</v>
      </c>
      <c r="F181" s="177">
        <v>42403.0</v>
      </c>
      <c r="G181" s="169">
        <v>42401.0</v>
      </c>
      <c r="H181" s="42" t="str">
        <f t="shared" si="13"/>
        <v>2016</v>
      </c>
      <c r="I181" s="8" t="s">
        <v>63</v>
      </c>
      <c r="J181" s="163" t="s">
        <v>112</v>
      </c>
      <c r="K181" s="163" t="s">
        <v>112</v>
      </c>
      <c r="L181" s="167" t="s">
        <v>100</v>
      </c>
      <c r="M181" s="168" t="s">
        <v>112</v>
      </c>
      <c r="N181" s="163" t="s">
        <v>112</v>
      </c>
      <c r="O181" s="8" t="s">
        <v>984</v>
      </c>
      <c r="P181" s="163" t="s">
        <v>106</v>
      </c>
      <c r="Q181" s="163" t="s">
        <v>112</v>
      </c>
      <c r="R181" s="167">
        <v>374679.0</v>
      </c>
      <c r="S181" s="167">
        <v>9720283.0</v>
      </c>
      <c r="T181" s="167" t="s">
        <v>112</v>
      </c>
      <c r="U181" s="167" t="s">
        <v>112</v>
      </c>
      <c r="V181" s="167" t="s">
        <v>844</v>
      </c>
      <c r="W181" s="163" t="s">
        <v>112</v>
      </c>
      <c r="X181" s="163" t="s">
        <v>112</v>
      </c>
      <c r="Y181" s="163" t="s">
        <v>112</v>
      </c>
      <c r="Z181" s="8" t="s">
        <v>69</v>
      </c>
      <c r="AA181" s="23" t="s">
        <v>115</v>
      </c>
      <c r="AB181" s="8"/>
      <c r="AC181" s="70"/>
      <c r="AD181" s="70"/>
      <c r="AE181" s="24"/>
      <c r="AF181" s="70"/>
      <c r="AG181" s="70"/>
      <c r="AH181" s="70"/>
      <c r="AI181" s="70"/>
      <c r="AJ181" s="70"/>
      <c r="AK181" s="70"/>
      <c r="AL181" s="70"/>
      <c r="AM181" s="24"/>
      <c r="AN181" s="70"/>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c r="BQ181" s="70"/>
      <c r="BR181" s="70"/>
      <c r="BS181" s="70"/>
      <c r="BT181" s="70"/>
      <c r="BU181" s="70"/>
      <c r="BV181" s="70"/>
      <c r="BW181" s="70"/>
      <c r="BX181" s="70"/>
      <c r="BY181" s="70"/>
    </row>
    <row r="182" ht="15.75" customHeight="1">
      <c r="A182" s="8">
        <v>654.0</v>
      </c>
      <c r="B182" s="163" t="s">
        <v>985</v>
      </c>
      <c r="C182" s="167" t="s">
        <v>48</v>
      </c>
      <c r="D182" s="163" t="s">
        <v>112</v>
      </c>
      <c r="E182" s="163" t="s">
        <v>112</v>
      </c>
      <c r="F182" s="177">
        <v>42403.0</v>
      </c>
      <c r="G182" s="169">
        <v>42401.0</v>
      </c>
      <c r="H182" s="42" t="str">
        <f t="shared" si="13"/>
        <v>2016</v>
      </c>
      <c r="I182" s="8" t="s">
        <v>63</v>
      </c>
      <c r="J182" s="163" t="s">
        <v>112</v>
      </c>
      <c r="K182" s="163" t="s">
        <v>112</v>
      </c>
      <c r="L182" s="167" t="s">
        <v>100</v>
      </c>
      <c r="M182" s="168" t="s">
        <v>112</v>
      </c>
      <c r="N182" s="163" t="s">
        <v>112</v>
      </c>
      <c r="O182" s="23" t="s">
        <v>986</v>
      </c>
      <c r="P182" s="163" t="s">
        <v>106</v>
      </c>
      <c r="Q182" s="163" t="s">
        <v>112</v>
      </c>
      <c r="R182" s="167">
        <v>374701.0</v>
      </c>
      <c r="S182" s="167">
        <v>9720158.0</v>
      </c>
      <c r="T182" s="167" t="s">
        <v>112</v>
      </c>
      <c r="U182" s="167" t="s">
        <v>112</v>
      </c>
      <c r="V182" s="167" t="s">
        <v>844</v>
      </c>
      <c r="W182" s="163" t="s">
        <v>112</v>
      </c>
      <c r="X182" s="163" t="s">
        <v>112</v>
      </c>
      <c r="Y182" s="163" t="s">
        <v>112</v>
      </c>
      <c r="Z182" s="8" t="s">
        <v>69</v>
      </c>
      <c r="AA182" s="23" t="s">
        <v>115</v>
      </c>
      <c r="AB182" s="8"/>
      <c r="AC182" s="70"/>
      <c r="AD182" s="70"/>
      <c r="AE182" s="24"/>
      <c r="AF182" s="70"/>
      <c r="AG182" s="70"/>
      <c r="AH182" s="70"/>
      <c r="AI182" s="70"/>
      <c r="AJ182" s="70"/>
      <c r="AK182" s="70"/>
      <c r="AL182" s="70"/>
      <c r="AM182" s="24"/>
      <c r="AN182" s="70"/>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c r="BT182" s="70"/>
      <c r="BU182" s="70"/>
      <c r="BV182" s="70"/>
      <c r="BW182" s="70"/>
      <c r="BX182" s="70"/>
      <c r="BY182" s="70"/>
    </row>
    <row r="183" ht="15.75" customHeight="1">
      <c r="A183" s="8">
        <v>668.0</v>
      </c>
      <c r="B183" s="163" t="s">
        <v>987</v>
      </c>
      <c r="C183" s="167" t="s">
        <v>48</v>
      </c>
      <c r="D183" s="163" t="s">
        <v>112</v>
      </c>
      <c r="E183" s="163" t="s">
        <v>112</v>
      </c>
      <c r="F183" s="177">
        <v>42412.0</v>
      </c>
      <c r="G183" s="169">
        <v>42401.0</v>
      </c>
      <c r="H183" s="42" t="str">
        <f t="shared" si="13"/>
        <v>2016</v>
      </c>
      <c r="I183" s="8" t="s">
        <v>63</v>
      </c>
      <c r="J183" s="163" t="s">
        <v>112</v>
      </c>
      <c r="K183" s="163" t="s">
        <v>112</v>
      </c>
      <c r="L183" s="167" t="s">
        <v>100</v>
      </c>
      <c r="M183" s="178" t="s">
        <v>112</v>
      </c>
      <c r="N183" s="163" t="s">
        <v>112</v>
      </c>
      <c r="O183" s="8" t="s">
        <v>988</v>
      </c>
      <c r="P183" s="163" t="s">
        <v>106</v>
      </c>
      <c r="Q183" s="163" t="s">
        <v>112</v>
      </c>
      <c r="R183" s="181">
        <v>374810.0</v>
      </c>
      <c r="S183" s="181">
        <v>9720299.0</v>
      </c>
      <c r="T183" s="167" t="s">
        <v>112</v>
      </c>
      <c r="U183" s="167" t="s">
        <v>112</v>
      </c>
      <c r="V183" s="167" t="s">
        <v>112</v>
      </c>
      <c r="W183" s="163" t="s">
        <v>112</v>
      </c>
      <c r="X183" s="163" t="s">
        <v>112</v>
      </c>
      <c r="Y183" s="163" t="s">
        <v>112</v>
      </c>
      <c r="Z183" s="8" t="s">
        <v>69</v>
      </c>
      <c r="AA183" s="23" t="s">
        <v>115</v>
      </c>
      <c r="AB183" s="8" t="s">
        <v>374</v>
      </c>
      <c r="AC183" s="70"/>
      <c r="AD183" s="70"/>
      <c r="AE183" s="24"/>
      <c r="AF183" s="70"/>
      <c r="AG183" s="70"/>
      <c r="AH183" s="70"/>
      <c r="AI183" s="70"/>
      <c r="AJ183" s="70"/>
      <c r="AK183" s="70"/>
      <c r="AL183" s="70"/>
      <c r="AM183" s="24"/>
      <c r="AN183" s="70"/>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c r="BU183" s="70"/>
      <c r="BV183" s="70"/>
      <c r="BW183" s="70"/>
      <c r="BX183" s="70"/>
      <c r="BY183" s="70"/>
    </row>
    <row r="184" ht="15.75" customHeight="1">
      <c r="A184" s="8">
        <v>667.0</v>
      </c>
      <c r="B184" s="163" t="s">
        <v>989</v>
      </c>
      <c r="C184" s="167" t="s">
        <v>48</v>
      </c>
      <c r="D184" s="163" t="s">
        <v>112</v>
      </c>
      <c r="E184" s="163" t="s">
        <v>112</v>
      </c>
      <c r="F184" s="177">
        <v>42412.0</v>
      </c>
      <c r="G184" s="169">
        <v>42401.0</v>
      </c>
      <c r="H184" s="42" t="str">
        <f t="shared" si="13"/>
        <v>2016</v>
      </c>
      <c r="I184" s="8" t="s">
        <v>63</v>
      </c>
      <c r="J184" s="163" t="s">
        <v>112</v>
      </c>
      <c r="K184" s="163" t="s">
        <v>112</v>
      </c>
      <c r="L184" s="167" t="s">
        <v>100</v>
      </c>
      <c r="M184" s="178" t="s">
        <v>112</v>
      </c>
      <c r="N184" s="163" t="s">
        <v>112</v>
      </c>
      <c r="O184" s="8" t="s">
        <v>990</v>
      </c>
      <c r="P184" s="163" t="s">
        <v>106</v>
      </c>
      <c r="Q184" s="163" t="s">
        <v>112</v>
      </c>
      <c r="R184" s="181">
        <v>374832.0</v>
      </c>
      <c r="S184" s="181">
        <v>9720343.0</v>
      </c>
      <c r="T184" s="167" t="s">
        <v>112</v>
      </c>
      <c r="U184" s="167" t="s">
        <v>112</v>
      </c>
      <c r="V184" s="167" t="s">
        <v>112</v>
      </c>
      <c r="W184" s="163" t="s">
        <v>112</v>
      </c>
      <c r="X184" s="163" t="s">
        <v>112</v>
      </c>
      <c r="Y184" s="163" t="s">
        <v>112</v>
      </c>
      <c r="Z184" s="8" t="s">
        <v>69</v>
      </c>
      <c r="AA184" s="23" t="s">
        <v>115</v>
      </c>
      <c r="AB184" s="8" t="s">
        <v>373</v>
      </c>
      <c r="AC184" s="70"/>
      <c r="AD184" s="70"/>
      <c r="AE184" s="24"/>
      <c r="AF184" s="70"/>
      <c r="AG184" s="70"/>
      <c r="AH184" s="70"/>
      <c r="AI184" s="70"/>
      <c r="AJ184" s="70"/>
      <c r="AK184" s="70"/>
      <c r="AL184" s="70"/>
      <c r="AM184" s="24"/>
      <c r="AN184" s="70"/>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c r="BW184" s="70"/>
      <c r="BX184" s="70"/>
      <c r="BY184" s="70"/>
    </row>
    <row r="185" ht="15.75" customHeight="1">
      <c r="A185" s="8">
        <v>669.0</v>
      </c>
      <c r="B185" s="163" t="s">
        <v>991</v>
      </c>
      <c r="C185" s="167" t="s">
        <v>48</v>
      </c>
      <c r="D185" s="163" t="s">
        <v>112</v>
      </c>
      <c r="E185" s="163" t="s">
        <v>112</v>
      </c>
      <c r="F185" s="177">
        <v>42412.0</v>
      </c>
      <c r="G185" s="169">
        <v>42401.0</v>
      </c>
      <c r="H185" s="42" t="str">
        <f t="shared" si="13"/>
        <v>2016</v>
      </c>
      <c r="I185" s="8" t="s">
        <v>63</v>
      </c>
      <c r="J185" s="163" t="s">
        <v>112</v>
      </c>
      <c r="K185" s="163" t="s">
        <v>112</v>
      </c>
      <c r="L185" s="167" t="s">
        <v>100</v>
      </c>
      <c r="M185" s="178" t="s">
        <v>112</v>
      </c>
      <c r="N185" s="163" t="s">
        <v>112</v>
      </c>
      <c r="O185" s="8" t="s">
        <v>992</v>
      </c>
      <c r="P185" s="163" t="s">
        <v>106</v>
      </c>
      <c r="Q185" s="163" t="s">
        <v>112</v>
      </c>
      <c r="R185" s="181">
        <v>374861.0</v>
      </c>
      <c r="S185" s="181">
        <v>9720185.0</v>
      </c>
      <c r="T185" s="167" t="s">
        <v>112</v>
      </c>
      <c r="U185" s="167" t="s">
        <v>112</v>
      </c>
      <c r="V185" s="167" t="s">
        <v>112</v>
      </c>
      <c r="W185" s="163" t="s">
        <v>112</v>
      </c>
      <c r="X185" s="163" t="s">
        <v>112</v>
      </c>
      <c r="Y185" s="163" t="s">
        <v>112</v>
      </c>
      <c r="Z185" s="8" t="s">
        <v>69</v>
      </c>
      <c r="AA185" s="23" t="s">
        <v>115</v>
      </c>
      <c r="AB185" s="8" t="s">
        <v>375</v>
      </c>
      <c r="AC185" s="70"/>
      <c r="AD185" s="70"/>
      <c r="AE185" s="24"/>
      <c r="AF185" s="70"/>
      <c r="AG185" s="70"/>
      <c r="AH185" s="70"/>
      <c r="AI185" s="70"/>
      <c r="AJ185" s="70"/>
      <c r="AK185" s="70"/>
      <c r="AL185" s="70"/>
      <c r="AM185" s="24"/>
      <c r="AN185" s="70"/>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c r="BY185" s="70"/>
    </row>
    <row r="186" ht="15.75" customHeight="1">
      <c r="A186" s="8">
        <v>666.0</v>
      </c>
      <c r="B186" s="163" t="s">
        <v>993</v>
      </c>
      <c r="C186" s="167" t="s">
        <v>48</v>
      </c>
      <c r="D186" s="163" t="s">
        <v>112</v>
      </c>
      <c r="E186" s="163" t="s">
        <v>112</v>
      </c>
      <c r="F186" s="177">
        <v>42412.0</v>
      </c>
      <c r="G186" s="169">
        <v>42401.0</v>
      </c>
      <c r="H186" s="42" t="str">
        <f t="shared" si="13"/>
        <v>2016</v>
      </c>
      <c r="I186" s="8" t="s">
        <v>63</v>
      </c>
      <c r="J186" s="163" t="s">
        <v>112</v>
      </c>
      <c r="K186" s="163" t="s">
        <v>112</v>
      </c>
      <c r="L186" s="167" t="s">
        <v>100</v>
      </c>
      <c r="M186" s="178" t="s">
        <v>112</v>
      </c>
      <c r="N186" s="163" t="s">
        <v>112</v>
      </c>
      <c r="O186" s="8" t="s">
        <v>994</v>
      </c>
      <c r="P186" s="163" t="s">
        <v>106</v>
      </c>
      <c r="Q186" s="163" t="s">
        <v>112</v>
      </c>
      <c r="R186" s="181">
        <v>374898.0</v>
      </c>
      <c r="S186" s="181">
        <v>9720331.0</v>
      </c>
      <c r="T186" s="167" t="s">
        <v>112</v>
      </c>
      <c r="U186" s="167" t="s">
        <v>112</v>
      </c>
      <c r="V186" s="167" t="s">
        <v>112</v>
      </c>
      <c r="W186" s="163" t="s">
        <v>112</v>
      </c>
      <c r="X186" s="163" t="s">
        <v>112</v>
      </c>
      <c r="Y186" s="163" t="s">
        <v>112</v>
      </c>
      <c r="Z186" s="8" t="s">
        <v>69</v>
      </c>
      <c r="AA186" s="23" t="s">
        <v>115</v>
      </c>
      <c r="AB186" s="8" t="s">
        <v>371</v>
      </c>
      <c r="AC186" s="70"/>
      <c r="AD186" s="70"/>
      <c r="AE186" s="24"/>
      <c r="AF186" s="70"/>
      <c r="AG186" s="70"/>
      <c r="AH186" s="70"/>
      <c r="AI186" s="70"/>
      <c r="AJ186" s="70"/>
      <c r="AK186" s="70"/>
      <c r="AL186" s="70"/>
      <c r="AM186" s="24"/>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c r="BY186" s="70"/>
    </row>
    <row r="187" ht="15.75" customHeight="1">
      <c r="A187" s="8">
        <v>670.0</v>
      </c>
      <c r="B187" s="163" t="s">
        <v>995</v>
      </c>
      <c r="C187" s="167" t="s">
        <v>48</v>
      </c>
      <c r="D187" s="163" t="s">
        <v>112</v>
      </c>
      <c r="E187" s="163" t="s">
        <v>112</v>
      </c>
      <c r="F187" s="177">
        <v>42412.0</v>
      </c>
      <c r="G187" s="169">
        <v>42401.0</v>
      </c>
      <c r="H187" s="42" t="str">
        <f t="shared" si="13"/>
        <v>2016</v>
      </c>
      <c r="I187" s="8" t="s">
        <v>63</v>
      </c>
      <c r="J187" s="163" t="s">
        <v>112</v>
      </c>
      <c r="K187" s="163" t="s">
        <v>112</v>
      </c>
      <c r="L187" s="167" t="s">
        <v>100</v>
      </c>
      <c r="M187" s="178" t="s">
        <v>112</v>
      </c>
      <c r="N187" s="163" t="s">
        <v>112</v>
      </c>
      <c r="O187" s="8" t="s">
        <v>996</v>
      </c>
      <c r="P187" s="163" t="s">
        <v>106</v>
      </c>
      <c r="Q187" s="163" t="s">
        <v>112</v>
      </c>
      <c r="R187" s="181">
        <v>374904.0</v>
      </c>
      <c r="S187" s="181">
        <v>9720199.0</v>
      </c>
      <c r="T187" s="167" t="s">
        <v>112</v>
      </c>
      <c r="U187" s="167" t="s">
        <v>112</v>
      </c>
      <c r="V187" s="167" t="s">
        <v>112</v>
      </c>
      <c r="W187" s="163" t="s">
        <v>112</v>
      </c>
      <c r="X187" s="163" t="s">
        <v>112</v>
      </c>
      <c r="Y187" s="163" t="s">
        <v>112</v>
      </c>
      <c r="Z187" s="8" t="s">
        <v>69</v>
      </c>
      <c r="AA187" s="23" t="s">
        <v>115</v>
      </c>
      <c r="AB187" s="8" t="s">
        <v>376</v>
      </c>
      <c r="AC187" s="70"/>
      <c r="AD187" s="70"/>
      <c r="AE187" s="24"/>
      <c r="AF187" s="70"/>
      <c r="AG187" s="70"/>
      <c r="AH187" s="70"/>
      <c r="AI187" s="70"/>
      <c r="AJ187" s="70"/>
      <c r="AK187" s="70"/>
      <c r="AL187" s="70"/>
      <c r="AM187" s="24"/>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row>
    <row r="188" ht="15.75" customHeight="1">
      <c r="A188" s="8">
        <v>664.0</v>
      </c>
      <c r="B188" s="163" t="s">
        <v>997</v>
      </c>
      <c r="C188" s="167" t="s">
        <v>48</v>
      </c>
      <c r="D188" s="163" t="s">
        <v>112</v>
      </c>
      <c r="E188" s="163" t="s">
        <v>112</v>
      </c>
      <c r="F188" s="180">
        <v>42404.0</v>
      </c>
      <c r="G188" s="169">
        <v>42401.0</v>
      </c>
      <c r="H188" s="42" t="str">
        <f t="shared" si="13"/>
        <v>2016</v>
      </c>
      <c r="I188" s="8" t="s">
        <v>63</v>
      </c>
      <c r="J188" s="163" t="s">
        <v>112</v>
      </c>
      <c r="K188" s="163" t="s">
        <v>112</v>
      </c>
      <c r="L188" s="167" t="s">
        <v>100</v>
      </c>
      <c r="M188" s="168" t="s">
        <v>112</v>
      </c>
      <c r="N188" s="163" t="s">
        <v>112</v>
      </c>
      <c r="O188" s="8" t="s">
        <v>998</v>
      </c>
      <c r="P188" s="163" t="s">
        <v>106</v>
      </c>
      <c r="Q188" s="163" t="s">
        <v>112</v>
      </c>
      <c r="R188" s="167">
        <v>374915.0</v>
      </c>
      <c r="S188" s="167">
        <v>9720263.0</v>
      </c>
      <c r="T188" s="167" t="s">
        <v>112</v>
      </c>
      <c r="U188" s="167" t="s">
        <v>112</v>
      </c>
      <c r="V188" s="167" t="s">
        <v>844</v>
      </c>
      <c r="W188" s="163" t="s">
        <v>112</v>
      </c>
      <c r="X188" s="163" t="s">
        <v>112</v>
      </c>
      <c r="Y188" s="163" t="s">
        <v>112</v>
      </c>
      <c r="Z188" s="8" t="s">
        <v>69</v>
      </c>
      <c r="AA188" s="23" t="s">
        <v>115</v>
      </c>
      <c r="AB188" s="8"/>
      <c r="AC188" s="70"/>
      <c r="AD188" s="70"/>
      <c r="AE188" s="24"/>
      <c r="AF188" s="70"/>
      <c r="AG188" s="70"/>
      <c r="AH188" s="70"/>
      <c r="AI188" s="70"/>
      <c r="AJ188" s="70"/>
      <c r="AK188" s="70"/>
      <c r="AL188" s="70"/>
      <c r="AM188" s="24"/>
      <c r="AN188" s="70"/>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c r="BY188" s="70"/>
    </row>
    <row r="189" ht="15.75" customHeight="1">
      <c r="A189" s="8">
        <v>87.0</v>
      </c>
      <c r="B189" s="146" t="s">
        <v>999</v>
      </c>
      <c r="C189" s="128" t="s">
        <v>50</v>
      </c>
      <c r="D189" s="128" t="s">
        <v>694</v>
      </c>
      <c r="E189" s="147" t="s">
        <v>726</v>
      </c>
      <c r="F189" s="182">
        <v>43775.0</v>
      </c>
      <c r="G189" s="146" t="s">
        <v>112</v>
      </c>
      <c r="H189" s="28" t="s">
        <v>112</v>
      </c>
      <c r="I189" s="8" t="s">
        <v>1000</v>
      </c>
      <c r="J189" s="128" t="s">
        <v>112</v>
      </c>
      <c r="K189" s="141" t="s">
        <v>164</v>
      </c>
      <c r="L189" s="146" t="s">
        <v>100</v>
      </c>
      <c r="M189" s="128" t="s">
        <v>150</v>
      </c>
      <c r="N189" s="128" t="s">
        <v>1001</v>
      </c>
      <c r="O189" s="8"/>
      <c r="P189" s="128" t="s">
        <v>106</v>
      </c>
      <c r="Q189" s="128">
        <v>188.0</v>
      </c>
      <c r="R189" s="128">
        <v>375871.0</v>
      </c>
      <c r="S189" s="128">
        <v>9733827.0</v>
      </c>
      <c r="T189" s="128"/>
      <c r="U189" s="128"/>
      <c r="V189" s="128" t="s">
        <v>737</v>
      </c>
      <c r="W189" s="128" t="s">
        <v>112</v>
      </c>
      <c r="X189" s="128" t="s">
        <v>112</v>
      </c>
      <c r="Y189" s="128" t="s">
        <v>112</v>
      </c>
      <c r="Z189" s="23" t="s">
        <v>42</v>
      </c>
      <c r="AA189" s="23" t="s">
        <v>115</v>
      </c>
      <c r="AB189" s="8" t="s">
        <v>263</v>
      </c>
      <c r="AC189" s="70"/>
      <c r="AD189" s="70"/>
      <c r="AE189" s="24"/>
      <c r="AF189" s="70"/>
      <c r="AG189" s="70"/>
      <c r="AH189" s="70"/>
      <c r="AI189" s="70"/>
      <c r="AJ189" s="70"/>
      <c r="AK189" s="70"/>
      <c r="AL189" s="70"/>
      <c r="AM189" s="24"/>
      <c r="AN189" s="70"/>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c r="BY189" s="70"/>
    </row>
    <row r="190" ht="15.75" customHeight="1">
      <c r="A190" s="8">
        <v>86.0</v>
      </c>
      <c r="B190" s="146" t="s">
        <v>1002</v>
      </c>
      <c r="C190" s="128" t="s">
        <v>50</v>
      </c>
      <c r="D190" s="128" t="s">
        <v>694</v>
      </c>
      <c r="E190" s="147" t="s">
        <v>726</v>
      </c>
      <c r="F190" s="182">
        <v>43775.0</v>
      </c>
      <c r="G190" s="146" t="s">
        <v>112</v>
      </c>
      <c r="H190" s="28" t="s">
        <v>112</v>
      </c>
      <c r="I190" s="8" t="s">
        <v>97</v>
      </c>
      <c r="J190" s="128" t="s">
        <v>112</v>
      </c>
      <c r="K190" s="141" t="s">
        <v>164</v>
      </c>
      <c r="L190" s="146" t="s">
        <v>100</v>
      </c>
      <c r="M190" s="128" t="s">
        <v>150</v>
      </c>
      <c r="N190" s="128" t="s">
        <v>1003</v>
      </c>
      <c r="O190" s="8"/>
      <c r="P190" s="128" t="s">
        <v>106</v>
      </c>
      <c r="Q190" s="128">
        <v>189.0</v>
      </c>
      <c r="R190" s="128">
        <v>375875.0</v>
      </c>
      <c r="S190" s="128">
        <v>9733785.0</v>
      </c>
      <c r="T190" s="128"/>
      <c r="U190" s="128"/>
      <c r="V190" s="128" t="s">
        <v>737</v>
      </c>
      <c r="W190" s="128" t="s">
        <v>112</v>
      </c>
      <c r="X190" s="128" t="s">
        <v>112</v>
      </c>
      <c r="Y190" s="128" t="s">
        <v>112</v>
      </c>
      <c r="Z190" s="23" t="s">
        <v>42</v>
      </c>
      <c r="AA190" s="23" t="s">
        <v>115</v>
      </c>
      <c r="AB190" s="8" t="s">
        <v>263</v>
      </c>
      <c r="AC190" s="70"/>
      <c r="AD190" s="70"/>
      <c r="AE190" s="24"/>
      <c r="AF190" s="70"/>
      <c r="AG190" s="70"/>
      <c r="AH190" s="70"/>
      <c r="AI190" s="70"/>
      <c r="AJ190" s="70"/>
      <c r="AK190" s="70"/>
      <c r="AL190" s="70"/>
      <c r="AM190" s="24"/>
      <c r="AN190" s="70"/>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c r="BY190" s="70"/>
    </row>
    <row r="191" ht="15.75" customHeight="1">
      <c r="A191" s="8">
        <v>123.0</v>
      </c>
      <c r="B191" s="146" t="s">
        <v>1004</v>
      </c>
      <c r="C191" s="128" t="s">
        <v>50</v>
      </c>
      <c r="D191" s="128" t="s">
        <v>694</v>
      </c>
      <c r="E191" s="128" t="s">
        <v>1005</v>
      </c>
      <c r="F191" s="146" t="s">
        <v>1006</v>
      </c>
      <c r="G191" s="146" t="s">
        <v>112</v>
      </c>
      <c r="H191" s="28" t="s">
        <v>112</v>
      </c>
      <c r="I191" s="8" t="s">
        <v>97</v>
      </c>
      <c r="J191" s="128" t="s">
        <v>158</v>
      </c>
      <c r="K191" s="128" t="s">
        <v>164</v>
      </c>
      <c r="L191" s="146" t="s">
        <v>100</v>
      </c>
      <c r="M191" s="128" t="s">
        <v>150</v>
      </c>
      <c r="N191" s="128" t="s">
        <v>1007</v>
      </c>
      <c r="O191" s="8" t="s">
        <v>1008</v>
      </c>
      <c r="P191" s="128" t="s">
        <v>106</v>
      </c>
      <c r="Q191" s="128" t="s">
        <v>112</v>
      </c>
      <c r="R191" s="128">
        <v>383917.0</v>
      </c>
      <c r="S191" s="128">
        <v>9700510.0</v>
      </c>
      <c r="T191" s="128" t="s">
        <v>112</v>
      </c>
      <c r="U191" s="128" t="s">
        <v>112</v>
      </c>
      <c r="V191" s="128" t="s">
        <v>1009</v>
      </c>
      <c r="W191" s="128" t="s">
        <v>1010</v>
      </c>
      <c r="X191" s="128">
        <v>1.0</v>
      </c>
      <c r="Y191" s="141" t="s">
        <v>1011</v>
      </c>
      <c r="Z191" s="23" t="s">
        <v>42</v>
      </c>
      <c r="AA191" s="23" t="s">
        <v>115</v>
      </c>
      <c r="AB191" s="8" t="s">
        <v>386</v>
      </c>
      <c r="AC191" s="70"/>
      <c r="AD191" s="70"/>
      <c r="AE191" s="24"/>
      <c r="AF191" s="70"/>
      <c r="AG191" s="70"/>
      <c r="AH191" s="70"/>
      <c r="AI191" s="70"/>
      <c r="AJ191" s="70"/>
      <c r="AK191" s="70"/>
      <c r="AL191" s="70"/>
      <c r="AM191" s="24"/>
      <c r="AN191" s="70"/>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c r="BY191" s="70"/>
    </row>
    <row r="192" ht="15.75" customHeight="1">
      <c r="A192" s="8">
        <v>378.0</v>
      </c>
      <c r="B192" s="163" t="s">
        <v>1012</v>
      </c>
      <c r="C192" s="167" t="s">
        <v>48</v>
      </c>
      <c r="D192" s="181" t="s">
        <v>112</v>
      </c>
      <c r="E192" s="163" t="s">
        <v>112</v>
      </c>
      <c r="F192" s="172">
        <v>40184.0</v>
      </c>
      <c r="G192" s="183">
        <v>40179.0</v>
      </c>
      <c r="H192" s="42" t="str">
        <f>TEXT(G192, "yyyy")</f>
        <v>2010</v>
      </c>
      <c r="I192" s="8" t="s">
        <v>176</v>
      </c>
      <c r="J192" s="181" t="s">
        <v>112</v>
      </c>
      <c r="K192" s="141" t="s">
        <v>99</v>
      </c>
      <c r="L192" s="163" t="s">
        <v>100</v>
      </c>
      <c r="M192" s="173" t="s">
        <v>177</v>
      </c>
      <c r="N192" s="174" t="s">
        <v>1013</v>
      </c>
      <c r="O192" s="45" t="s">
        <v>1014</v>
      </c>
      <c r="P192" s="163" t="s">
        <v>106</v>
      </c>
      <c r="Q192" s="181" t="s">
        <v>112</v>
      </c>
      <c r="R192" s="175">
        <v>383929.0</v>
      </c>
      <c r="S192" s="167">
        <v>9700639.0</v>
      </c>
      <c r="T192" s="176">
        <v>-2.7079405</v>
      </c>
      <c r="U192" s="176">
        <v>-76.044201</v>
      </c>
      <c r="V192" s="167" t="s">
        <v>1015</v>
      </c>
      <c r="W192" s="181" t="s">
        <v>112</v>
      </c>
      <c r="X192" s="181" t="s">
        <v>112</v>
      </c>
      <c r="Y192" s="181" t="s">
        <v>112</v>
      </c>
      <c r="Z192" s="47" t="s">
        <v>37</v>
      </c>
      <c r="AA192" s="23" t="s">
        <v>115</v>
      </c>
      <c r="AB192" s="8" t="s">
        <v>392</v>
      </c>
      <c r="AC192" s="70"/>
      <c r="AD192" s="70"/>
      <c r="AE192" s="24"/>
      <c r="AF192" s="70"/>
      <c r="AG192" s="70"/>
      <c r="AH192" s="70"/>
      <c r="AI192" s="70"/>
      <c r="AJ192" s="70"/>
      <c r="AK192" s="70"/>
      <c r="AL192" s="70"/>
      <c r="AM192" s="24"/>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row>
    <row r="193" ht="15.75" customHeight="1">
      <c r="A193" s="52">
        <v>936.0</v>
      </c>
      <c r="B193" s="179" t="s">
        <v>1016</v>
      </c>
      <c r="C193" s="179" t="s">
        <v>50</v>
      </c>
      <c r="D193" s="179" t="s">
        <v>694</v>
      </c>
      <c r="E193" s="179" t="s">
        <v>1005</v>
      </c>
      <c r="F193" s="179"/>
      <c r="G193" s="179" t="s">
        <v>1017</v>
      </c>
      <c r="H193" s="55">
        <v>2019.0</v>
      </c>
      <c r="I193" s="53" t="s">
        <v>97</v>
      </c>
      <c r="J193" s="179" t="s">
        <v>230</v>
      </c>
      <c r="K193" s="179" t="s">
        <v>164</v>
      </c>
      <c r="L193" s="179" t="s">
        <v>100</v>
      </c>
      <c r="M193" s="179" t="s">
        <v>150</v>
      </c>
      <c r="N193" s="179" t="s">
        <v>1018</v>
      </c>
      <c r="O193" s="53" t="s">
        <v>1019</v>
      </c>
      <c r="P193" s="179" t="s">
        <v>106</v>
      </c>
      <c r="Q193" s="179" t="s">
        <v>112</v>
      </c>
      <c r="R193" s="184">
        <v>384144.0</v>
      </c>
      <c r="S193" s="179">
        <v>9699292.0</v>
      </c>
      <c r="T193" s="137"/>
      <c r="U193" s="134"/>
      <c r="V193" s="179" t="s">
        <v>1009</v>
      </c>
      <c r="W193" s="134"/>
      <c r="X193" s="134"/>
      <c r="Y193" s="134"/>
      <c r="Z193" s="58"/>
      <c r="AA193" s="58"/>
      <c r="AB193" s="58"/>
      <c r="AC193" s="70"/>
      <c r="AD193" s="70"/>
      <c r="AE193" s="24"/>
      <c r="AF193" s="70"/>
      <c r="AG193" s="70"/>
      <c r="AH193" s="70"/>
      <c r="AI193" s="70"/>
      <c r="AJ193" s="70"/>
      <c r="AK193" s="70"/>
      <c r="AL193" s="70"/>
      <c r="AM193" s="24"/>
      <c r="AN193" s="70"/>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row>
    <row r="194" ht="15.75" customHeight="1">
      <c r="A194" s="8">
        <v>376.0</v>
      </c>
      <c r="B194" s="163" t="s">
        <v>1020</v>
      </c>
      <c r="C194" s="167" t="s">
        <v>58</v>
      </c>
      <c r="D194" s="163" t="s">
        <v>511</v>
      </c>
      <c r="E194" s="163" t="s">
        <v>112</v>
      </c>
      <c r="F194" s="173" t="s">
        <v>1021</v>
      </c>
      <c r="G194" s="169">
        <v>40057.0</v>
      </c>
      <c r="H194" s="50" t="str">
        <f t="shared" ref="H194:H195" si="14">TEXT(G194, "yyyy")</f>
        <v>2009</v>
      </c>
      <c r="I194" s="8" t="s">
        <v>176</v>
      </c>
      <c r="J194" s="163" t="s">
        <v>112</v>
      </c>
      <c r="K194" s="141" t="s">
        <v>99</v>
      </c>
      <c r="L194" s="158" t="s">
        <v>100</v>
      </c>
      <c r="M194" s="158" t="s">
        <v>177</v>
      </c>
      <c r="N194" s="170" t="s">
        <v>1022</v>
      </c>
      <c r="O194" s="45" t="s">
        <v>1023</v>
      </c>
      <c r="P194" s="163" t="s">
        <v>106</v>
      </c>
      <c r="Q194" s="163" t="s">
        <v>112</v>
      </c>
      <c r="R194" s="175">
        <v>384202.0</v>
      </c>
      <c r="S194" s="167">
        <v>9700702.0</v>
      </c>
      <c r="T194" s="176">
        <v>-2.7073727</v>
      </c>
      <c r="U194" s="176">
        <v>-76.041744</v>
      </c>
      <c r="V194" s="167" t="s">
        <v>1024</v>
      </c>
      <c r="W194" s="163" t="s">
        <v>112</v>
      </c>
      <c r="X194" s="163" t="s">
        <v>112</v>
      </c>
      <c r="Y194" s="163" t="s">
        <v>112</v>
      </c>
      <c r="Z194" s="47" t="s">
        <v>37</v>
      </c>
      <c r="AA194" s="23" t="s">
        <v>115</v>
      </c>
      <c r="AB194" s="8" t="s">
        <v>392</v>
      </c>
      <c r="AC194" s="70"/>
      <c r="AD194" s="70"/>
      <c r="AE194" s="24"/>
      <c r="AF194" s="70"/>
      <c r="AG194" s="70"/>
      <c r="AH194" s="70"/>
      <c r="AI194" s="70"/>
      <c r="AJ194" s="70"/>
      <c r="AK194" s="70"/>
      <c r="AL194" s="70"/>
      <c r="AM194" s="24"/>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row>
    <row r="195" ht="15.75" customHeight="1">
      <c r="A195" s="8">
        <v>439.0</v>
      </c>
      <c r="B195" s="163" t="s">
        <v>1025</v>
      </c>
      <c r="C195" s="167" t="s">
        <v>48</v>
      </c>
      <c r="D195" s="163" t="s">
        <v>112</v>
      </c>
      <c r="E195" s="163" t="s">
        <v>112</v>
      </c>
      <c r="F195" s="172">
        <v>40239.0</v>
      </c>
      <c r="G195" s="169">
        <v>40238.0</v>
      </c>
      <c r="H195" s="42" t="str">
        <f t="shared" si="14"/>
        <v>2010</v>
      </c>
      <c r="I195" s="8" t="s">
        <v>176</v>
      </c>
      <c r="J195" s="163" t="s">
        <v>112</v>
      </c>
      <c r="K195" s="141" t="s">
        <v>99</v>
      </c>
      <c r="L195" s="167" t="s">
        <v>100</v>
      </c>
      <c r="M195" s="173" t="s">
        <v>177</v>
      </c>
      <c r="N195" s="174" t="s">
        <v>1026</v>
      </c>
      <c r="O195" s="45" t="s">
        <v>1014</v>
      </c>
      <c r="P195" s="163" t="s">
        <v>106</v>
      </c>
      <c r="Q195" s="163" t="s">
        <v>112</v>
      </c>
      <c r="R195" s="175">
        <v>384717.0</v>
      </c>
      <c r="S195" s="167">
        <v>9699030.0</v>
      </c>
      <c r="T195" s="176">
        <v>-2.722501</v>
      </c>
      <c r="U195" s="176">
        <v>-76.037125</v>
      </c>
      <c r="V195" s="167" t="s">
        <v>1024</v>
      </c>
      <c r="W195" s="163" t="s">
        <v>112</v>
      </c>
      <c r="X195" s="163" t="s">
        <v>112</v>
      </c>
      <c r="Y195" s="163" t="s">
        <v>112</v>
      </c>
      <c r="Z195" s="47" t="s">
        <v>37</v>
      </c>
      <c r="AA195" s="23" t="s">
        <v>115</v>
      </c>
      <c r="AB195" s="8" t="s">
        <v>392</v>
      </c>
      <c r="AC195" s="70"/>
      <c r="AD195" s="70"/>
      <c r="AE195" s="24"/>
      <c r="AF195" s="70"/>
      <c r="AG195" s="70"/>
      <c r="AH195" s="70"/>
      <c r="AI195" s="70"/>
      <c r="AJ195" s="70"/>
      <c r="AK195" s="70"/>
      <c r="AL195" s="70"/>
      <c r="AM195" s="24"/>
      <c r="AN195" s="70"/>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c r="BY195" s="70"/>
    </row>
    <row r="196" ht="15.75" customHeight="1">
      <c r="A196" s="8">
        <v>1.0</v>
      </c>
      <c r="B196" s="146" t="s">
        <v>1027</v>
      </c>
      <c r="C196" s="128" t="s">
        <v>50</v>
      </c>
      <c r="D196" s="128" t="s">
        <v>694</v>
      </c>
      <c r="E196" s="128" t="s">
        <v>1005</v>
      </c>
      <c r="F196" s="182">
        <v>42954.0</v>
      </c>
      <c r="G196" s="146" t="s">
        <v>112</v>
      </c>
      <c r="H196" s="28" t="s">
        <v>112</v>
      </c>
      <c r="I196" s="8" t="s">
        <v>1000</v>
      </c>
      <c r="J196" s="128" t="s">
        <v>40</v>
      </c>
      <c r="K196" s="128" t="s">
        <v>164</v>
      </c>
      <c r="L196" s="146" t="s">
        <v>100</v>
      </c>
      <c r="M196" s="128" t="s">
        <v>150</v>
      </c>
      <c r="N196" s="128" t="s">
        <v>1028</v>
      </c>
      <c r="O196" s="8" t="s">
        <v>1029</v>
      </c>
      <c r="P196" s="128" t="s">
        <v>106</v>
      </c>
      <c r="Q196" s="128">
        <v>184.0</v>
      </c>
      <c r="R196" s="128">
        <v>385065.0</v>
      </c>
      <c r="S196" s="128">
        <v>9701432.0</v>
      </c>
      <c r="T196" s="128" t="s">
        <v>112</v>
      </c>
      <c r="U196" s="128" t="s">
        <v>112</v>
      </c>
      <c r="V196" s="128" t="s">
        <v>1009</v>
      </c>
      <c r="W196" s="128" t="s">
        <v>1010</v>
      </c>
      <c r="X196" s="128">
        <v>1.0</v>
      </c>
      <c r="Y196" s="128" t="s">
        <v>112</v>
      </c>
      <c r="Z196" s="23" t="s">
        <v>42</v>
      </c>
      <c r="AA196" s="23" t="s">
        <v>115</v>
      </c>
      <c r="AB196" s="23" t="s">
        <v>112</v>
      </c>
      <c r="AC196" s="70"/>
      <c r="AD196" s="70"/>
      <c r="AE196" s="24"/>
      <c r="AF196" s="70"/>
      <c r="AG196" s="70"/>
      <c r="AH196" s="70"/>
      <c r="AI196" s="70"/>
      <c r="AJ196" s="70"/>
      <c r="AK196" s="70"/>
      <c r="AL196" s="70"/>
      <c r="AM196" s="24"/>
      <c r="AN196" s="70"/>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c r="BY196" s="70"/>
    </row>
    <row r="197" ht="15.75" customHeight="1">
      <c r="A197" s="8">
        <v>269.0</v>
      </c>
      <c r="B197" s="163" t="s">
        <v>1030</v>
      </c>
      <c r="C197" s="167" t="s">
        <v>48</v>
      </c>
      <c r="D197" s="163" t="s">
        <v>112</v>
      </c>
      <c r="E197" s="163" t="s">
        <v>112</v>
      </c>
      <c r="F197" s="173">
        <v>39378.0</v>
      </c>
      <c r="G197" s="169">
        <v>39356.0</v>
      </c>
      <c r="H197" s="42" t="str">
        <f>TEXT(G197, "yyyy")</f>
        <v>2007</v>
      </c>
      <c r="I197" s="8" t="s">
        <v>846</v>
      </c>
      <c r="J197" s="163" t="s">
        <v>112</v>
      </c>
      <c r="K197" s="163" t="s">
        <v>112</v>
      </c>
      <c r="L197" s="167" t="s">
        <v>100</v>
      </c>
      <c r="M197" s="173" t="s">
        <v>177</v>
      </c>
      <c r="N197" s="174" t="s">
        <v>112</v>
      </c>
      <c r="O197" s="45" t="s">
        <v>1031</v>
      </c>
      <c r="P197" s="163" t="s">
        <v>106</v>
      </c>
      <c r="Q197" s="163" t="s">
        <v>112</v>
      </c>
      <c r="R197" s="171">
        <v>385597.0</v>
      </c>
      <c r="S197" s="167">
        <v>9700262.0</v>
      </c>
      <c r="T197" s="163" t="s">
        <v>112</v>
      </c>
      <c r="U197" s="163" t="s">
        <v>112</v>
      </c>
      <c r="V197" s="167" t="s">
        <v>1032</v>
      </c>
      <c r="W197" s="163" t="s">
        <v>112</v>
      </c>
      <c r="X197" s="163" t="s">
        <v>112</v>
      </c>
      <c r="Y197" s="163" t="s">
        <v>112</v>
      </c>
      <c r="Z197" s="8" t="s">
        <v>36</v>
      </c>
      <c r="AA197" s="23" t="s">
        <v>144</v>
      </c>
      <c r="AB197" s="21" t="s">
        <v>391</v>
      </c>
      <c r="AC197" s="70"/>
      <c r="AD197" s="70"/>
      <c r="AE197" s="24"/>
      <c r="AF197" s="70"/>
      <c r="AG197" s="70"/>
      <c r="AH197" s="70"/>
      <c r="AI197" s="70"/>
      <c r="AJ197" s="70"/>
      <c r="AK197" s="70"/>
      <c r="AL197" s="70"/>
      <c r="AM197" s="24"/>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row>
    <row r="198" ht="15.75" customHeight="1">
      <c r="A198" s="8">
        <v>91.0</v>
      </c>
      <c r="B198" s="146" t="s">
        <v>1033</v>
      </c>
      <c r="C198" s="128" t="s">
        <v>50</v>
      </c>
      <c r="D198" s="128" t="s">
        <v>89</v>
      </c>
      <c r="E198" s="128" t="s">
        <v>1005</v>
      </c>
      <c r="F198" s="146" t="s">
        <v>112</v>
      </c>
      <c r="G198" s="146" t="s">
        <v>112</v>
      </c>
      <c r="H198" s="28" t="s">
        <v>112</v>
      </c>
      <c r="I198" s="8" t="s">
        <v>63</v>
      </c>
      <c r="J198" s="128" t="s">
        <v>112</v>
      </c>
      <c r="K198" s="128" t="s">
        <v>99</v>
      </c>
      <c r="L198" s="146" t="s">
        <v>100</v>
      </c>
      <c r="M198" s="128" t="s">
        <v>101</v>
      </c>
      <c r="N198" s="128" t="s">
        <v>1034</v>
      </c>
      <c r="O198" s="8"/>
      <c r="P198" s="128" t="s">
        <v>106</v>
      </c>
      <c r="Q198" s="128" t="s">
        <v>112</v>
      </c>
      <c r="R198" s="185">
        <v>385724.0</v>
      </c>
      <c r="S198" s="185">
        <v>9699526.0</v>
      </c>
      <c r="T198" s="128">
        <v>-2.71801528</v>
      </c>
      <c r="U198" s="128">
        <v>-76.02806022</v>
      </c>
      <c r="V198" s="128" t="s">
        <v>1009</v>
      </c>
      <c r="W198" s="128" t="s">
        <v>112</v>
      </c>
      <c r="X198" s="128" t="s">
        <v>112</v>
      </c>
      <c r="Y198" s="128" t="s">
        <v>112</v>
      </c>
      <c r="Z198" s="23" t="s">
        <v>42</v>
      </c>
      <c r="AA198" s="23" t="s">
        <v>115</v>
      </c>
      <c r="AB198" s="8" t="s">
        <v>112</v>
      </c>
      <c r="AC198" s="70"/>
      <c r="AD198" s="70"/>
      <c r="AE198" s="24"/>
      <c r="AF198" s="70"/>
      <c r="AG198" s="70"/>
      <c r="AH198" s="70"/>
      <c r="AI198" s="70"/>
      <c r="AJ198" s="70"/>
      <c r="AK198" s="70"/>
      <c r="AL198" s="70"/>
      <c r="AM198" s="24"/>
      <c r="AN198" s="70"/>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c r="BY198" s="70"/>
    </row>
    <row r="199" ht="15.75" customHeight="1">
      <c r="A199" s="8">
        <v>458.0</v>
      </c>
      <c r="B199" s="163" t="s">
        <v>1035</v>
      </c>
      <c r="C199" s="181" t="s">
        <v>58</v>
      </c>
      <c r="D199" s="181" t="s">
        <v>511</v>
      </c>
      <c r="E199" s="158" t="s">
        <v>112</v>
      </c>
      <c r="F199" s="186" t="s">
        <v>1036</v>
      </c>
      <c r="G199" s="183">
        <v>40299.0</v>
      </c>
      <c r="H199" s="50" t="str">
        <f>TEXT(G199, "yyyy")</f>
        <v>2010</v>
      </c>
      <c r="I199" s="8" t="s">
        <v>176</v>
      </c>
      <c r="J199" s="158" t="s">
        <v>112</v>
      </c>
      <c r="K199" s="141" t="s">
        <v>99</v>
      </c>
      <c r="L199" s="158" t="s">
        <v>100</v>
      </c>
      <c r="M199" s="158" t="s">
        <v>177</v>
      </c>
      <c r="N199" s="170" t="s">
        <v>1037</v>
      </c>
      <c r="O199" s="45" t="s">
        <v>1014</v>
      </c>
      <c r="P199" s="163" t="s">
        <v>106</v>
      </c>
      <c r="Q199" s="158" t="s">
        <v>112</v>
      </c>
      <c r="R199" s="156">
        <v>385842.0</v>
      </c>
      <c r="S199" s="156">
        <v>9695912.0</v>
      </c>
      <c r="T199" s="166">
        <v>-2.750714</v>
      </c>
      <c r="U199" s="166">
        <v>-76.027029</v>
      </c>
      <c r="V199" s="158" t="s">
        <v>112</v>
      </c>
      <c r="W199" s="158" t="s">
        <v>112</v>
      </c>
      <c r="X199" s="158" t="s">
        <v>112</v>
      </c>
      <c r="Y199" s="158" t="s">
        <v>112</v>
      </c>
      <c r="Z199" s="47" t="s">
        <v>37</v>
      </c>
      <c r="AA199" s="23" t="s">
        <v>115</v>
      </c>
      <c r="AB199" s="8" t="s">
        <v>181</v>
      </c>
      <c r="AC199" s="70"/>
      <c r="AD199" s="70"/>
      <c r="AE199" s="24"/>
      <c r="AF199" s="70"/>
      <c r="AG199" s="70"/>
      <c r="AH199" s="70"/>
      <c r="AI199" s="70"/>
      <c r="AJ199" s="70"/>
      <c r="AK199" s="70"/>
      <c r="AL199" s="70"/>
      <c r="AM199" s="24"/>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row>
    <row r="200" ht="15.75" customHeight="1">
      <c r="A200" s="52">
        <v>988.0</v>
      </c>
      <c r="B200" s="134" t="s">
        <v>1038</v>
      </c>
      <c r="C200" s="134" t="s">
        <v>50</v>
      </c>
      <c r="D200" s="134" t="s">
        <v>694</v>
      </c>
      <c r="E200" s="134" t="s">
        <v>1005</v>
      </c>
      <c r="F200" s="134" t="s">
        <v>1039</v>
      </c>
      <c r="G200" s="187">
        <v>44931.0</v>
      </c>
      <c r="H200" s="55">
        <v>2023.0</v>
      </c>
      <c r="I200" s="53" t="s">
        <v>97</v>
      </c>
      <c r="J200" s="134" t="s">
        <v>230</v>
      </c>
      <c r="K200" s="134" t="s">
        <v>164</v>
      </c>
      <c r="L200" s="134" t="s">
        <v>100</v>
      </c>
      <c r="M200" s="134" t="s">
        <v>485</v>
      </c>
      <c r="N200" s="134" t="s">
        <v>1040</v>
      </c>
      <c r="O200" s="58" t="s">
        <v>1041</v>
      </c>
      <c r="P200" s="134" t="s">
        <v>699</v>
      </c>
      <c r="Q200" s="134"/>
      <c r="R200" s="134">
        <v>386008.0</v>
      </c>
      <c r="S200" s="134">
        <v>9696085.0</v>
      </c>
      <c r="T200" s="137"/>
      <c r="U200" s="137"/>
      <c r="V200" s="134" t="s">
        <v>1042</v>
      </c>
      <c r="W200" s="134" t="s">
        <v>1043</v>
      </c>
      <c r="X200" s="134"/>
      <c r="Y200" s="134"/>
      <c r="Z200" s="58"/>
      <c r="AA200" s="58"/>
      <c r="AB200" s="58"/>
      <c r="AC200" s="70"/>
      <c r="AD200" s="70"/>
      <c r="AE200" s="24"/>
      <c r="AF200" s="70"/>
      <c r="AG200" s="70"/>
      <c r="AH200" s="70"/>
      <c r="AI200" s="70"/>
      <c r="AJ200" s="70"/>
      <c r="AK200" s="70"/>
      <c r="AL200" s="70"/>
      <c r="AM200" s="24"/>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c r="BY200" s="70"/>
    </row>
    <row r="201" ht="15.75" customHeight="1">
      <c r="A201" s="8">
        <v>719.0</v>
      </c>
      <c r="B201" s="188" t="s">
        <v>1044</v>
      </c>
      <c r="C201" s="167" t="s">
        <v>48</v>
      </c>
      <c r="D201" s="181" t="s">
        <v>112</v>
      </c>
      <c r="E201" s="163" t="s">
        <v>112</v>
      </c>
      <c r="F201" s="189" t="s">
        <v>1045</v>
      </c>
      <c r="G201" s="183">
        <v>42491.0</v>
      </c>
      <c r="H201" s="42" t="str">
        <f t="shared" ref="H201:H210" si="15">TEXT(G201, "yyyy")</f>
        <v>2016</v>
      </c>
      <c r="I201" s="8" t="s">
        <v>176</v>
      </c>
      <c r="J201" s="181" t="s">
        <v>112</v>
      </c>
      <c r="K201" s="181" t="s">
        <v>112</v>
      </c>
      <c r="L201" s="167" t="s">
        <v>100</v>
      </c>
      <c r="M201" s="168" t="s">
        <v>513</v>
      </c>
      <c r="N201" s="163" t="s">
        <v>1046</v>
      </c>
      <c r="O201" s="8" t="s">
        <v>1014</v>
      </c>
      <c r="P201" s="163" t="s">
        <v>106</v>
      </c>
      <c r="Q201" s="181" t="s">
        <v>112</v>
      </c>
      <c r="R201" s="167">
        <v>386013.0</v>
      </c>
      <c r="S201" s="167">
        <v>9697259.0</v>
      </c>
      <c r="T201" s="163" t="s">
        <v>112</v>
      </c>
      <c r="U201" s="163" t="s">
        <v>112</v>
      </c>
      <c r="V201" s="167" t="s">
        <v>1047</v>
      </c>
      <c r="W201" s="181" t="s">
        <v>112</v>
      </c>
      <c r="X201" s="181" t="s">
        <v>112</v>
      </c>
      <c r="Y201" s="181" t="s">
        <v>112</v>
      </c>
      <c r="Z201" s="8" t="s">
        <v>69</v>
      </c>
      <c r="AA201" s="23" t="s">
        <v>115</v>
      </c>
      <c r="AB201" s="8" t="s">
        <v>329</v>
      </c>
      <c r="AC201" s="70"/>
      <c r="AD201" s="70"/>
      <c r="AE201" s="24"/>
      <c r="AF201" s="70"/>
      <c r="AG201" s="70"/>
      <c r="AH201" s="70"/>
      <c r="AI201" s="70"/>
      <c r="AJ201" s="70"/>
      <c r="AK201" s="70"/>
      <c r="AL201" s="70"/>
      <c r="AM201" s="24"/>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c r="BY201" s="70"/>
    </row>
    <row r="202" ht="15.75" customHeight="1">
      <c r="A202" s="8">
        <v>357.0</v>
      </c>
      <c r="B202" s="163" t="s">
        <v>1048</v>
      </c>
      <c r="C202" s="163" t="s">
        <v>52</v>
      </c>
      <c r="D202" s="181" t="s">
        <v>523</v>
      </c>
      <c r="E202" s="163" t="s">
        <v>112</v>
      </c>
      <c r="F202" s="172">
        <v>39822.0</v>
      </c>
      <c r="G202" s="169">
        <v>39814.0</v>
      </c>
      <c r="H202" s="42" t="str">
        <f t="shared" si="15"/>
        <v>2009</v>
      </c>
      <c r="I202" s="8" t="s">
        <v>176</v>
      </c>
      <c r="J202" s="163" t="s">
        <v>112</v>
      </c>
      <c r="K202" s="141" t="s">
        <v>99</v>
      </c>
      <c r="L202" s="163" t="s">
        <v>100</v>
      </c>
      <c r="M202" s="181" t="s">
        <v>177</v>
      </c>
      <c r="N202" s="174" t="s">
        <v>1049</v>
      </c>
      <c r="O202" s="45" t="s">
        <v>1050</v>
      </c>
      <c r="P202" s="163" t="s">
        <v>106</v>
      </c>
      <c r="Q202" s="163" t="s">
        <v>112</v>
      </c>
      <c r="R202" s="175">
        <v>386064.0</v>
      </c>
      <c r="S202" s="167">
        <v>9696439.0</v>
      </c>
      <c r="T202" s="176">
        <v>-2.7459487</v>
      </c>
      <c r="U202" s="176">
        <v>-76.025028</v>
      </c>
      <c r="V202" s="167" t="s">
        <v>1051</v>
      </c>
      <c r="W202" s="163" t="s">
        <v>112</v>
      </c>
      <c r="X202" s="163" t="s">
        <v>112</v>
      </c>
      <c r="Y202" s="163" t="s">
        <v>112</v>
      </c>
      <c r="Z202" s="47" t="s">
        <v>37</v>
      </c>
      <c r="AA202" s="23" t="s">
        <v>115</v>
      </c>
      <c r="AB202" s="8" t="s">
        <v>392</v>
      </c>
      <c r="AC202" s="70"/>
      <c r="AD202" s="70"/>
      <c r="AE202" s="24"/>
      <c r="AF202" s="70"/>
      <c r="AG202" s="70"/>
      <c r="AH202" s="70"/>
      <c r="AI202" s="70"/>
      <c r="AJ202" s="70"/>
      <c r="AK202" s="70"/>
      <c r="AL202" s="70"/>
      <c r="AM202" s="24"/>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row>
    <row r="203" ht="15.75" customHeight="1">
      <c r="A203" s="8">
        <v>209.0</v>
      </c>
      <c r="B203" s="163" t="s">
        <v>1052</v>
      </c>
      <c r="C203" s="167" t="s">
        <v>48</v>
      </c>
      <c r="D203" s="163" t="s">
        <v>112</v>
      </c>
      <c r="E203" s="163" t="s">
        <v>112</v>
      </c>
      <c r="F203" s="173">
        <v>39034.0</v>
      </c>
      <c r="G203" s="169">
        <v>39022.0</v>
      </c>
      <c r="H203" s="42" t="str">
        <f t="shared" si="15"/>
        <v>2006</v>
      </c>
      <c r="I203" s="8" t="s">
        <v>176</v>
      </c>
      <c r="J203" s="163" t="s">
        <v>112</v>
      </c>
      <c r="K203" s="163" t="s">
        <v>112</v>
      </c>
      <c r="L203" s="167" t="s">
        <v>100</v>
      </c>
      <c r="M203" s="173" t="s">
        <v>177</v>
      </c>
      <c r="N203" s="174" t="s">
        <v>1053</v>
      </c>
      <c r="O203" s="45" t="s">
        <v>1031</v>
      </c>
      <c r="P203" s="163" t="s">
        <v>106</v>
      </c>
      <c r="Q203" s="163" t="s">
        <v>112</v>
      </c>
      <c r="R203" s="171">
        <v>386469.0</v>
      </c>
      <c r="S203" s="167">
        <v>9695064.0</v>
      </c>
      <c r="T203" s="163" t="s">
        <v>112</v>
      </c>
      <c r="U203" s="163" t="s">
        <v>112</v>
      </c>
      <c r="V203" s="167" t="s">
        <v>1051</v>
      </c>
      <c r="W203" s="163" t="s">
        <v>112</v>
      </c>
      <c r="X203" s="163" t="s">
        <v>112</v>
      </c>
      <c r="Y203" s="163" t="s">
        <v>112</v>
      </c>
      <c r="Z203" s="8" t="s">
        <v>36</v>
      </c>
      <c r="AA203" s="23" t="s">
        <v>144</v>
      </c>
      <c r="AB203" s="21" t="s">
        <v>391</v>
      </c>
      <c r="AC203" s="70"/>
      <c r="AD203" s="70"/>
      <c r="AE203" s="24"/>
      <c r="AF203" s="70"/>
      <c r="AG203" s="70"/>
      <c r="AH203" s="70"/>
      <c r="AI203" s="70"/>
      <c r="AJ203" s="70"/>
      <c r="AK203" s="70"/>
      <c r="AL203" s="70"/>
      <c r="AM203" s="24"/>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row>
    <row r="204" ht="15.75" customHeight="1">
      <c r="A204" s="8">
        <v>446.0</v>
      </c>
      <c r="B204" s="163" t="s">
        <v>1054</v>
      </c>
      <c r="C204" s="167" t="s">
        <v>48</v>
      </c>
      <c r="D204" s="163" t="s">
        <v>112</v>
      </c>
      <c r="E204" s="163" t="s">
        <v>112</v>
      </c>
      <c r="F204" s="172">
        <v>40327.0</v>
      </c>
      <c r="G204" s="169">
        <v>40299.0</v>
      </c>
      <c r="H204" s="42" t="str">
        <f t="shared" si="15"/>
        <v>2010</v>
      </c>
      <c r="I204" s="8" t="s">
        <v>176</v>
      </c>
      <c r="J204" s="163" t="s">
        <v>112</v>
      </c>
      <c r="K204" s="141" t="s">
        <v>99</v>
      </c>
      <c r="L204" s="167" t="s">
        <v>100</v>
      </c>
      <c r="M204" s="173" t="s">
        <v>177</v>
      </c>
      <c r="N204" s="174" t="s">
        <v>1055</v>
      </c>
      <c r="O204" s="45" t="s">
        <v>785</v>
      </c>
      <c r="P204" s="163" t="s">
        <v>106</v>
      </c>
      <c r="Q204" s="163" t="s">
        <v>112</v>
      </c>
      <c r="R204" s="175">
        <v>386836.0</v>
      </c>
      <c r="S204" s="167">
        <v>9693496.0</v>
      </c>
      <c r="T204" s="176">
        <v>-2.772576</v>
      </c>
      <c r="U204" s="176">
        <v>-76.018106</v>
      </c>
      <c r="V204" s="167" t="s">
        <v>480</v>
      </c>
      <c r="W204" s="163" t="s">
        <v>112</v>
      </c>
      <c r="X204" s="163" t="s">
        <v>112</v>
      </c>
      <c r="Y204" s="163" t="s">
        <v>112</v>
      </c>
      <c r="Z204" s="47" t="s">
        <v>37</v>
      </c>
      <c r="AA204" s="23" t="s">
        <v>115</v>
      </c>
      <c r="AB204" s="21" t="s">
        <v>296</v>
      </c>
      <c r="AC204" s="70"/>
      <c r="AD204" s="70"/>
      <c r="AE204" s="24"/>
      <c r="AF204" s="70"/>
      <c r="AG204" s="70"/>
      <c r="AH204" s="70"/>
      <c r="AI204" s="70"/>
      <c r="AJ204" s="70"/>
      <c r="AK204" s="70"/>
      <c r="AL204" s="70"/>
      <c r="AM204" s="24"/>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row>
    <row r="205" ht="15.75" customHeight="1">
      <c r="A205" s="8">
        <v>452.0</v>
      </c>
      <c r="B205" s="163" t="s">
        <v>1056</v>
      </c>
      <c r="C205" s="167" t="s">
        <v>58</v>
      </c>
      <c r="D205" s="163" t="s">
        <v>511</v>
      </c>
      <c r="E205" s="163" t="s">
        <v>112</v>
      </c>
      <c r="F205" s="172">
        <v>40417.0</v>
      </c>
      <c r="G205" s="169">
        <v>40391.0</v>
      </c>
      <c r="H205" s="42" t="str">
        <f t="shared" si="15"/>
        <v>2010</v>
      </c>
      <c r="I205" s="8" t="s">
        <v>176</v>
      </c>
      <c r="J205" s="163" t="s">
        <v>112</v>
      </c>
      <c r="K205" s="141" t="s">
        <v>99</v>
      </c>
      <c r="L205" s="158" t="s">
        <v>100</v>
      </c>
      <c r="M205" s="158" t="s">
        <v>177</v>
      </c>
      <c r="N205" s="174" t="s">
        <v>1057</v>
      </c>
      <c r="O205" s="108" t="s">
        <v>1058</v>
      </c>
      <c r="P205" s="163" t="s">
        <v>106</v>
      </c>
      <c r="Q205" s="163" t="s">
        <v>112</v>
      </c>
      <c r="R205" s="175">
        <v>386887.0</v>
      </c>
      <c r="S205" s="167">
        <v>9693884.0</v>
      </c>
      <c r="T205" s="176">
        <v>-2.7690667</v>
      </c>
      <c r="U205" s="176">
        <v>-76.017644</v>
      </c>
      <c r="V205" s="167" t="s">
        <v>1024</v>
      </c>
      <c r="W205" s="163" t="s">
        <v>112</v>
      </c>
      <c r="X205" s="163" t="s">
        <v>112</v>
      </c>
      <c r="Y205" s="163" t="s">
        <v>112</v>
      </c>
      <c r="Z205" s="47" t="s">
        <v>37</v>
      </c>
      <c r="AA205" s="23" t="s">
        <v>115</v>
      </c>
      <c r="AB205" s="8" t="s">
        <v>392</v>
      </c>
      <c r="AC205" s="70"/>
      <c r="AD205" s="70"/>
      <c r="AE205" s="24"/>
      <c r="AF205" s="70"/>
      <c r="AG205" s="70"/>
      <c r="AH205" s="70"/>
      <c r="AI205" s="70"/>
      <c r="AJ205" s="70"/>
      <c r="AK205" s="70"/>
      <c r="AL205" s="70"/>
      <c r="AM205" s="24"/>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row>
    <row r="206" ht="15.75" customHeight="1">
      <c r="A206" s="8">
        <v>598.0</v>
      </c>
      <c r="B206" s="188" t="s">
        <v>1059</v>
      </c>
      <c r="C206" s="156" t="s">
        <v>48</v>
      </c>
      <c r="D206" s="157" t="s">
        <v>112</v>
      </c>
      <c r="E206" s="158" t="s">
        <v>112</v>
      </c>
      <c r="F206" s="159">
        <v>42005.0</v>
      </c>
      <c r="G206" s="160">
        <v>42005.0</v>
      </c>
      <c r="H206" s="20" t="str">
        <f t="shared" si="15"/>
        <v>2015</v>
      </c>
      <c r="I206" s="8" t="s">
        <v>176</v>
      </c>
      <c r="J206" s="157" t="s">
        <v>112</v>
      </c>
      <c r="K206" s="157" t="s">
        <v>112</v>
      </c>
      <c r="L206" s="156" t="s">
        <v>100</v>
      </c>
      <c r="M206" s="190" t="s">
        <v>513</v>
      </c>
      <c r="N206" s="158" t="s">
        <v>112</v>
      </c>
      <c r="O206" s="8" t="s">
        <v>1060</v>
      </c>
      <c r="P206" s="158" t="s">
        <v>106</v>
      </c>
      <c r="Q206" s="157" t="s">
        <v>112</v>
      </c>
      <c r="R206" s="156">
        <v>387789.0</v>
      </c>
      <c r="S206" s="156">
        <v>9690166.0</v>
      </c>
      <c r="T206" s="162">
        <v>-2.8027055</v>
      </c>
      <c r="U206" s="162">
        <v>-76.009559</v>
      </c>
      <c r="V206" s="156" t="s">
        <v>1061</v>
      </c>
      <c r="W206" s="157" t="s">
        <v>112</v>
      </c>
      <c r="X206" s="157" t="s">
        <v>112</v>
      </c>
      <c r="Y206" s="157" t="s">
        <v>112</v>
      </c>
      <c r="Z206" s="8" t="s">
        <v>149</v>
      </c>
      <c r="AA206" s="23" t="s">
        <v>115</v>
      </c>
      <c r="AB206" s="8"/>
      <c r="AC206" s="70"/>
      <c r="AD206" s="70"/>
      <c r="AE206" s="24"/>
      <c r="AF206" s="70"/>
      <c r="AG206" s="70"/>
      <c r="AH206" s="70"/>
      <c r="AI206" s="70"/>
      <c r="AJ206" s="70"/>
      <c r="AK206" s="70"/>
      <c r="AL206" s="70"/>
      <c r="AM206" s="24"/>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row>
    <row r="207" ht="15.75" customHeight="1">
      <c r="A207" s="47">
        <v>410.0</v>
      </c>
      <c r="B207" s="163" t="s">
        <v>1062</v>
      </c>
      <c r="C207" s="163" t="s">
        <v>51</v>
      </c>
      <c r="D207" s="163" t="s">
        <v>508</v>
      </c>
      <c r="E207" s="163" t="s">
        <v>112</v>
      </c>
      <c r="F207" s="172">
        <v>40209.0</v>
      </c>
      <c r="G207" s="169">
        <v>40179.0</v>
      </c>
      <c r="H207" s="42" t="str">
        <f t="shared" si="15"/>
        <v>2010</v>
      </c>
      <c r="I207" s="8" t="s">
        <v>63</v>
      </c>
      <c r="J207" s="163" t="s">
        <v>112</v>
      </c>
      <c r="K207" s="141" t="s">
        <v>99</v>
      </c>
      <c r="L207" s="163" t="s">
        <v>100</v>
      </c>
      <c r="M207" s="173" t="s">
        <v>112</v>
      </c>
      <c r="N207" s="174" t="s">
        <v>1063</v>
      </c>
      <c r="O207" s="45" t="s">
        <v>928</v>
      </c>
      <c r="P207" s="163" t="s">
        <v>106</v>
      </c>
      <c r="Q207" s="163" t="s">
        <v>112</v>
      </c>
      <c r="R207" s="163">
        <v>392338.0</v>
      </c>
      <c r="S207" s="163">
        <v>9727474.0</v>
      </c>
      <c r="T207" s="176">
        <v>-2.4652588</v>
      </c>
      <c r="U207" s="176">
        <v>-75.968375</v>
      </c>
      <c r="V207" s="163" t="s">
        <v>548</v>
      </c>
      <c r="W207" s="163" t="s">
        <v>112</v>
      </c>
      <c r="X207" s="163" t="s">
        <v>112</v>
      </c>
      <c r="Y207" s="163" t="s">
        <v>112</v>
      </c>
      <c r="Z207" s="47" t="s">
        <v>37</v>
      </c>
      <c r="AA207" s="23" t="s">
        <v>115</v>
      </c>
      <c r="AB207" s="86" t="s">
        <v>396</v>
      </c>
      <c r="AC207" s="70"/>
      <c r="AD207" s="70"/>
      <c r="AE207" s="24"/>
      <c r="AF207" s="70"/>
      <c r="AG207" s="70"/>
      <c r="AH207" s="70"/>
      <c r="AI207" s="70"/>
      <c r="AJ207" s="70"/>
      <c r="AK207" s="70"/>
      <c r="AL207" s="70"/>
      <c r="AM207" s="24"/>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row>
    <row r="208" ht="15.75" customHeight="1">
      <c r="A208" s="47">
        <v>409.0</v>
      </c>
      <c r="B208" s="163" t="s">
        <v>1064</v>
      </c>
      <c r="C208" s="163" t="s">
        <v>51</v>
      </c>
      <c r="D208" s="163" t="s">
        <v>508</v>
      </c>
      <c r="E208" s="163" t="s">
        <v>112</v>
      </c>
      <c r="F208" s="172">
        <v>40209.0</v>
      </c>
      <c r="G208" s="169">
        <v>40179.0</v>
      </c>
      <c r="H208" s="42" t="str">
        <f t="shared" si="15"/>
        <v>2010</v>
      </c>
      <c r="I208" s="8" t="s">
        <v>63</v>
      </c>
      <c r="J208" s="163" t="s">
        <v>112</v>
      </c>
      <c r="K208" s="141" t="s">
        <v>99</v>
      </c>
      <c r="L208" s="163" t="s">
        <v>100</v>
      </c>
      <c r="M208" s="173" t="s">
        <v>112</v>
      </c>
      <c r="N208" s="174" t="s">
        <v>1063</v>
      </c>
      <c r="O208" s="45" t="s">
        <v>928</v>
      </c>
      <c r="P208" s="163" t="s">
        <v>106</v>
      </c>
      <c r="Q208" s="163" t="s">
        <v>112</v>
      </c>
      <c r="R208" s="163">
        <v>392883.0</v>
      </c>
      <c r="S208" s="163">
        <v>9727732.0</v>
      </c>
      <c r="T208" s="176">
        <v>-2.4629285</v>
      </c>
      <c r="U208" s="176">
        <v>-75.963472</v>
      </c>
      <c r="V208" s="163" t="s">
        <v>548</v>
      </c>
      <c r="W208" s="163" t="s">
        <v>112</v>
      </c>
      <c r="X208" s="163" t="s">
        <v>112</v>
      </c>
      <c r="Y208" s="163" t="s">
        <v>112</v>
      </c>
      <c r="Z208" s="47" t="s">
        <v>37</v>
      </c>
      <c r="AA208" s="23" t="s">
        <v>115</v>
      </c>
      <c r="AB208" s="86" t="s">
        <v>396</v>
      </c>
      <c r="AC208" s="70"/>
      <c r="AD208" s="70"/>
      <c r="AE208" s="24"/>
      <c r="AF208" s="70"/>
      <c r="AG208" s="70"/>
      <c r="AH208" s="70"/>
      <c r="AI208" s="70"/>
      <c r="AJ208" s="70"/>
      <c r="AK208" s="70"/>
      <c r="AL208" s="70"/>
      <c r="AM208" s="24"/>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row>
    <row r="209" ht="15.75" customHeight="1">
      <c r="A209" s="47">
        <v>405.0</v>
      </c>
      <c r="B209" s="163" t="s">
        <v>1065</v>
      </c>
      <c r="C209" s="163" t="s">
        <v>51</v>
      </c>
      <c r="D209" s="163" t="s">
        <v>508</v>
      </c>
      <c r="E209" s="163" t="s">
        <v>112</v>
      </c>
      <c r="F209" s="172">
        <v>40206.0</v>
      </c>
      <c r="G209" s="169">
        <v>40179.0</v>
      </c>
      <c r="H209" s="42" t="str">
        <f t="shared" si="15"/>
        <v>2010</v>
      </c>
      <c r="I209" s="8" t="s">
        <v>63</v>
      </c>
      <c r="J209" s="163" t="s">
        <v>112</v>
      </c>
      <c r="K209" s="141" t="s">
        <v>99</v>
      </c>
      <c r="L209" s="163" t="s">
        <v>100</v>
      </c>
      <c r="M209" s="173" t="s">
        <v>112</v>
      </c>
      <c r="N209" s="143" t="s">
        <v>1066</v>
      </c>
      <c r="O209" s="45" t="s">
        <v>928</v>
      </c>
      <c r="P209" s="163" t="s">
        <v>106</v>
      </c>
      <c r="Q209" s="163" t="s">
        <v>112</v>
      </c>
      <c r="R209" s="163">
        <v>396716.0</v>
      </c>
      <c r="S209" s="163">
        <v>9728394.0</v>
      </c>
      <c r="T209" s="176">
        <v>-2.4569647</v>
      </c>
      <c r="U209" s="176">
        <v>-75.928994</v>
      </c>
      <c r="V209" s="163" t="s">
        <v>548</v>
      </c>
      <c r="W209" s="163" t="s">
        <v>112</v>
      </c>
      <c r="X209" s="127" t="s">
        <v>112</v>
      </c>
      <c r="Y209" s="127" t="s">
        <v>112</v>
      </c>
      <c r="Z209" s="47" t="s">
        <v>37</v>
      </c>
      <c r="AA209" s="23" t="s">
        <v>115</v>
      </c>
      <c r="AB209" s="86" t="s">
        <v>396</v>
      </c>
      <c r="AC209" s="70"/>
      <c r="AD209" s="70"/>
      <c r="AE209" s="24"/>
      <c r="AF209" s="70"/>
      <c r="AG209" s="70"/>
      <c r="AH209" s="70"/>
      <c r="AI209" s="70"/>
      <c r="AJ209" s="70"/>
      <c r="AK209" s="70"/>
      <c r="AL209" s="70"/>
      <c r="AM209" s="24"/>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row>
    <row r="210" ht="15.75" customHeight="1">
      <c r="A210" s="47">
        <v>404.0</v>
      </c>
      <c r="B210" s="163" t="s">
        <v>1067</v>
      </c>
      <c r="C210" s="163" t="s">
        <v>51</v>
      </c>
      <c r="D210" s="163" t="s">
        <v>508</v>
      </c>
      <c r="E210" s="163" t="s">
        <v>112</v>
      </c>
      <c r="F210" s="172">
        <v>40206.0</v>
      </c>
      <c r="G210" s="169">
        <v>40179.0</v>
      </c>
      <c r="H210" s="42" t="str">
        <f t="shared" si="15"/>
        <v>2010</v>
      </c>
      <c r="I210" s="8" t="s">
        <v>63</v>
      </c>
      <c r="J210" s="163" t="s">
        <v>112</v>
      </c>
      <c r="K210" s="141" t="s">
        <v>99</v>
      </c>
      <c r="L210" s="163" t="s">
        <v>100</v>
      </c>
      <c r="M210" s="173" t="s">
        <v>112</v>
      </c>
      <c r="N210" s="174" t="s">
        <v>1068</v>
      </c>
      <c r="O210" s="45" t="s">
        <v>928</v>
      </c>
      <c r="P210" s="163" t="s">
        <v>106</v>
      </c>
      <c r="Q210" s="163" t="s">
        <v>112</v>
      </c>
      <c r="R210" s="163">
        <v>398356.0</v>
      </c>
      <c r="S210" s="163">
        <v>9728651.0</v>
      </c>
      <c r="T210" s="176">
        <v>-2.4546502</v>
      </c>
      <c r="U210" s="176">
        <v>-75.914243</v>
      </c>
      <c r="V210" s="163" t="s">
        <v>548</v>
      </c>
      <c r="W210" s="163" t="s">
        <v>112</v>
      </c>
      <c r="X210" s="163" t="s">
        <v>112</v>
      </c>
      <c r="Y210" s="163" t="s">
        <v>112</v>
      </c>
      <c r="Z210" s="47" t="s">
        <v>37</v>
      </c>
      <c r="AA210" s="23" t="s">
        <v>115</v>
      </c>
      <c r="AB210" s="86" t="s">
        <v>396</v>
      </c>
      <c r="AC210" s="70"/>
      <c r="AD210" s="70"/>
      <c r="AE210" s="24"/>
      <c r="AF210" s="70"/>
      <c r="AG210" s="70"/>
      <c r="AH210" s="70"/>
      <c r="AI210" s="70"/>
      <c r="AJ210" s="70"/>
      <c r="AK210" s="70"/>
      <c r="AL210" s="70"/>
      <c r="AM210" s="24"/>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row>
    <row r="211" ht="15.75" customHeight="1">
      <c r="A211" s="8">
        <v>88.0</v>
      </c>
      <c r="B211" s="146" t="s">
        <v>1069</v>
      </c>
      <c r="C211" s="128" t="s">
        <v>57</v>
      </c>
      <c r="D211" s="128" t="s">
        <v>89</v>
      </c>
      <c r="E211" s="128" t="s">
        <v>1070</v>
      </c>
      <c r="F211" s="182">
        <v>43803.0</v>
      </c>
      <c r="G211" s="146" t="s">
        <v>112</v>
      </c>
      <c r="H211" s="28" t="s">
        <v>112</v>
      </c>
      <c r="I211" s="8" t="s">
        <v>97</v>
      </c>
      <c r="J211" s="128" t="s">
        <v>163</v>
      </c>
      <c r="K211" s="128" t="s">
        <v>99</v>
      </c>
      <c r="L211" s="146" t="s">
        <v>100</v>
      </c>
      <c r="M211" s="141" t="s">
        <v>916</v>
      </c>
      <c r="N211" s="128" t="s">
        <v>1071</v>
      </c>
      <c r="O211" s="8" t="s">
        <v>1072</v>
      </c>
      <c r="P211" s="128" t="s">
        <v>106</v>
      </c>
      <c r="Q211" s="128">
        <v>180.0</v>
      </c>
      <c r="R211" s="128">
        <v>401088.0</v>
      </c>
      <c r="S211" s="128">
        <v>9749996.0</v>
      </c>
      <c r="T211" s="128"/>
      <c r="U211" s="128"/>
      <c r="V211" s="128" t="s">
        <v>1073</v>
      </c>
      <c r="W211" s="128" t="s">
        <v>1074</v>
      </c>
      <c r="X211" s="128" t="s">
        <v>112</v>
      </c>
      <c r="Y211" s="128" t="s">
        <v>112</v>
      </c>
      <c r="Z211" s="23" t="s">
        <v>42</v>
      </c>
      <c r="AA211" s="23" t="s">
        <v>115</v>
      </c>
      <c r="AB211" s="31" t="s">
        <v>218</v>
      </c>
      <c r="AC211" s="70"/>
      <c r="AD211" s="70"/>
      <c r="AE211" s="24"/>
      <c r="AF211" s="70"/>
      <c r="AG211" s="70"/>
      <c r="AH211" s="70"/>
      <c r="AI211" s="70"/>
      <c r="AJ211" s="70"/>
      <c r="AK211" s="70"/>
      <c r="AL211" s="70"/>
      <c r="AM211" s="24"/>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row>
    <row r="212" ht="15.75" customHeight="1">
      <c r="A212" s="8">
        <v>89.0</v>
      </c>
      <c r="B212" s="146" t="s">
        <v>1075</v>
      </c>
      <c r="C212" s="128" t="s">
        <v>57</v>
      </c>
      <c r="D212" s="128" t="s">
        <v>89</v>
      </c>
      <c r="E212" s="128" t="s">
        <v>1076</v>
      </c>
      <c r="F212" s="182">
        <v>43803.0</v>
      </c>
      <c r="G212" s="146" t="s">
        <v>112</v>
      </c>
      <c r="H212" s="28" t="s">
        <v>112</v>
      </c>
      <c r="I212" s="8" t="s">
        <v>63</v>
      </c>
      <c r="J212" s="128" t="s">
        <v>98</v>
      </c>
      <c r="K212" s="128" t="s">
        <v>99</v>
      </c>
      <c r="L212" s="146" t="s">
        <v>100</v>
      </c>
      <c r="M212" s="128" t="s">
        <v>101</v>
      </c>
      <c r="N212" s="128" t="s">
        <v>1077</v>
      </c>
      <c r="O212" s="8" t="s">
        <v>1078</v>
      </c>
      <c r="P212" s="128" t="s">
        <v>106</v>
      </c>
      <c r="Q212" s="128" t="s">
        <v>112</v>
      </c>
      <c r="R212" s="128">
        <v>401162.0</v>
      </c>
      <c r="S212" s="128">
        <v>9749187.0</v>
      </c>
      <c r="T212" s="128"/>
      <c r="U212" s="128"/>
      <c r="V212" s="128" t="s">
        <v>1073</v>
      </c>
      <c r="W212" s="128" t="s">
        <v>1079</v>
      </c>
      <c r="X212" s="128" t="s">
        <v>112</v>
      </c>
      <c r="Y212" s="128" t="s">
        <v>112</v>
      </c>
      <c r="Z212" s="23" t="s">
        <v>42</v>
      </c>
      <c r="AA212" s="23" t="s">
        <v>115</v>
      </c>
      <c r="AB212" s="31" t="s">
        <v>264</v>
      </c>
      <c r="AC212" s="70"/>
      <c r="AD212" s="70"/>
      <c r="AE212" s="24"/>
      <c r="AF212" s="70"/>
      <c r="AG212" s="70"/>
      <c r="AH212" s="70"/>
      <c r="AI212" s="70"/>
      <c r="AJ212" s="70"/>
      <c r="AK212" s="70"/>
      <c r="AL212" s="70"/>
      <c r="AM212" s="24"/>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row>
    <row r="213" ht="15.75" customHeight="1">
      <c r="A213" s="8">
        <v>44.0</v>
      </c>
      <c r="B213" s="146" t="s">
        <v>1080</v>
      </c>
      <c r="C213" s="128" t="s">
        <v>57</v>
      </c>
      <c r="D213" s="128" t="s">
        <v>146</v>
      </c>
      <c r="E213" s="128" t="s">
        <v>1081</v>
      </c>
      <c r="F213" s="182">
        <v>43556.0</v>
      </c>
      <c r="G213" s="146" t="s">
        <v>112</v>
      </c>
      <c r="H213" s="28" t="s">
        <v>112</v>
      </c>
      <c r="I213" s="8" t="s">
        <v>97</v>
      </c>
      <c r="J213" s="128" t="s">
        <v>112</v>
      </c>
      <c r="K213" s="128" t="s">
        <v>99</v>
      </c>
      <c r="L213" s="146" t="s">
        <v>100</v>
      </c>
      <c r="M213" s="141" t="s">
        <v>150</v>
      </c>
      <c r="N213" s="128" t="s">
        <v>1082</v>
      </c>
      <c r="O213" s="8" t="s">
        <v>152</v>
      </c>
      <c r="P213" s="128" t="s">
        <v>106</v>
      </c>
      <c r="Q213" s="128">
        <v>183.0</v>
      </c>
      <c r="R213" s="128">
        <v>401280.0</v>
      </c>
      <c r="S213" s="128">
        <v>9749964.0</v>
      </c>
      <c r="T213" s="128"/>
      <c r="U213" s="128"/>
      <c r="V213" s="128" t="s">
        <v>153</v>
      </c>
      <c r="W213" s="128" t="s">
        <v>154</v>
      </c>
      <c r="X213" s="128" t="s">
        <v>112</v>
      </c>
      <c r="Y213" s="128" t="s">
        <v>112</v>
      </c>
      <c r="Z213" s="23" t="s">
        <v>42</v>
      </c>
      <c r="AA213" s="23" t="s">
        <v>115</v>
      </c>
      <c r="AB213" s="30" t="s">
        <v>155</v>
      </c>
      <c r="AC213" s="70"/>
      <c r="AD213" s="70"/>
      <c r="AE213" s="24"/>
      <c r="AF213" s="70"/>
      <c r="AG213" s="70"/>
      <c r="AH213" s="70"/>
      <c r="AI213" s="70"/>
      <c r="AJ213" s="70"/>
      <c r="AK213" s="70"/>
      <c r="AL213" s="70"/>
      <c r="AM213" s="24"/>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row>
    <row r="214" ht="15.75" customHeight="1">
      <c r="A214" s="8">
        <v>43.0</v>
      </c>
      <c r="B214" s="146" t="s">
        <v>1083</v>
      </c>
      <c r="C214" s="128" t="s">
        <v>57</v>
      </c>
      <c r="D214" s="128" t="s">
        <v>146</v>
      </c>
      <c r="E214" s="128" t="s">
        <v>1084</v>
      </c>
      <c r="F214" s="182">
        <v>43556.0</v>
      </c>
      <c r="G214" s="146" t="s">
        <v>112</v>
      </c>
      <c r="H214" s="28" t="s">
        <v>112</v>
      </c>
      <c r="I214" s="8" t="s">
        <v>97</v>
      </c>
      <c r="J214" s="128" t="s">
        <v>112</v>
      </c>
      <c r="K214" s="128" t="s">
        <v>99</v>
      </c>
      <c r="L214" s="146" t="s">
        <v>100</v>
      </c>
      <c r="M214" s="141" t="s">
        <v>150</v>
      </c>
      <c r="N214" s="128" t="s">
        <v>1082</v>
      </c>
      <c r="O214" s="8" t="s">
        <v>152</v>
      </c>
      <c r="P214" s="128" t="s">
        <v>106</v>
      </c>
      <c r="Q214" s="128">
        <v>182.0</v>
      </c>
      <c r="R214" s="128">
        <v>401318.0</v>
      </c>
      <c r="S214" s="128">
        <v>9749906.0</v>
      </c>
      <c r="T214" s="128"/>
      <c r="U214" s="128"/>
      <c r="V214" s="128" t="s">
        <v>153</v>
      </c>
      <c r="W214" s="128" t="s">
        <v>154</v>
      </c>
      <c r="X214" s="128" t="s">
        <v>112</v>
      </c>
      <c r="Y214" s="128" t="s">
        <v>112</v>
      </c>
      <c r="Z214" s="23" t="s">
        <v>42</v>
      </c>
      <c r="AA214" s="23" t="s">
        <v>115</v>
      </c>
      <c r="AB214" s="30" t="s">
        <v>155</v>
      </c>
      <c r="AC214" s="70"/>
      <c r="AD214" s="70"/>
      <c r="AE214" s="24"/>
      <c r="AF214" s="70"/>
      <c r="AG214" s="70"/>
      <c r="AH214" s="70"/>
      <c r="AI214" s="70"/>
      <c r="AJ214" s="70"/>
      <c r="AK214" s="70"/>
      <c r="AL214" s="70"/>
      <c r="AM214" s="24"/>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row>
    <row r="215" ht="15.75" customHeight="1">
      <c r="A215" s="8">
        <v>45.0</v>
      </c>
      <c r="B215" s="146" t="s">
        <v>1085</v>
      </c>
      <c r="C215" s="128" t="s">
        <v>57</v>
      </c>
      <c r="D215" s="128" t="s">
        <v>146</v>
      </c>
      <c r="E215" s="128" t="s">
        <v>1086</v>
      </c>
      <c r="F215" s="182">
        <v>43556.0</v>
      </c>
      <c r="G215" s="146" t="s">
        <v>112</v>
      </c>
      <c r="H215" s="28" t="s">
        <v>112</v>
      </c>
      <c r="I215" s="8" t="s">
        <v>97</v>
      </c>
      <c r="J215" s="128" t="s">
        <v>112</v>
      </c>
      <c r="K215" s="128" t="s">
        <v>99</v>
      </c>
      <c r="L215" s="146" t="s">
        <v>100</v>
      </c>
      <c r="M215" s="141" t="s">
        <v>150</v>
      </c>
      <c r="N215" s="128" t="s">
        <v>1087</v>
      </c>
      <c r="O215" s="8" t="s">
        <v>152</v>
      </c>
      <c r="P215" s="128" t="s">
        <v>106</v>
      </c>
      <c r="Q215" s="128">
        <v>160.0</v>
      </c>
      <c r="R215" s="128">
        <v>401397.0</v>
      </c>
      <c r="S215" s="128">
        <v>9748884.0</v>
      </c>
      <c r="T215" s="128"/>
      <c r="U215" s="128"/>
      <c r="V215" s="128" t="s">
        <v>153</v>
      </c>
      <c r="W215" s="128" t="s">
        <v>154</v>
      </c>
      <c r="X215" s="128" t="s">
        <v>112</v>
      </c>
      <c r="Y215" s="128" t="s">
        <v>112</v>
      </c>
      <c r="Z215" s="23" t="s">
        <v>42</v>
      </c>
      <c r="AA215" s="23" t="s">
        <v>115</v>
      </c>
      <c r="AB215" s="30" t="s">
        <v>155</v>
      </c>
      <c r="AC215" s="70"/>
      <c r="AD215" s="70"/>
      <c r="AE215" s="24"/>
      <c r="AF215" s="70"/>
      <c r="AG215" s="70"/>
      <c r="AH215" s="70"/>
      <c r="AI215" s="70"/>
      <c r="AJ215" s="70"/>
      <c r="AK215" s="70"/>
      <c r="AL215" s="70"/>
      <c r="AM215" s="24"/>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row>
    <row r="216" ht="15.75" customHeight="1">
      <c r="A216" s="8">
        <v>47.0</v>
      </c>
      <c r="B216" s="146" t="s">
        <v>1088</v>
      </c>
      <c r="C216" s="128" t="s">
        <v>57</v>
      </c>
      <c r="D216" s="128" t="s">
        <v>146</v>
      </c>
      <c r="E216" s="128" t="s">
        <v>1089</v>
      </c>
      <c r="F216" s="182">
        <v>43556.0</v>
      </c>
      <c r="G216" s="146" t="s">
        <v>112</v>
      </c>
      <c r="H216" s="28" t="s">
        <v>112</v>
      </c>
      <c r="I216" s="8" t="s">
        <v>97</v>
      </c>
      <c r="J216" s="128" t="s">
        <v>112</v>
      </c>
      <c r="K216" s="128" t="s">
        <v>99</v>
      </c>
      <c r="L216" s="146" t="s">
        <v>100</v>
      </c>
      <c r="M216" s="141" t="s">
        <v>150</v>
      </c>
      <c r="N216" s="128" t="s">
        <v>151</v>
      </c>
      <c r="O216" s="8" t="s">
        <v>152</v>
      </c>
      <c r="P216" s="128" t="s">
        <v>106</v>
      </c>
      <c r="Q216" s="128">
        <v>175.0</v>
      </c>
      <c r="R216" s="128">
        <v>401420.0</v>
      </c>
      <c r="S216" s="128">
        <v>9748270.0</v>
      </c>
      <c r="T216" s="128"/>
      <c r="U216" s="128"/>
      <c r="V216" s="128" t="s">
        <v>153</v>
      </c>
      <c r="W216" s="128" t="s">
        <v>154</v>
      </c>
      <c r="X216" s="128" t="s">
        <v>112</v>
      </c>
      <c r="Y216" s="128" t="s">
        <v>112</v>
      </c>
      <c r="Z216" s="23" t="s">
        <v>42</v>
      </c>
      <c r="AA216" s="23" t="s">
        <v>115</v>
      </c>
      <c r="AB216" s="30" t="s">
        <v>155</v>
      </c>
      <c r="AC216" s="70"/>
      <c r="AD216" s="70"/>
      <c r="AE216" s="24"/>
      <c r="AF216" s="70"/>
      <c r="AG216" s="70"/>
      <c r="AH216" s="70"/>
      <c r="AI216" s="70"/>
      <c r="AJ216" s="70"/>
      <c r="AK216" s="70"/>
      <c r="AL216" s="70"/>
      <c r="AM216" s="24"/>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row>
    <row r="217" ht="15.75" customHeight="1">
      <c r="A217" s="52">
        <v>963.0</v>
      </c>
      <c r="B217" s="179" t="s">
        <v>1090</v>
      </c>
      <c r="C217" s="179" t="s">
        <v>57</v>
      </c>
      <c r="D217" s="179" t="s">
        <v>694</v>
      </c>
      <c r="E217" s="179" t="s">
        <v>964</v>
      </c>
      <c r="F217" s="179" t="s">
        <v>1091</v>
      </c>
      <c r="G217" s="179" t="s">
        <v>1091</v>
      </c>
      <c r="H217" s="55">
        <v>2021.0</v>
      </c>
      <c r="I217" s="53" t="s">
        <v>97</v>
      </c>
      <c r="J217" s="179" t="s">
        <v>163</v>
      </c>
      <c r="K217" s="179" t="s">
        <v>164</v>
      </c>
      <c r="L217" s="179" t="s">
        <v>100</v>
      </c>
      <c r="M217" s="179" t="s">
        <v>485</v>
      </c>
      <c r="N217" s="179" t="s">
        <v>1092</v>
      </c>
      <c r="O217" s="53" t="s">
        <v>1093</v>
      </c>
      <c r="P217" s="179" t="s">
        <v>106</v>
      </c>
      <c r="Q217" s="179"/>
      <c r="R217" s="179">
        <v>401420.0</v>
      </c>
      <c r="S217" s="179">
        <v>9748765.0</v>
      </c>
      <c r="T217" s="137"/>
      <c r="U217" s="134"/>
      <c r="V217" s="179" t="s">
        <v>1094</v>
      </c>
      <c r="W217" s="134"/>
      <c r="X217" s="134"/>
      <c r="Y217" s="134"/>
      <c r="Z217" s="58"/>
      <c r="AA217" s="58"/>
      <c r="AB217" s="58"/>
      <c r="AC217" s="70"/>
      <c r="AD217" s="70"/>
      <c r="AE217" s="24"/>
      <c r="AF217" s="70"/>
      <c r="AG217" s="70"/>
      <c r="AH217" s="70"/>
      <c r="AI217" s="70"/>
      <c r="AJ217" s="70"/>
      <c r="AK217" s="70"/>
      <c r="AL217" s="70"/>
      <c r="AM217" s="24"/>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row>
    <row r="218" ht="15.75" customHeight="1">
      <c r="A218" s="8">
        <v>49.0</v>
      </c>
      <c r="B218" s="146" t="s">
        <v>1095</v>
      </c>
      <c r="C218" s="128" t="s">
        <v>57</v>
      </c>
      <c r="D218" s="128" t="s">
        <v>146</v>
      </c>
      <c r="E218" s="128" t="s">
        <v>1096</v>
      </c>
      <c r="F218" s="182">
        <v>43556.0</v>
      </c>
      <c r="G218" s="146" t="s">
        <v>112</v>
      </c>
      <c r="H218" s="28" t="s">
        <v>112</v>
      </c>
      <c r="I218" s="8" t="s">
        <v>97</v>
      </c>
      <c r="J218" s="128" t="s">
        <v>112</v>
      </c>
      <c r="K218" s="128" t="s">
        <v>99</v>
      </c>
      <c r="L218" s="146" t="s">
        <v>100</v>
      </c>
      <c r="M218" s="141" t="s">
        <v>150</v>
      </c>
      <c r="N218" s="128" t="s">
        <v>1097</v>
      </c>
      <c r="O218" s="8" t="s">
        <v>152</v>
      </c>
      <c r="P218" s="128" t="s">
        <v>106</v>
      </c>
      <c r="Q218" s="128">
        <v>177.0</v>
      </c>
      <c r="R218" s="128">
        <v>401437.0</v>
      </c>
      <c r="S218" s="128">
        <v>9747717.0</v>
      </c>
      <c r="T218" s="128"/>
      <c r="U218" s="128"/>
      <c r="V218" s="128" t="s">
        <v>153</v>
      </c>
      <c r="W218" s="128" t="s">
        <v>154</v>
      </c>
      <c r="X218" s="128" t="s">
        <v>112</v>
      </c>
      <c r="Y218" s="128" t="s">
        <v>112</v>
      </c>
      <c r="Z218" s="23" t="s">
        <v>42</v>
      </c>
      <c r="AA218" s="23" t="s">
        <v>115</v>
      </c>
      <c r="AB218" s="30" t="s">
        <v>155</v>
      </c>
      <c r="AC218" s="70"/>
      <c r="AD218" s="70"/>
      <c r="AE218" s="24"/>
      <c r="AF218" s="70"/>
      <c r="AG218" s="70"/>
      <c r="AH218" s="70"/>
      <c r="AI218" s="70"/>
      <c r="AJ218" s="70"/>
      <c r="AK218" s="70"/>
      <c r="AL218" s="70"/>
      <c r="AM218" s="24"/>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row>
    <row r="219" ht="15.75" customHeight="1">
      <c r="A219" s="8">
        <v>48.0</v>
      </c>
      <c r="B219" s="146" t="s">
        <v>1098</v>
      </c>
      <c r="C219" s="128" t="s">
        <v>57</v>
      </c>
      <c r="D219" s="128" t="s">
        <v>146</v>
      </c>
      <c r="E219" s="128" t="s">
        <v>1099</v>
      </c>
      <c r="F219" s="182">
        <v>43556.0</v>
      </c>
      <c r="G219" s="146" t="s">
        <v>112</v>
      </c>
      <c r="H219" s="28" t="s">
        <v>112</v>
      </c>
      <c r="I219" s="8" t="s">
        <v>97</v>
      </c>
      <c r="J219" s="128" t="s">
        <v>112</v>
      </c>
      <c r="K219" s="128" t="s">
        <v>99</v>
      </c>
      <c r="L219" s="146" t="s">
        <v>100</v>
      </c>
      <c r="M219" s="141" t="s">
        <v>150</v>
      </c>
      <c r="N219" s="128" t="s">
        <v>1100</v>
      </c>
      <c r="O219" s="8" t="s">
        <v>152</v>
      </c>
      <c r="P219" s="128" t="s">
        <v>106</v>
      </c>
      <c r="Q219" s="128">
        <v>182.0</v>
      </c>
      <c r="R219" s="128">
        <v>401474.0</v>
      </c>
      <c r="S219" s="128">
        <v>9747890.0</v>
      </c>
      <c r="T219" s="128"/>
      <c r="U219" s="128"/>
      <c r="V219" s="128" t="s">
        <v>153</v>
      </c>
      <c r="W219" s="128" t="s">
        <v>154</v>
      </c>
      <c r="X219" s="128" t="s">
        <v>112</v>
      </c>
      <c r="Y219" s="128" t="s">
        <v>112</v>
      </c>
      <c r="Z219" s="23" t="s">
        <v>42</v>
      </c>
      <c r="AA219" s="23" t="s">
        <v>115</v>
      </c>
      <c r="AB219" s="30" t="s">
        <v>155</v>
      </c>
      <c r="AC219" s="70"/>
      <c r="AD219" s="70"/>
      <c r="AE219" s="24"/>
      <c r="AF219" s="70"/>
      <c r="AG219" s="70"/>
      <c r="AH219" s="70"/>
      <c r="AI219" s="70"/>
      <c r="AJ219" s="70"/>
      <c r="AK219" s="70"/>
      <c r="AL219" s="70"/>
      <c r="AM219" s="24"/>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row>
    <row r="220" ht="15.75" customHeight="1">
      <c r="A220" s="8">
        <v>66.0</v>
      </c>
      <c r="B220" s="146" t="s">
        <v>1101</v>
      </c>
      <c r="C220" s="128" t="s">
        <v>57</v>
      </c>
      <c r="D220" s="128" t="s">
        <v>146</v>
      </c>
      <c r="E220" s="128" t="s">
        <v>1102</v>
      </c>
      <c r="F220" s="182">
        <v>43556.0</v>
      </c>
      <c r="G220" s="146" t="s">
        <v>112</v>
      </c>
      <c r="H220" s="28" t="s">
        <v>112</v>
      </c>
      <c r="I220" s="8" t="s">
        <v>63</v>
      </c>
      <c r="J220" s="128" t="s">
        <v>112</v>
      </c>
      <c r="K220" s="128" t="s">
        <v>99</v>
      </c>
      <c r="L220" s="146" t="s">
        <v>100</v>
      </c>
      <c r="M220" s="141" t="s">
        <v>150</v>
      </c>
      <c r="N220" s="128" t="s">
        <v>1103</v>
      </c>
      <c r="O220" s="8" t="s">
        <v>152</v>
      </c>
      <c r="P220" s="128" t="s">
        <v>106</v>
      </c>
      <c r="Q220" s="128">
        <v>179.0</v>
      </c>
      <c r="R220" s="128">
        <v>401522.0</v>
      </c>
      <c r="S220" s="128">
        <v>9748301.0</v>
      </c>
      <c r="T220" s="128"/>
      <c r="U220" s="128"/>
      <c r="V220" s="128" t="s">
        <v>153</v>
      </c>
      <c r="W220" s="128" t="s">
        <v>154</v>
      </c>
      <c r="X220" s="128" t="s">
        <v>112</v>
      </c>
      <c r="Y220" s="128" t="s">
        <v>112</v>
      </c>
      <c r="Z220" s="23" t="s">
        <v>42</v>
      </c>
      <c r="AA220" s="23" t="s">
        <v>115</v>
      </c>
      <c r="AB220" s="30" t="s">
        <v>155</v>
      </c>
      <c r="AC220" s="70"/>
      <c r="AD220" s="70"/>
      <c r="AE220" s="24"/>
      <c r="AF220" s="70"/>
      <c r="AG220" s="70"/>
      <c r="AH220" s="70"/>
      <c r="AI220" s="70"/>
      <c r="AJ220" s="70"/>
      <c r="AK220" s="70"/>
      <c r="AL220" s="70"/>
      <c r="AM220" s="24"/>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row>
    <row r="221" ht="15.75" customHeight="1">
      <c r="A221" s="8">
        <v>50.0</v>
      </c>
      <c r="B221" s="146" t="s">
        <v>1104</v>
      </c>
      <c r="C221" s="128" t="s">
        <v>57</v>
      </c>
      <c r="D221" s="128" t="s">
        <v>146</v>
      </c>
      <c r="E221" s="128" t="s">
        <v>1105</v>
      </c>
      <c r="F221" s="182">
        <v>43556.0</v>
      </c>
      <c r="G221" s="146" t="s">
        <v>112</v>
      </c>
      <c r="H221" s="28" t="s">
        <v>112</v>
      </c>
      <c r="I221" s="8" t="s">
        <v>97</v>
      </c>
      <c r="J221" s="128" t="s">
        <v>112</v>
      </c>
      <c r="K221" s="128" t="s">
        <v>99</v>
      </c>
      <c r="L221" s="146" t="s">
        <v>100</v>
      </c>
      <c r="M221" s="141" t="s">
        <v>150</v>
      </c>
      <c r="N221" s="128" t="s">
        <v>1106</v>
      </c>
      <c r="O221" s="8" t="s">
        <v>152</v>
      </c>
      <c r="P221" s="128" t="s">
        <v>106</v>
      </c>
      <c r="Q221" s="128">
        <v>160.0</v>
      </c>
      <c r="R221" s="128">
        <v>401765.0</v>
      </c>
      <c r="S221" s="128">
        <v>9747065.0</v>
      </c>
      <c r="T221" s="128"/>
      <c r="U221" s="128"/>
      <c r="V221" s="128" t="s">
        <v>153</v>
      </c>
      <c r="W221" s="128" t="s">
        <v>154</v>
      </c>
      <c r="X221" s="128" t="s">
        <v>112</v>
      </c>
      <c r="Y221" s="128" t="s">
        <v>112</v>
      </c>
      <c r="Z221" s="23" t="s">
        <v>42</v>
      </c>
      <c r="AA221" s="23" t="s">
        <v>115</v>
      </c>
      <c r="AB221" s="30" t="s">
        <v>155</v>
      </c>
      <c r="AC221" s="70"/>
      <c r="AD221" s="70"/>
      <c r="AE221" s="24"/>
      <c r="AF221" s="70"/>
      <c r="AG221" s="70"/>
      <c r="AH221" s="70"/>
      <c r="AI221" s="70"/>
      <c r="AJ221" s="70"/>
      <c r="AK221" s="70"/>
      <c r="AL221" s="70"/>
      <c r="AM221" s="24"/>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row>
    <row r="222" ht="15.75" customHeight="1">
      <c r="A222" s="8">
        <v>67.0</v>
      </c>
      <c r="B222" s="146" t="s">
        <v>1107</v>
      </c>
      <c r="C222" s="128" t="s">
        <v>57</v>
      </c>
      <c r="D222" s="128" t="s">
        <v>146</v>
      </c>
      <c r="E222" s="128" t="s">
        <v>1108</v>
      </c>
      <c r="F222" s="182">
        <v>43556.0</v>
      </c>
      <c r="G222" s="146" t="s">
        <v>112</v>
      </c>
      <c r="H222" s="28" t="s">
        <v>112</v>
      </c>
      <c r="I222" s="8" t="s">
        <v>63</v>
      </c>
      <c r="J222" s="128" t="s">
        <v>112</v>
      </c>
      <c r="K222" s="128" t="s">
        <v>99</v>
      </c>
      <c r="L222" s="146" t="s">
        <v>100</v>
      </c>
      <c r="M222" s="141" t="s">
        <v>150</v>
      </c>
      <c r="N222" s="128" t="s">
        <v>63</v>
      </c>
      <c r="O222" s="8" t="s">
        <v>152</v>
      </c>
      <c r="P222" s="128" t="s">
        <v>106</v>
      </c>
      <c r="Q222" s="128">
        <v>172.0</v>
      </c>
      <c r="R222" s="128">
        <v>402477.0</v>
      </c>
      <c r="S222" s="128">
        <v>9746938.0</v>
      </c>
      <c r="T222" s="128"/>
      <c r="U222" s="128"/>
      <c r="V222" s="128" t="s">
        <v>153</v>
      </c>
      <c r="W222" s="128" t="s">
        <v>154</v>
      </c>
      <c r="X222" s="128" t="s">
        <v>112</v>
      </c>
      <c r="Y222" s="128" t="s">
        <v>112</v>
      </c>
      <c r="Z222" s="23" t="s">
        <v>42</v>
      </c>
      <c r="AA222" s="23" t="s">
        <v>115</v>
      </c>
      <c r="AB222" s="30" t="s">
        <v>155</v>
      </c>
      <c r="AC222" s="70"/>
      <c r="AD222" s="70"/>
      <c r="AE222" s="24"/>
      <c r="AF222" s="70"/>
      <c r="AG222" s="70"/>
      <c r="AH222" s="70"/>
      <c r="AI222" s="70"/>
      <c r="AJ222" s="70"/>
      <c r="AK222" s="70"/>
      <c r="AL222" s="70"/>
      <c r="AM222" s="24"/>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row>
    <row r="223" ht="15.75" customHeight="1">
      <c r="A223" s="8">
        <v>69.0</v>
      </c>
      <c r="B223" s="146" t="s">
        <v>1109</v>
      </c>
      <c r="C223" s="128" t="s">
        <v>57</v>
      </c>
      <c r="D223" s="128" t="s">
        <v>146</v>
      </c>
      <c r="E223" s="128" t="s">
        <v>1110</v>
      </c>
      <c r="F223" s="182">
        <v>43556.0</v>
      </c>
      <c r="G223" s="146" t="s">
        <v>112</v>
      </c>
      <c r="H223" s="28" t="s">
        <v>112</v>
      </c>
      <c r="I223" s="8" t="s">
        <v>63</v>
      </c>
      <c r="J223" s="128" t="s">
        <v>112</v>
      </c>
      <c r="K223" s="128" t="s">
        <v>99</v>
      </c>
      <c r="L223" s="146" t="s">
        <v>100</v>
      </c>
      <c r="M223" s="141" t="s">
        <v>150</v>
      </c>
      <c r="N223" s="128" t="s">
        <v>1111</v>
      </c>
      <c r="O223" s="8" t="s">
        <v>152</v>
      </c>
      <c r="P223" s="128" t="s">
        <v>106</v>
      </c>
      <c r="Q223" s="128">
        <v>181.0</v>
      </c>
      <c r="R223" s="128">
        <v>402478.0</v>
      </c>
      <c r="S223" s="128">
        <v>9746718.0</v>
      </c>
      <c r="T223" s="128"/>
      <c r="U223" s="128"/>
      <c r="V223" s="128" t="s">
        <v>153</v>
      </c>
      <c r="W223" s="128" t="s">
        <v>154</v>
      </c>
      <c r="X223" s="128" t="s">
        <v>112</v>
      </c>
      <c r="Y223" s="128" t="s">
        <v>112</v>
      </c>
      <c r="Z223" s="23" t="s">
        <v>42</v>
      </c>
      <c r="AA223" s="23" t="s">
        <v>115</v>
      </c>
      <c r="AB223" s="30" t="s">
        <v>155</v>
      </c>
      <c r="AC223" s="70"/>
      <c r="AD223" s="70"/>
      <c r="AE223" s="24"/>
      <c r="AF223" s="70"/>
      <c r="AG223" s="70"/>
      <c r="AH223" s="70"/>
      <c r="AI223" s="70"/>
      <c r="AJ223" s="70"/>
      <c r="AK223" s="70"/>
      <c r="AL223" s="70"/>
      <c r="AM223" s="24"/>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row>
    <row r="224" ht="15.75" customHeight="1">
      <c r="A224" s="8">
        <v>690.0</v>
      </c>
      <c r="B224" s="163" t="s">
        <v>1112</v>
      </c>
      <c r="C224" s="167" t="s">
        <v>51</v>
      </c>
      <c r="D224" s="163" t="s">
        <v>213</v>
      </c>
      <c r="E224" s="163" t="s">
        <v>112</v>
      </c>
      <c r="F224" s="189" t="s">
        <v>1113</v>
      </c>
      <c r="G224" s="169">
        <v>42430.0</v>
      </c>
      <c r="H224" s="42" t="str">
        <f>TEXT(G224, "yyyy")</f>
        <v>2016</v>
      </c>
      <c r="I224" s="8" t="s">
        <v>63</v>
      </c>
      <c r="J224" s="163" t="s">
        <v>112</v>
      </c>
      <c r="K224" s="163" t="s">
        <v>112</v>
      </c>
      <c r="L224" s="163" t="s">
        <v>100</v>
      </c>
      <c r="M224" s="173" t="s">
        <v>112</v>
      </c>
      <c r="N224" s="163" t="s">
        <v>1114</v>
      </c>
      <c r="O224" s="8" t="s">
        <v>1115</v>
      </c>
      <c r="P224" s="163" t="s">
        <v>106</v>
      </c>
      <c r="Q224" s="163" t="s">
        <v>112</v>
      </c>
      <c r="R224" s="163">
        <v>402480.0</v>
      </c>
      <c r="S224" s="163">
        <v>9746744.0</v>
      </c>
      <c r="T224" s="163">
        <v>-75.87730239</v>
      </c>
      <c r="U224" s="163">
        <v>-2.29157379</v>
      </c>
      <c r="V224" s="167" t="s">
        <v>221</v>
      </c>
      <c r="W224" s="163" t="s">
        <v>112</v>
      </c>
      <c r="X224" s="163" t="s">
        <v>112</v>
      </c>
      <c r="Y224" s="163" t="s">
        <v>112</v>
      </c>
      <c r="Z224" s="8" t="s">
        <v>69</v>
      </c>
      <c r="AA224" s="23" t="s">
        <v>115</v>
      </c>
      <c r="AB224" s="8" t="s">
        <v>378</v>
      </c>
      <c r="AC224" s="70"/>
      <c r="AD224" s="70"/>
      <c r="AE224" s="24"/>
      <c r="AF224" s="70"/>
      <c r="AG224" s="70"/>
      <c r="AH224" s="70"/>
      <c r="AI224" s="70"/>
      <c r="AJ224" s="70"/>
      <c r="AK224" s="70"/>
      <c r="AL224" s="70"/>
      <c r="AM224" s="24"/>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row>
    <row r="225" ht="15.75" customHeight="1">
      <c r="A225" s="8">
        <v>68.0</v>
      </c>
      <c r="B225" s="146" t="s">
        <v>1116</v>
      </c>
      <c r="C225" s="128" t="s">
        <v>57</v>
      </c>
      <c r="D225" s="128" t="s">
        <v>146</v>
      </c>
      <c r="E225" s="128" t="s">
        <v>1117</v>
      </c>
      <c r="F225" s="182">
        <v>43556.0</v>
      </c>
      <c r="G225" s="146" t="s">
        <v>112</v>
      </c>
      <c r="H225" s="28" t="s">
        <v>112</v>
      </c>
      <c r="I225" s="8" t="s">
        <v>63</v>
      </c>
      <c r="J225" s="128" t="s">
        <v>112</v>
      </c>
      <c r="K225" s="128" t="s">
        <v>99</v>
      </c>
      <c r="L225" s="146" t="s">
        <v>100</v>
      </c>
      <c r="M225" s="141" t="s">
        <v>150</v>
      </c>
      <c r="N225" s="128" t="s">
        <v>1118</v>
      </c>
      <c r="O225" s="8" t="s">
        <v>152</v>
      </c>
      <c r="P225" s="128" t="s">
        <v>106</v>
      </c>
      <c r="Q225" s="128">
        <v>184.0</v>
      </c>
      <c r="R225" s="128">
        <v>402529.0</v>
      </c>
      <c r="S225" s="128">
        <v>9746893.0</v>
      </c>
      <c r="T225" s="128"/>
      <c r="U225" s="128"/>
      <c r="V225" s="128" t="s">
        <v>153</v>
      </c>
      <c r="W225" s="128" t="s">
        <v>154</v>
      </c>
      <c r="X225" s="128" t="s">
        <v>112</v>
      </c>
      <c r="Y225" s="128" t="s">
        <v>112</v>
      </c>
      <c r="Z225" s="23" t="s">
        <v>42</v>
      </c>
      <c r="AA225" s="23" t="s">
        <v>115</v>
      </c>
      <c r="AB225" s="30" t="s">
        <v>155</v>
      </c>
      <c r="AC225" s="70"/>
      <c r="AD225" s="70"/>
      <c r="AE225" s="24"/>
      <c r="AF225" s="70"/>
      <c r="AG225" s="70"/>
      <c r="AH225" s="70"/>
      <c r="AI225" s="70"/>
      <c r="AJ225" s="70"/>
      <c r="AK225" s="70"/>
      <c r="AL225" s="70"/>
      <c r="AM225" s="24"/>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row>
    <row r="226" ht="15.75" customHeight="1">
      <c r="A226" s="8">
        <v>52.0</v>
      </c>
      <c r="B226" s="146" t="s">
        <v>1119</v>
      </c>
      <c r="C226" s="128" t="s">
        <v>57</v>
      </c>
      <c r="D226" s="128" t="s">
        <v>146</v>
      </c>
      <c r="E226" s="128" t="s">
        <v>1120</v>
      </c>
      <c r="F226" s="182">
        <v>43556.0</v>
      </c>
      <c r="G226" s="146" t="s">
        <v>112</v>
      </c>
      <c r="H226" s="28" t="s">
        <v>112</v>
      </c>
      <c r="I226" s="8" t="s">
        <v>97</v>
      </c>
      <c r="J226" s="128" t="s">
        <v>112</v>
      </c>
      <c r="K226" s="128" t="s">
        <v>99</v>
      </c>
      <c r="L226" s="146" t="s">
        <v>100</v>
      </c>
      <c r="M226" s="141" t="s">
        <v>150</v>
      </c>
      <c r="N226" s="128" t="s">
        <v>1121</v>
      </c>
      <c r="O226" s="8" t="s">
        <v>152</v>
      </c>
      <c r="P226" s="128" t="s">
        <v>106</v>
      </c>
      <c r="Q226" s="128">
        <v>168.0</v>
      </c>
      <c r="R226" s="128">
        <v>402590.0</v>
      </c>
      <c r="S226" s="128">
        <v>9745289.0</v>
      </c>
      <c r="T226" s="128"/>
      <c r="U226" s="128"/>
      <c r="V226" s="128" t="s">
        <v>153</v>
      </c>
      <c r="W226" s="128" t="s">
        <v>154</v>
      </c>
      <c r="X226" s="128" t="s">
        <v>112</v>
      </c>
      <c r="Y226" s="128" t="s">
        <v>112</v>
      </c>
      <c r="Z226" s="23" t="s">
        <v>42</v>
      </c>
      <c r="AA226" s="23" t="s">
        <v>115</v>
      </c>
      <c r="AB226" s="30" t="s">
        <v>155</v>
      </c>
      <c r="AC226" s="70"/>
      <c r="AD226" s="70"/>
      <c r="AE226" s="24"/>
      <c r="AF226" s="70"/>
      <c r="AG226" s="70"/>
      <c r="AH226" s="70"/>
      <c r="AI226" s="70"/>
      <c r="AJ226" s="70"/>
      <c r="AK226" s="70"/>
      <c r="AL226" s="70"/>
      <c r="AM226" s="24"/>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row>
    <row r="227" ht="15.75" customHeight="1">
      <c r="A227" s="8">
        <v>51.0</v>
      </c>
      <c r="B227" s="146" t="s">
        <v>1122</v>
      </c>
      <c r="C227" s="128" t="s">
        <v>57</v>
      </c>
      <c r="D227" s="128" t="s">
        <v>146</v>
      </c>
      <c r="E227" s="128" t="s">
        <v>1123</v>
      </c>
      <c r="F227" s="182">
        <v>43556.0</v>
      </c>
      <c r="G227" s="146" t="s">
        <v>112</v>
      </c>
      <c r="H227" s="28" t="s">
        <v>112</v>
      </c>
      <c r="I227" s="8" t="s">
        <v>97</v>
      </c>
      <c r="J227" s="128" t="s">
        <v>112</v>
      </c>
      <c r="K227" s="128" t="s">
        <v>99</v>
      </c>
      <c r="L227" s="146" t="s">
        <v>100</v>
      </c>
      <c r="M227" s="141" t="s">
        <v>150</v>
      </c>
      <c r="N227" s="128" t="s">
        <v>1124</v>
      </c>
      <c r="O227" s="8" t="s">
        <v>152</v>
      </c>
      <c r="P227" s="128" t="s">
        <v>106</v>
      </c>
      <c r="Q227" s="128">
        <v>160.0</v>
      </c>
      <c r="R227" s="128">
        <v>402642.0</v>
      </c>
      <c r="S227" s="128">
        <v>9745434.0</v>
      </c>
      <c r="T227" s="128"/>
      <c r="U227" s="128"/>
      <c r="V227" s="128" t="s">
        <v>153</v>
      </c>
      <c r="W227" s="128" t="s">
        <v>154</v>
      </c>
      <c r="X227" s="128" t="s">
        <v>112</v>
      </c>
      <c r="Y227" s="128" t="s">
        <v>112</v>
      </c>
      <c r="Z227" s="23" t="s">
        <v>42</v>
      </c>
      <c r="AA227" s="23" t="s">
        <v>115</v>
      </c>
      <c r="AB227" s="30" t="s">
        <v>155</v>
      </c>
      <c r="AC227" s="70"/>
      <c r="AD227" s="70"/>
      <c r="AE227" s="24"/>
      <c r="AF227" s="70"/>
      <c r="AG227" s="70"/>
      <c r="AH227" s="70"/>
      <c r="AI227" s="70"/>
      <c r="AJ227" s="70"/>
      <c r="AK227" s="70"/>
      <c r="AL227" s="70"/>
      <c r="AM227" s="24"/>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row>
    <row r="228" ht="15.75" customHeight="1">
      <c r="A228" s="52">
        <v>992.0</v>
      </c>
      <c r="B228" s="134" t="s">
        <v>1125</v>
      </c>
      <c r="C228" s="134" t="s">
        <v>57</v>
      </c>
      <c r="D228" s="134" t="s">
        <v>694</v>
      </c>
      <c r="E228" s="134" t="s">
        <v>964</v>
      </c>
      <c r="F228" s="134" t="s">
        <v>1126</v>
      </c>
      <c r="G228" s="134" t="s">
        <v>1126</v>
      </c>
      <c r="H228" s="55">
        <v>2023.0</v>
      </c>
      <c r="I228" s="53" t="s">
        <v>97</v>
      </c>
      <c r="J228" s="134" t="s">
        <v>230</v>
      </c>
      <c r="K228" s="134" t="s">
        <v>164</v>
      </c>
      <c r="L228" s="134" t="s">
        <v>100</v>
      </c>
      <c r="M228" s="134" t="s">
        <v>485</v>
      </c>
      <c r="N228" s="134"/>
      <c r="O228" s="58" t="s">
        <v>1127</v>
      </c>
      <c r="P228" s="134" t="s">
        <v>699</v>
      </c>
      <c r="Q228" s="134"/>
      <c r="R228" s="134">
        <v>402656.0</v>
      </c>
      <c r="S228" s="134">
        <v>9745423.0</v>
      </c>
      <c r="T228" s="137"/>
      <c r="U228" s="137"/>
      <c r="V228" s="134" t="s">
        <v>1128</v>
      </c>
      <c r="W228" s="134" t="s">
        <v>1129</v>
      </c>
      <c r="X228" s="134"/>
      <c r="Y228" s="134"/>
      <c r="Z228" s="58"/>
      <c r="AA228" s="58"/>
      <c r="AB228" s="58"/>
      <c r="AC228" s="70"/>
      <c r="AD228" s="70"/>
      <c r="AE228" s="24"/>
      <c r="AF228" s="70"/>
      <c r="AG228" s="70"/>
      <c r="AH228" s="70"/>
      <c r="AI228" s="70"/>
      <c r="AJ228" s="70"/>
      <c r="AK228" s="70"/>
      <c r="AL228" s="70"/>
      <c r="AM228" s="24"/>
      <c r="AN228" s="70"/>
      <c r="AO228" s="70"/>
      <c r="AP228" s="70"/>
      <c r="AQ228" s="70"/>
      <c r="AR228" s="70"/>
      <c r="AS228" s="70"/>
      <c r="AT228" s="70"/>
      <c r="AU228" s="70"/>
      <c r="AV228" s="70"/>
      <c r="AW228" s="70"/>
      <c r="AX228" s="70"/>
      <c r="AY228" s="70"/>
      <c r="AZ228" s="70"/>
      <c r="BA228" s="70"/>
      <c r="BB228" s="70"/>
      <c r="BC228" s="70"/>
      <c r="BD228" s="70"/>
      <c r="BE228" s="70"/>
      <c r="BF228" s="70"/>
      <c r="BG228" s="70"/>
      <c r="BH228" s="70"/>
      <c r="BI228" s="70"/>
      <c r="BJ228" s="70"/>
      <c r="BK228" s="70"/>
      <c r="BL228" s="70"/>
      <c r="BM228" s="70"/>
      <c r="BN228" s="70"/>
      <c r="BO228" s="70"/>
      <c r="BP228" s="70"/>
      <c r="BQ228" s="70"/>
      <c r="BR228" s="70"/>
      <c r="BS228" s="70"/>
      <c r="BT228" s="70"/>
      <c r="BU228" s="70"/>
      <c r="BV228" s="70"/>
      <c r="BW228" s="70"/>
      <c r="BX228" s="70"/>
      <c r="BY228" s="70"/>
    </row>
    <row r="229" ht="15.75" customHeight="1">
      <c r="A229" s="8">
        <v>70.0</v>
      </c>
      <c r="B229" s="146" t="s">
        <v>1130</v>
      </c>
      <c r="C229" s="128" t="s">
        <v>57</v>
      </c>
      <c r="D229" s="128" t="s">
        <v>146</v>
      </c>
      <c r="E229" s="128" t="s">
        <v>1131</v>
      </c>
      <c r="F229" s="182">
        <v>43556.0</v>
      </c>
      <c r="G229" s="146" t="s">
        <v>112</v>
      </c>
      <c r="H229" s="28" t="s">
        <v>112</v>
      </c>
      <c r="I229" s="8" t="s">
        <v>63</v>
      </c>
      <c r="J229" s="128" t="s">
        <v>112</v>
      </c>
      <c r="K229" s="128" t="s">
        <v>99</v>
      </c>
      <c r="L229" s="146" t="s">
        <v>100</v>
      </c>
      <c r="M229" s="141" t="s">
        <v>150</v>
      </c>
      <c r="N229" s="128" t="s">
        <v>1132</v>
      </c>
      <c r="O229" s="8" t="s">
        <v>152</v>
      </c>
      <c r="P229" s="128" t="s">
        <v>106</v>
      </c>
      <c r="Q229" s="128">
        <v>157.0</v>
      </c>
      <c r="R229" s="191">
        <v>402860.0</v>
      </c>
      <c r="S229" s="128">
        <v>9745872.0</v>
      </c>
      <c r="T229" s="128"/>
      <c r="U229" s="128"/>
      <c r="V229" s="128" t="s">
        <v>153</v>
      </c>
      <c r="W229" s="128" t="s">
        <v>154</v>
      </c>
      <c r="X229" s="128" t="s">
        <v>112</v>
      </c>
      <c r="Y229" s="128" t="s">
        <v>112</v>
      </c>
      <c r="Z229" s="23" t="s">
        <v>42</v>
      </c>
      <c r="AA229" s="23" t="s">
        <v>115</v>
      </c>
      <c r="AB229" s="30" t="s">
        <v>155</v>
      </c>
      <c r="AC229" s="70"/>
      <c r="AD229" s="70"/>
      <c r="AE229" s="24"/>
      <c r="AF229" s="70"/>
      <c r="AG229" s="70"/>
      <c r="AH229" s="70"/>
      <c r="AI229" s="70"/>
      <c r="AJ229" s="70"/>
      <c r="AK229" s="70"/>
      <c r="AL229" s="70"/>
      <c r="AM229" s="24"/>
      <c r="AN229" s="70"/>
      <c r="AO229" s="70"/>
      <c r="AP229" s="70"/>
      <c r="AQ229" s="70"/>
      <c r="AR229" s="70"/>
      <c r="AS229" s="70"/>
      <c r="AT229" s="70"/>
      <c r="AU229" s="70"/>
      <c r="AV229" s="70"/>
      <c r="AW229" s="70"/>
      <c r="AX229" s="70"/>
      <c r="AY229" s="70"/>
      <c r="AZ229" s="70"/>
      <c r="BA229" s="70"/>
      <c r="BB229" s="70"/>
      <c r="BC229" s="70"/>
      <c r="BD229" s="70"/>
      <c r="BE229" s="70"/>
      <c r="BF229" s="70"/>
      <c r="BG229" s="70"/>
      <c r="BH229" s="70"/>
      <c r="BI229" s="70"/>
      <c r="BJ229" s="70"/>
      <c r="BK229" s="70"/>
      <c r="BL229" s="70"/>
      <c r="BM229" s="70"/>
      <c r="BN229" s="70"/>
      <c r="BO229" s="70"/>
      <c r="BP229" s="70"/>
      <c r="BQ229" s="70"/>
      <c r="BR229" s="70"/>
      <c r="BS229" s="70"/>
      <c r="BT229" s="70"/>
      <c r="BU229" s="70"/>
      <c r="BV229" s="70"/>
      <c r="BW229" s="70"/>
      <c r="BX229" s="70"/>
      <c r="BY229" s="70"/>
    </row>
    <row r="230" ht="15.75" customHeight="1">
      <c r="A230" s="8">
        <v>57.0</v>
      </c>
      <c r="B230" s="146" t="s">
        <v>1133</v>
      </c>
      <c r="C230" s="128" t="s">
        <v>57</v>
      </c>
      <c r="D230" s="128" t="s">
        <v>146</v>
      </c>
      <c r="E230" s="128" t="s">
        <v>1134</v>
      </c>
      <c r="F230" s="182">
        <v>43556.0</v>
      </c>
      <c r="G230" s="146" t="s">
        <v>112</v>
      </c>
      <c r="H230" s="28" t="s">
        <v>112</v>
      </c>
      <c r="I230" s="8" t="s">
        <v>97</v>
      </c>
      <c r="J230" s="128" t="s">
        <v>112</v>
      </c>
      <c r="K230" s="128" t="s">
        <v>99</v>
      </c>
      <c r="L230" s="146" t="s">
        <v>100</v>
      </c>
      <c r="M230" s="141" t="s">
        <v>150</v>
      </c>
      <c r="N230" s="128" t="s">
        <v>1135</v>
      </c>
      <c r="O230" s="8" t="s">
        <v>152</v>
      </c>
      <c r="P230" s="128" t="s">
        <v>106</v>
      </c>
      <c r="Q230" s="128">
        <v>162.0</v>
      </c>
      <c r="R230" s="128">
        <v>402963.0</v>
      </c>
      <c r="S230" s="128">
        <v>9743887.0</v>
      </c>
      <c r="T230" s="128"/>
      <c r="U230" s="128"/>
      <c r="V230" s="128" t="s">
        <v>153</v>
      </c>
      <c r="W230" s="128" t="s">
        <v>154</v>
      </c>
      <c r="X230" s="128" t="s">
        <v>112</v>
      </c>
      <c r="Y230" s="128" t="s">
        <v>112</v>
      </c>
      <c r="Z230" s="23" t="s">
        <v>42</v>
      </c>
      <c r="AA230" s="23" t="s">
        <v>115</v>
      </c>
      <c r="AB230" s="30" t="s">
        <v>155</v>
      </c>
      <c r="AC230" s="70"/>
      <c r="AD230" s="70"/>
      <c r="AE230" s="24"/>
      <c r="AF230" s="70"/>
      <c r="AG230" s="70"/>
      <c r="AH230" s="70"/>
      <c r="AI230" s="70"/>
      <c r="AJ230" s="70"/>
      <c r="AK230" s="70"/>
      <c r="AL230" s="70"/>
      <c r="AM230" s="24"/>
      <c r="AN230" s="70"/>
      <c r="AO230" s="70"/>
      <c r="AP230" s="70"/>
      <c r="AQ230" s="70"/>
      <c r="AR230" s="70"/>
      <c r="AS230" s="70"/>
      <c r="AT230" s="70"/>
      <c r="AU230" s="70"/>
      <c r="AV230" s="70"/>
      <c r="AW230" s="70"/>
      <c r="AX230" s="70"/>
      <c r="AY230" s="70"/>
      <c r="AZ230" s="70"/>
      <c r="BA230" s="70"/>
      <c r="BB230" s="70"/>
      <c r="BC230" s="70"/>
      <c r="BD230" s="70"/>
      <c r="BE230" s="70"/>
      <c r="BF230" s="70"/>
      <c r="BG230" s="70"/>
      <c r="BH230" s="70"/>
      <c r="BI230" s="70"/>
      <c r="BJ230" s="70"/>
      <c r="BK230" s="70"/>
      <c r="BL230" s="70"/>
      <c r="BM230" s="70"/>
      <c r="BN230" s="70"/>
      <c r="BO230" s="70"/>
      <c r="BP230" s="70"/>
      <c r="BQ230" s="70"/>
      <c r="BR230" s="70"/>
      <c r="BS230" s="70"/>
      <c r="BT230" s="70"/>
      <c r="BU230" s="70"/>
      <c r="BV230" s="70"/>
      <c r="BW230" s="70"/>
      <c r="BX230" s="70"/>
      <c r="BY230" s="70"/>
    </row>
    <row r="231" ht="15.75" customHeight="1">
      <c r="A231" s="8">
        <v>72.0</v>
      </c>
      <c r="B231" s="146" t="s">
        <v>1136</v>
      </c>
      <c r="C231" s="128" t="s">
        <v>57</v>
      </c>
      <c r="D231" s="128" t="s">
        <v>146</v>
      </c>
      <c r="E231" s="128" t="s">
        <v>1137</v>
      </c>
      <c r="F231" s="182">
        <v>43556.0</v>
      </c>
      <c r="G231" s="146" t="s">
        <v>112</v>
      </c>
      <c r="H231" s="28" t="s">
        <v>112</v>
      </c>
      <c r="I231" s="8" t="s">
        <v>63</v>
      </c>
      <c r="J231" s="128" t="s">
        <v>112</v>
      </c>
      <c r="K231" s="128" t="s">
        <v>99</v>
      </c>
      <c r="L231" s="146" t="s">
        <v>100</v>
      </c>
      <c r="M231" s="141" t="s">
        <v>150</v>
      </c>
      <c r="N231" s="128" t="s">
        <v>1138</v>
      </c>
      <c r="O231" s="8" t="s">
        <v>152</v>
      </c>
      <c r="P231" s="128" t="s">
        <v>106</v>
      </c>
      <c r="Q231" s="128">
        <v>160.0</v>
      </c>
      <c r="R231" s="128">
        <v>403279.0</v>
      </c>
      <c r="S231" s="128">
        <v>9744727.0</v>
      </c>
      <c r="T231" s="128"/>
      <c r="U231" s="128"/>
      <c r="V231" s="128" t="s">
        <v>153</v>
      </c>
      <c r="W231" s="128" t="s">
        <v>154</v>
      </c>
      <c r="X231" s="128" t="s">
        <v>112</v>
      </c>
      <c r="Y231" s="128" t="s">
        <v>112</v>
      </c>
      <c r="Z231" s="23" t="s">
        <v>42</v>
      </c>
      <c r="AA231" s="23" t="s">
        <v>115</v>
      </c>
      <c r="AB231" s="30" t="s">
        <v>155</v>
      </c>
      <c r="AC231" s="70"/>
      <c r="AD231" s="70"/>
      <c r="AE231" s="24"/>
      <c r="AF231" s="70"/>
      <c r="AG231" s="70"/>
      <c r="AH231" s="70"/>
      <c r="AI231" s="70"/>
      <c r="AJ231" s="70"/>
      <c r="AK231" s="70"/>
      <c r="AL231" s="70"/>
      <c r="AM231" s="24"/>
      <c r="AN231" s="70"/>
      <c r="AO231" s="70"/>
      <c r="AP231" s="70"/>
      <c r="AQ231" s="70"/>
      <c r="AR231" s="70"/>
      <c r="AS231" s="70"/>
      <c r="AT231" s="70"/>
      <c r="AU231" s="70"/>
      <c r="AV231" s="70"/>
      <c r="AW231" s="70"/>
      <c r="AX231" s="70"/>
      <c r="AY231" s="70"/>
      <c r="AZ231" s="70"/>
      <c r="BA231" s="70"/>
      <c r="BB231" s="70"/>
      <c r="BC231" s="70"/>
      <c r="BD231" s="70"/>
      <c r="BE231" s="70"/>
      <c r="BF231" s="70"/>
      <c r="BG231" s="70"/>
      <c r="BH231" s="70"/>
      <c r="BI231" s="70"/>
      <c r="BJ231" s="70"/>
      <c r="BK231" s="70"/>
      <c r="BL231" s="70"/>
      <c r="BM231" s="70"/>
      <c r="BN231" s="70"/>
      <c r="BO231" s="70"/>
      <c r="BP231" s="70"/>
      <c r="BQ231" s="70"/>
      <c r="BR231" s="70"/>
      <c r="BS231" s="70"/>
      <c r="BT231" s="70"/>
      <c r="BU231" s="70"/>
      <c r="BV231" s="70"/>
      <c r="BW231" s="70"/>
      <c r="BX231" s="70"/>
      <c r="BY231" s="70"/>
    </row>
    <row r="232" ht="15.75" customHeight="1">
      <c r="A232" s="8">
        <v>53.0</v>
      </c>
      <c r="B232" s="146" t="s">
        <v>1139</v>
      </c>
      <c r="C232" s="128" t="s">
        <v>57</v>
      </c>
      <c r="D232" s="128" t="s">
        <v>146</v>
      </c>
      <c r="E232" s="128" t="s">
        <v>1140</v>
      </c>
      <c r="F232" s="182">
        <v>43556.0</v>
      </c>
      <c r="G232" s="146" t="s">
        <v>112</v>
      </c>
      <c r="H232" s="28" t="s">
        <v>112</v>
      </c>
      <c r="I232" s="8" t="s">
        <v>97</v>
      </c>
      <c r="J232" s="128" t="s">
        <v>112</v>
      </c>
      <c r="K232" s="128" t="s">
        <v>99</v>
      </c>
      <c r="L232" s="146" t="s">
        <v>100</v>
      </c>
      <c r="M232" s="141" t="s">
        <v>150</v>
      </c>
      <c r="N232" s="128" t="s">
        <v>1141</v>
      </c>
      <c r="O232" s="8" t="s">
        <v>152</v>
      </c>
      <c r="P232" s="128" t="s">
        <v>106</v>
      </c>
      <c r="Q232" s="128">
        <v>159.0</v>
      </c>
      <c r="R232" s="128">
        <v>403367.0</v>
      </c>
      <c r="S232" s="128">
        <v>9744715.0</v>
      </c>
      <c r="T232" s="128"/>
      <c r="U232" s="128"/>
      <c r="V232" s="128" t="s">
        <v>153</v>
      </c>
      <c r="W232" s="128" t="s">
        <v>154</v>
      </c>
      <c r="X232" s="128" t="s">
        <v>112</v>
      </c>
      <c r="Y232" s="128" t="s">
        <v>112</v>
      </c>
      <c r="Z232" s="23" t="s">
        <v>42</v>
      </c>
      <c r="AA232" s="23" t="s">
        <v>115</v>
      </c>
      <c r="AB232" s="30" t="s">
        <v>155</v>
      </c>
      <c r="AC232" s="70"/>
      <c r="AD232" s="70"/>
      <c r="AE232" s="24"/>
      <c r="AF232" s="70"/>
      <c r="AG232" s="70"/>
      <c r="AH232" s="70"/>
      <c r="AI232" s="70"/>
      <c r="AJ232" s="70"/>
      <c r="AK232" s="70"/>
      <c r="AL232" s="70"/>
      <c r="AM232" s="24"/>
      <c r="AN232" s="70"/>
      <c r="AO232" s="70"/>
      <c r="AP232" s="70"/>
      <c r="AQ232" s="70"/>
      <c r="AR232" s="70"/>
      <c r="AS232" s="70"/>
      <c r="AT232" s="70"/>
      <c r="AU232" s="70"/>
      <c r="AV232" s="70"/>
      <c r="AW232" s="70"/>
      <c r="AX232" s="70"/>
      <c r="AY232" s="70"/>
      <c r="AZ232" s="70"/>
      <c r="BA232" s="70"/>
      <c r="BB232" s="70"/>
      <c r="BC232" s="70"/>
      <c r="BD232" s="70"/>
      <c r="BE232" s="70"/>
      <c r="BF232" s="70"/>
      <c r="BG232" s="70"/>
      <c r="BH232" s="70"/>
      <c r="BI232" s="70"/>
      <c r="BJ232" s="70"/>
      <c r="BK232" s="70"/>
      <c r="BL232" s="70"/>
      <c r="BM232" s="70"/>
      <c r="BN232" s="70"/>
      <c r="BO232" s="70"/>
      <c r="BP232" s="70"/>
      <c r="BQ232" s="70"/>
      <c r="BR232" s="70"/>
      <c r="BS232" s="70"/>
      <c r="BT232" s="70"/>
      <c r="BU232" s="70"/>
      <c r="BV232" s="70"/>
      <c r="BW232" s="70"/>
      <c r="BX232" s="70"/>
      <c r="BY232" s="70"/>
    </row>
    <row r="233" ht="15.75" customHeight="1">
      <c r="A233" s="8">
        <v>62.0</v>
      </c>
      <c r="B233" s="146" t="s">
        <v>1142</v>
      </c>
      <c r="C233" s="128" t="s">
        <v>57</v>
      </c>
      <c r="D233" s="128" t="s">
        <v>146</v>
      </c>
      <c r="E233" s="128" t="s">
        <v>1143</v>
      </c>
      <c r="F233" s="182">
        <v>43556.0</v>
      </c>
      <c r="G233" s="146" t="s">
        <v>112</v>
      </c>
      <c r="H233" s="28" t="s">
        <v>112</v>
      </c>
      <c r="I233" s="8" t="s">
        <v>97</v>
      </c>
      <c r="J233" s="128" t="s">
        <v>112</v>
      </c>
      <c r="K233" s="128" t="s">
        <v>99</v>
      </c>
      <c r="L233" s="146" t="s">
        <v>100</v>
      </c>
      <c r="M233" s="141" t="s">
        <v>150</v>
      </c>
      <c r="N233" s="128" t="s">
        <v>1144</v>
      </c>
      <c r="O233" s="8" t="s">
        <v>152</v>
      </c>
      <c r="P233" s="128" t="s">
        <v>106</v>
      </c>
      <c r="Q233" s="128">
        <v>162.0</v>
      </c>
      <c r="R233" s="128">
        <v>403419.0</v>
      </c>
      <c r="S233" s="128">
        <v>9744288.0</v>
      </c>
      <c r="T233" s="128"/>
      <c r="U233" s="128"/>
      <c r="V233" s="128" t="s">
        <v>153</v>
      </c>
      <c r="W233" s="128" t="s">
        <v>154</v>
      </c>
      <c r="X233" s="128" t="s">
        <v>112</v>
      </c>
      <c r="Y233" s="128" t="s">
        <v>112</v>
      </c>
      <c r="Z233" s="23" t="s">
        <v>42</v>
      </c>
      <c r="AA233" s="23" t="s">
        <v>115</v>
      </c>
      <c r="AB233" s="30" t="s">
        <v>155</v>
      </c>
      <c r="AC233" s="70"/>
      <c r="AD233" s="70"/>
      <c r="AE233" s="24"/>
      <c r="AF233" s="70"/>
      <c r="AG233" s="70"/>
      <c r="AH233" s="70"/>
      <c r="AI233" s="70"/>
      <c r="AJ233" s="70"/>
      <c r="AK233" s="70"/>
      <c r="AL233" s="70"/>
      <c r="AM233" s="24"/>
      <c r="AN233" s="70"/>
      <c r="AO233" s="70"/>
      <c r="AP233" s="70"/>
      <c r="AQ233" s="70"/>
      <c r="AR233" s="70"/>
      <c r="AS233" s="70"/>
      <c r="AT233" s="70"/>
      <c r="AU233" s="70"/>
      <c r="AV233" s="70"/>
      <c r="AW233" s="70"/>
      <c r="AX233" s="70"/>
      <c r="AY233" s="70"/>
      <c r="AZ233" s="70"/>
      <c r="BA233" s="70"/>
      <c r="BB233" s="70"/>
      <c r="BC233" s="70"/>
      <c r="BD233" s="70"/>
      <c r="BE233" s="70"/>
      <c r="BF233" s="70"/>
      <c r="BG233" s="70"/>
      <c r="BH233" s="70"/>
      <c r="BI233" s="70"/>
      <c r="BJ233" s="70"/>
      <c r="BK233" s="70"/>
      <c r="BL233" s="70"/>
      <c r="BM233" s="70"/>
      <c r="BN233" s="70"/>
      <c r="BO233" s="70"/>
      <c r="BP233" s="70"/>
      <c r="BQ233" s="70"/>
      <c r="BR233" s="70"/>
      <c r="BS233" s="70"/>
      <c r="BT233" s="70"/>
      <c r="BU233" s="70"/>
      <c r="BV233" s="70"/>
      <c r="BW233" s="70"/>
      <c r="BX233" s="70"/>
      <c r="BY233" s="70"/>
    </row>
    <row r="234" ht="15.75" customHeight="1">
      <c r="A234" s="8">
        <v>71.0</v>
      </c>
      <c r="B234" s="146" t="s">
        <v>1145</v>
      </c>
      <c r="C234" s="128" t="s">
        <v>57</v>
      </c>
      <c r="D234" s="128" t="s">
        <v>146</v>
      </c>
      <c r="E234" s="128" t="s">
        <v>1146</v>
      </c>
      <c r="F234" s="182">
        <v>43556.0</v>
      </c>
      <c r="G234" s="146" t="s">
        <v>112</v>
      </c>
      <c r="H234" s="28" t="s">
        <v>112</v>
      </c>
      <c r="I234" s="8" t="s">
        <v>63</v>
      </c>
      <c r="J234" s="128" t="s">
        <v>112</v>
      </c>
      <c r="K234" s="128" t="s">
        <v>99</v>
      </c>
      <c r="L234" s="146" t="s">
        <v>100</v>
      </c>
      <c r="M234" s="141" t="s">
        <v>150</v>
      </c>
      <c r="N234" s="128" t="s">
        <v>1147</v>
      </c>
      <c r="O234" s="8" t="s">
        <v>152</v>
      </c>
      <c r="P234" s="128" t="s">
        <v>106</v>
      </c>
      <c r="Q234" s="128">
        <v>181.0</v>
      </c>
      <c r="R234" s="128">
        <v>403441.0</v>
      </c>
      <c r="S234" s="128">
        <v>9744922.0</v>
      </c>
      <c r="T234" s="128"/>
      <c r="U234" s="128"/>
      <c r="V234" s="128" t="s">
        <v>153</v>
      </c>
      <c r="W234" s="128" t="s">
        <v>154</v>
      </c>
      <c r="X234" s="128" t="s">
        <v>112</v>
      </c>
      <c r="Y234" s="128" t="s">
        <v>112</v>
      </c>
      <c r="Z234" s="23" t="s">
        <v>42</v>
      </c>
      <c r="AA234" s="23" t="s">
        <v>115</v>
      </c>
      <c r="AB234" s="30" t="s">
        <v>155</v>
      </c>
      <c r="AC234" s="70"/>
      <c r="AD234" s="70"/>
      <c r="AE234" s="24"/>
      <c r="AF234" s="70"/>
      <c r="AG234" s="70"/>
      <c r="AH234" s="70"/>
      <c r="AI234" s="70"/>
      <c r="AJ234" s="70"/>
      <c r="AK234" s="70"/>
      <c r="AL234" s="70"/>
      <c r="AM234" s="24"/>
      <c r="AN234" s="70"/>
      <c r="AO234" s="70"/>
      <c r="AP234" s="70"/>
      <c r="AQ234" s="70"/>
      <c r="AR234" s="70"/>
      <c r="AS234" s="70"/>
      <c r="AT234" s="70"/>
      <c r="AU234" s="70"/>
      <c r="AV234" s="70"/>
      <c r="AW234" s="70"/>
      <c r="AX234" s="70"/>
      <c r="AY234" s="70"/>
      <c r="AZ234" s="70"/>
      <c r="BA234" s="70"/>
      <c r="BB234" s="70"/>
      <c r="BC234" s="70"/>
      <c r="BD234" s="70"/>
      <c r="BE234" s="70"/>
      <c r="BF234" s="70"/>
      <c r="BG234" s="70"/>
      <c r="BH234" s="70"/>
      <c r="BI234" s="70"/>
      <c r="BJ234" s="70"/>
      <c r="BK234" s="70"/>
      <c r="BL234" s="70"/>
      <c r="BM234" s="70"/>
      <c r="BN234" s="70"/>
      <c r="BO234" s="70"/>
      <c r="BP234" s="70"/>
      <c r="BQ234" s="70"/>
      <c r="BR234" s="70"/>
      <c r="BS234" s="70"/>
      <c r="BT234" s="70"/>
      <c r="BU234" s="70"/>
      <c r="BV234" s="70"/>
      <c r="BW234" s="70"/>
      <c r="BX234" s="70"/>
      <c r="BY234" s="70"/>
    </row>
    <row r="235" ht="15.75" customHeight="1">
      <c r="A235" s="8">
        <v>73.0</v>
      </c>
      <c r="B235" s="146" t="s">
        <v>1148</v>
      </c>
      <c r="C235" s="128" t="s">
        <v>57</v>
      </c>
      <c r="D235" s="128" t="s">
        <v>146</v>
      </c>
      <c r="E235" s="128" t="s">
        <v>1149</v>
      </c>
      <c r="F235" s="182">
        <v>43556.0</v>
      </c>
      <c r="G235" s="146" t="s">
        <v>112</v>
      </c>
      <c r="H235" s="28" t="s">
        <v>112</v>
      </c>
      <c r="I235" s="8" t="s">
        <v>63</v>
      </c>
      <c r="J235" s="128" t="s">
        <v>112</v>
      </c>
      <c r="K235" s="128" t="s">
        <v>99</v>
      </c>
      <c r="L235" s="146" t="s">
        <v>100</v>
      </c>
      <c r="M235" s="141" t="s">
        <v>150</v>
      </c>
      <c r="N235" s="128" t="s">
        <v>1150</v>
      </c>
      <c r="O235" s="8" t="s">
        <v>152</v>
      </c>
      <c r="P235" s="128" t="s">
        <v>106</v>
      </c>
      <c r="Q235" s="128">
        <v>162.0</v>
      </c>
      <c r="R235" s="128">
        <v>403450.0</v>
      </c>
      <c r="S235" s="128">
        <v>9744668.0</v>
      </c>
      <c r="T235" s="128"/>
      <c r="U235" s="128"/>
      <c r="V235" s="128" t="s">
        <v>153</v>
      </c>
      <c r="W235" s="128" t="s">
        <v>154</v>
      </c>
      <c r="X235" s="128" t="s">
        <v>112</v>
      </c>
      <c r="Y235" s="128" t="s">
        <v>112</v>
      </c>
      <c r="Z235" s="23" t="s">
        <v>42</v>
      </c>
      <c r="AA235" s="23" t="s">
        <v>115</v>
      </c>
      <c r="AB235" s="30" t="s">
        <v>155</v>
      </c>
      <c r="AC235" s="70"/>
      <c r="AD235" s="70"/>
      <c r="AE235" s="24"/>
      <c r="AF235" s="70"/>
      <c r="AG235" s="70"/>
      <c r="AH235" s="70"/>
      <c r="AI235" s="70"/>
      <c r="AJ235" s="70"/>
      <c r="AK235" s="70"/>
      <c r="AL235" s="70"/>
      <c r="AM235" s="24"/>
      <c r="AN235" s="70"/>
      <c r="AO235" s="70"/>
      <c r="AP235" s="70"/>
      <c r="AQ235" s="70"/>
      <c r="AR235" s="70"/>
      <c r="AS235" s="70"/>
      <c r="AT235" s="70"/>
      <c r="AU235" s="70"/>
      <c r="AV235" s="70"/>
      <c r="AW235" s="70"/>
      <c r="AX235" s="70"/>
      <c r="AY235" s="70"/>
      <c r="AZ235" s="70"/>
      <c r="BA235" s="70"/>
      <c r="BB235" s="70"/>
      <c r="BC235" s="70"/>
      <c r="BD235" s="70"/>
      <c r="BE235" s="70"/>
      <c r="BF235" s="70"/>
      <c r="BG235" s="70"/>
      <c r="BH235" s="70"/>
      <c r="BI235" s="70"/>
      <c r="BJ235" s="70"/>
      <c r="BK235" s="70"/>
      <c r="BL235" s="70"/>
      <c r="BM235" s="70"/>
      <c r="BN235" s="70"/>
      <c r="BO235" s="70"/>
      <c r="BP235" s="70"/>
      <c r="BQ235" s="70"/>
      <c r="BR235" s="70"/>
      <c r="BS235" s="70"/>
      <c r="BT235" s="70"/>
      <c r="BU235" s="70"/>
      <c r="BV235" s="70"/>
      <c r="BW235" s="70"/>
      <c r="BX235" s="70"/>
      <c r="BY235" s="70"/>
    </row>
    <row r="236" ht="15.75" customHeight="1">
      <c r="A236" s="8">
        <v>54.0</v>
      </c>
      <c r="B236" s="146" t="s">
        <v>1151</v>
      </c>
      <c r="C236" s="128" t="s">
        <v>57</v>
      </c>
      <c r="D236" s="128" t="s">
        <v>146</v>
      </c>
      <c r="E236" s="128" t="s">
        <v>1152</v>
      </c>
      <c r="F236" s="182">
        <v>43556.0</v>
      </c>
      <c r="G236" s="146" t="s">
        <v>112</v>
      </c>
      <c r="H236" s="28" t="s">
        <v>112</v>
      </c>
      <c r="I236" s="8" t="s">
        <v>97</v>
      </c>
      <c r="J236" s="128" t="s">
        <v>112</v>
      </c>
      <c r="K236" s="128" t="s">
        <v>99</v>
      </c>
      <c r="L236" s="146" t="s">
        <v>100</v>
      </c>
      <c r="M236" s="141" t="s">
        <v>150</v>
      </c>
      <c r="N236" s="128" t="s">
        <v>1153</v>
      </c>
      <c r="O236" s="8" t="s">
        <v>152</v>
      </c>
      <c r="P236" s="128" t="s">
        <v>106</v>
      </c>
      <c r="Q236" s="128">
        <v>165.0</v>
      </c>
      <c r="R236" s="128">
        <v>403481.0</v>
      </c>
      <c r="S236" s="128">
        <v>9744766.0</v>
      </c>
      <c r="T236" s="128"/>
      <c r="U236" s="128"/>
      <c r="V236" s="128" t="s">
        <v>153</v>
      </c>
      <c r="W236" s="128" t="s">
        <v>154</v>
      </c>
      <c r="X236" s="128" t="s">
        <v>112</v>
      </c>
      <c r="Y236" s="128" t="s">
        <v>112</v>
      </c>
      <c r="Z236" s="23" t="s">
        <v>42</v>
      </c>
      <c r="AA236" s="23" t="s">
        <v>115</v>
      </c>
      <c r="AB236" s="30" t="s">
        <v>155</v>
      </c>
      <c r="AC236" s="70"/>
      <c r="AD236" s="70"/>
      <c r="AE236" s="24"/>
      <c r="AF236" s="70"/>
      <c r="AG236" s="70"/>
      <c r="AH236" s="70"/>
      <c r="AI236" s="70"/>
      <c r="AJ236" s="70"/>
      <c r="AK236" s="70"/>
      <c r="AL236" s="70"/>
      <c r="AM236" s="24"/>
      <c r="AN236" s="70"/>
      <c r="AO236" s="70"/>
      <c r="AP236" s="70"/>
      <c r="AQ236" s="70"/>
      <c r="AR236" s="70"/>
      <c r="AS236" s="70"/>
      <c r="AT236" s="70"/>
      <c r="AU236" s="70"/>
      <c r="AV236" s="70"/>
      <c r="AW236" s="70"/>
      <c r="AX236" s="70"/>
      <c r="AY236" s="70"/>
      <c r="AZ236" s="70"/>
      <c r="BA236" s="70"/>
      <c r="BB236" s="70"/>
      <c r="BC236" s="70"/>
      <c r="BD236" s="70"/>
      <c r="BE236" s="70"/>
      <c r="BF236" s="70"/>
      <c r="BG236" s="70"/>
      <c r="BH236" s="70"/>
      <c r="BI236" s="70"/>
      <c r="BJ236" s="70"/>
      <c r="BK236" s="70"/>
      <c r="BL236" s="70"/>
      <c r="BM236" s="70"/>
      <c r="BN236" s="70"/>
      <c r="BO236" s="70"/>
      <c r="BP236" s="70"/>
      <c r="BQ236" s="70"/>
      <c r="BR236" s="70"/>
      <c r="BS236" s="70"/>
      <c r="BT236" s="70"/>
      <c r="BU236" s="70"/>
      <c r="BV236" s="70"/>
      <c r="BW236" s="70"/>
      <c r="BX236" s="70"/>
      <c r="BY236" s="70"/>
    </row>
    <row r="237" ht="15.75" customHeight="1">
      <c r="A237" s="8">
        <v>74.0</v>
      </c>
      <c r="B237" s="146" t="s">
        <v>1154</v>
      </c>
      <c r="C237" s="128" t="s">
        <v>57</v>
      </c>
      <c r="D237" s="128" t="s">
        <v>146</v>
      </c>
      <c r="E237" s="128" t="s">
        <v>1155</v>
      </c>
      <c r="F237" s="182">
        <v>43556.0</v>
      </c>
      <c r="G237" s="146" t="s">
        <v>112</v>
      </c>
      <c r="H237" s="28" t="s">
        <v>112</v>
      </c>
      <c r="I237" s="8" t="s">
        <v>63</v>
      </c>
      <c r="J237" s="128" t="s">
        <v>112</v>
      </c>
      <c r="K237" s="128" t="s">
        <v>99</v>
      </c>
      <c r="L237" s="146" t="s">
        <v>100</v>
      </c>
      <c r="M237" s="141" t="s">
        <v>150</v>
      </c>
      <c r="N237" s="128" t="s">
        <v>1156</v>
      </c>
      <c r="O237" s="8" t="s">
        <v>152</v>
      </c>
      <c r="P237" s="128" t="s">
        <v>106</v>
      </c>
      <c r="Q237" s="128">
        <v>173.0</v>
      </c>
      <c r="R237" s="128">
        <v>403483.0</v>
      </c>
      <c r="S237" s="128">
        <v>9744551.0</v>
      </c>
      <c r="T237" s="128"/>
      <c r="U237" s="128"/>
      <c r="V237" s="128" t="s">
        <v>153</v>
      </c>
      <c r="W237" s="128" t="s">
        <v>154</v>
      </c>
      <c r="X237" s="128" t="s">
        <v>112</v>
      </c>
      <c r="Y237" s="128" t="s">
        <v>112</v>
      </c>
      <c r="Z237" s="23" t="s">
        <v>42</v>
      </c>
      <c r="AA237" s="23" t="s">
        <v>115</v>
      </c>
      <c r="AB237" s="30" t="s">
        <v>155</v>
      </c>
      <c r="AE237" s="24"/>
      <c r="AM237" s="24"/>
    </row>
    <row r="238" ht="15.75" customHeight="1">
      <c r="A238" s="8">
        <v>65.0</v>
      </c>
      <c r="B238" s="146" t="s">
        <v>1157</v>
      </c>
      <c r="C238" s="128" t="s">
        <v>57</v>
      </c>
      <c r="D238" s="128" t="s">
        <v>146</v>
      </c>
      <c r="E238" s="128" t="s">
        <v>1158</v>
      </c>
      <c r="F238" s="182">
        <v>43556.0</v>
      </c>
      <c r="G238" s="146" t="s">
        <v>112</v>
      </c>
      <c r="H238" s="28" t="s">
        <v>112</v>
      </c>
      <c r="I238" s="8" t="s">
        <v>97</v>
      </c>
      <c r="J238" s="128" t="s">
        <v>112</v>
      </c>
      <c r="K238" s="128" t="s">
        <v>99</v>
      </c>
      <c r="L238" s="146" t="s">
        <v>100</v>
      </c>
      <c r="M238" s="141" t="s">
        <v>150</v>
      </c>
      <c r="N238" s="128" t="s">
        <v>1159</v>
      </c>
      <c r="O238" s="8" t="s">
        <v>152</v>
      </c>
      <c r="P238" s="128" t="s">
        <v>106</v>
      </c>
      <c r="Q238" s="128">
        <v>150.0</v>
      </c>
      <c r="R238" s="128">
        <v>403599.0</v>
      </c>
      <c r="S238" s="128">
        <v>9743180.0</v>
      </c>
      <c r="T238" s="128"/>
      <c r="U238" s="128"/>
      <c r="V238" s="128" t="s">
        <v>153</v>
      </c>
      <c r="W238" s="128" t="s">
        <v>154</v>
      </c>
      <c r="X238" s="128" t="s">
        <v>112</v>
      </c>
      <c r="Y238" s="128" t="s">
        <v>112</v>
      </c>
      <c r="Z238" s="23" t="s">
        <v>42</v>
      </c>
      <c r="AA238" s="23" t="s">
        <v>115</v>
      </c>
      <c r="AB238" s="30" t="s">
        <v>155</v>
      </c>
      <c r="AE238" s="24"/>
      <c r="AM238" s="24"/>
    </row>
    <row r="239" ht="15.75" customHeight="1">
      <c r="A239" s="8">
        <v>83.0</v>
      </c>
      <c r="B239" s="146" t="s">
        <v>1160</v>
      </c>
      <c r="C239" s="128" t="s">
        <v>57</v>
      </c>
      <c r="D239" s="128" t="s">
        <v>146</v>
      </c>
      <c r="E239" s="128" t="s">
        <v>1161</v>
      </c>
      <c r="F239" s="182">
        <v>43556.0</v>
      </c>
      <c r="G239" s="146" t="s">
        <v>112</v>
      </c>
      <c r="H239" s="28" t="s">
        <v>112</v>
      </c>
      <c r="I239" s="8" t="s">
        <v>63</v>
      </c>
      <c r="J239" s="128" t="s">
        <v>112</v>
      </c>
      <c r="K239" s="128" t="s">
        <v>99</v>
      </c>
      <c r="L239" s="146" t="s">
        <v>100</v>
      </c>
      <c r="M239" s="141" t="s">
        <v>150</v>
      </c>
      <c r="N239" s="128" t="s">
        <v>1162</v>
      </c>
      <c r="O239" s="8" t="s">
        <v>152</v>
      </c>
      <c r="P239" s="128" t="s">
        <v>106</v>
      </c>
      <c r="Q239" s="128">
        <v>160.0</v>
      </c>
      <c r="R239" s="128">
        <v>403609.0</v>
      </c>
      <c r="S239" s="128">
        <v>9742924.0</v>
      </c>
      <c r="T239" s="128"/>
      <c r="U239" s="128"/>
      <c r="V239" s="128" t="s">
        <v>153</v>
      </c>
      <c r="W239" s="128" t="s">
        <v>154</v>
      </c>
      <c r="X239" s="128" t="s">
        <v>112</v>
      </c>
      <c r="Y239" s="128" t="s">
        <v>112</v>
      </c>
      <c r="Z239" s="23" t="s">
        <v>42</v>
      </c>
      <c r="AA239" s="23" t="s">
        <v>115</v>
      </c>
      <c r="AB239" s="30" t="s">
        <v>155</v>
      </c>
      <c r="AC239" s="70"/>
      <c r="AD239" s="70"/>
      <c r="AE239" s="24"/>
      <c r="AF239" s="70"/>
      <c r="AG239" s="70"/>
      <c r="AH239" s="70"/>
      <c r="AI239" s="70"/>
      <c r="AJ239" s="70"/>
      <c r="AK239" s="70"/>
      <c r="AL239" s="70"/>
      <c r="AM239" s="24"/>
      <c r="AN239" s="70"/>
      <c r="AO239" s="70"/>
      <c r="AP239" s="70"/>
      <c r="AQ239" s="70"/>
      <c r="AR239" s="70"/>
      <c r="AS239" s="70"/>
      <c r="AT239" s="70"/>
      <c r="AU239" s="70"/>
      <c r="AV239" s="70"/>
      <c r="AW239" s="70"/>
      <c r="AX239" s="70"/>
      <c r="AY239" s="70"/>
      <c r="AZ239" s="70"/>
      <c r="BA239" s="70"/>
      <c r="BB239" s="70"/>
      <c r="BC239" s="70"/>
      <c r="BD239" s="70"/>
      <c r="BE239" s="70"/>
      <c r="BF239" s="70"/>
      <c r="BG239" s="70"/>
      <c r="BH239" s="70"/>
      <c r="BI239" s="70"/>
      <c r="BJ239" s="70"/>
      <c r="BK239" s="70"/>
      <c r="BL239" s="70"/>
      <c r="BM239" s="70"/>
      <c r="BN239" s="70"/>
      <c r="BO239" s="70"/>
      <c r="BP239" s="70"/>
      <c r="BQ239" s="70"/>
      <c r="BR239" s="70"/>
      <c r="BS239" s="70"/>
      <c r="BT239" s="70"/>
      <c r="BU239" s="70"/>
      <c r="BV239" s="70"/>
      <c r="BW239" s="70"/>
      <c r="BX239" s="70"/>
      <c r="BY239" s="70"/>
    </row>
    <row r="240" ht="15.75" customHeight="1">
      <c r="A240" s="97">
        <v>944.0</v>
      </c>
      <c r="B240" s="192" t="s">
        <v>1163</v>
      </c>
      <c r="C240" s="193" t="s">
        <v>57</v>
      </c>
      <c r="D240" s="194" t="s">
        <v>482</v>
      </c>
      <c r="E240" s="194" t="s">
        <v>1164</v>
      </c>
      <c r="F240" s="192" t="s">
        <v>1165</v>
      </c>
      <c r="G240" s="192" t="s">
        <v>1166</v>
      </c>
      <c r="H240" s="195">
        <v>2020.0</v>
      </c>
      <c r="I240" s="99" t="s">
        <v>97</v>
      </c>
      <c r="J240" s="193" t="s">
        <v>98</v>
      </c>
      <c r="K240" s="194" t="s">
        <v>164</v>
      </c>
      <c r="L240" s="196" t="s">
        <v>100</v>
      </c>
      <c r="M240" s="194" t="s">
        <v>150</v>
      </c>
      <c r="N240" s="197" t="s">
        <v>1167</v>
      </c>
      <c r="O240" s="99" t="s">
        <v>1164</v>
      </c>
      <c r="P240" s="194" t="s">
        <v>106</v>
      </c>
      <c r="Q240" s="194" t="s">
        <v>112</v>
      </c>
      <c r="R240" s="198">
        <v>403694.0</v>
      </c>
      <c r="S240" s="198">
        <v>9744250.0</v>
      </c>
      <c r="T240" s="194" t="s">
        <v>112</v>
      </c>
      <c r="U240" s="194" t="s">
        <v>112</v>
      </c>
      <c r="V240" s="193" t="s">
        <v>1168</v>
      </c>
      <c r="W240" s="193" t="s">
        <v>1169</v>
      </c>
      <c r="X240" s="199">
        <v>0.0</v>
      </c>
      <c r="Y240" s="194" t="s">
        <v>1170</v>
      </c>
      <c r="Z240" s="99" t="s">
        <v>148</v>
      </c>
      <c r="AA240" s="99" t="s">
        <v>144</v>
      </c>
      <c r="AB240" s="103"/>
      <c r="AC240" s="70"/>
      <c r="AD240" s="70"/>
      <c r="AE240" s="24"/>
      <c r="AF240" s="70"/>
      <c r="AG240" s="70"/>
      <c r="AH240" s="70"/>
      <c r="AI240" s="70"/>
      <c r="AJ240" s="70"/>
      <c r="AK240" s="70"/>
      <c r="AL240" s="70"/>
      <c r="AM240" s="24"/>
      <c r="AN240" s="70"/>
      <c r="AO240" s="70"/>
      <c r="AP240" s="70"/>
      <c r="AQ240" s="70"/>
      <c r="AR240" s="70"/>
      <c r="AS240" s="70"/>
      <c r="AT240" s="70"/>
      <c r="AU240" s="70"/>
      <c r="AV240" s="70"/>
      <c r="AW240" s="70"/>
      <c r="AX240" s="70"/>
      <c r="AY240" s="70"/>
      <c r="AZ240" s="70"/>
      <c r="BA240" s="70"/>
      <c r="BB240" s="70"/>
      <c r="BC240" s="70"/>
      <c r="BD240" s="70"/>
      <c r="BE240" s="70"/>
      <c r="BF240" s="70"/>
      <c r="BG240" s="70"/>
      <c r="BH240" s="70"/>
      <c r="BI240" s="70"/>
      <c r="BJ240" s="70"/>
      <c r="BK240" s="70"/>
      <c r="BL240" s="70"/>
      <c r="BM240" s="70"/>
      <c r="BN240" s="70"/>
      <c r="BO240" s="70"/>
      <c r="BP240" s="70"/>
      <c r="BQ240" s="70"/>
      <c r="BR240" s="70"/>
      <c r="BS240" s="70"/>
      <c r="BT240" s="70"/>
      <c r="BU240" s="70"/>
      <c r="BV240" s="70"/>
      <c r="BW240" s="70"/>
      <c r="BX240" s="70"/>
      <c r="BY240" s="70"/>
    </row>
    <row r="241" ht="15.75" customHeight="1">
      <c r="A241" s="52">
        <v>966.0</v>
      </c>
      <c r="B241" s="179" t="s">
        <v>1171</v>
      </c>
      <c r="C241" s="179" t="s">
        <v>57</v>
      </c>
      <c r="D241" s="179" t="s">
        <v>694</v>
      </c>
      <c r="E241" s="179" t="s">
        <v>964</v>
      </c>
      <c r="F241" s="179" t="s">
        <v>1172</v>
      </c>
      <c r="G241" s="179" t="s">
        <v>1172</v>
      </c>
      <c r="H241" s="55">
        <v>2021.0</v>
      </c>
      <c r="I241" s="53" t="s">
        <v>97</v>
      </c>
      <c r="J241" s="179" t="s">
        <v>98</v>
      </c>
      <c r="K241" s="179" t="s">
        <v>164</v>
      </c>
      <c r="L241" s="184" t="s">
        <v>100</v>
      </c>
      <c r="M241" s="179" t="s">
        <v>150</v>
      </c>
      <c r="N241" s="179" t="s">
        <v>1173</v>
      </c>
      <c r="O241" s="53"/>
      <c r="P241" s="179" t="s">
        <v>106</v>
      </c>
      <c r="Q241" s="179"/>
      <c r="R241" s="179">
        <v>403707.0</v>
      </c>
      <c r="S241" s="179">
        <v>9744309.0</v>
      </c>
      <c r="T241" s="179"/>
      <c r="U241" s="134"/>
      <c r="V241" s="200"/>
      <c r="W241" s="200"/>
      <c r="X241" s="200"/>
      <c r="Y241" s="200"/>
      <c r="Z241" s="201"/>
      <c r="AA241" s="201"/>
      <c r="AB241" s="201"/>
      <c r="AC241" s="70"/>
      <c r="AD241" s="70"/>
      <c r="AE241" s="24"/>
      <c r="AF241" s="70"/>
      <c r="AG241" s="70"/>
      <c r="AH241" s="70"/>
      <c r="AI241" s="70"/>
      <c r="AJ241" s="70"/>
      <c r="AK241" s="70"/>
      <c r="AL241" s="70"/>
      <c r="AM241" s="24"/>
      <c r="AN241" s="70"/>
      <c r="AO241" s="70"/>
      <c r="AP241" s="70"/>
      <c r="AQ241" s="70"/>
      <c r="AR241" s="70"/>
      <c r="AS241" s="70"/>
      <c r="AT241" s="70"/>
      <c r="AU241" s="70"/>
      <c r="AV241" s="70"/>
      <c r="AW241" s="70"/>
      <c r="AX241" s="70"/>
      <c r="AY241" s="70"/>
      <c r="AZ241" s="70"/>
      <c r="BA241" s="70"/>
      <c r="BB241" s="70"/>
      <c r="BC241" s="70"/>
      <c r="BD241" s="70"/>
      <c r="BE241" s="70"/>
      <c r="BF241" s="70"/>
      <c r="BG241" s="70"/>
      <c r="BH241" s="70"/>
      <c r="BI241" s="70"/>
      <c r="BJ241" s="70"/>
      <c r="BK241" s="70"/>
      <c r="BL241" s="70"/>
      <c r="BM241" s="70"/>
      <c r="BN241" s="70"/>
      <c r="BO241" s="70"/>
      <c r="BP241" s="70"/>
      <c r="BQ241" s="70"/>
      <c r="BR241" s="70"/>
      <c r="BS241" s="70"/>
      <c r="BT241" s="70"/>
      <c r="BU241" s="70"/>
      <c r="BV241" s="70"/>
      <c r="BW241" s="70"/>
      <c r="BX241" s="70"/>
      <c r="BY241" s="70"/>
    </row>
    <row r="242" ht="15.75" customHeight="1">
      <c r="A242" s="8">
        <v>393.0</v>
      </c>
      <c r="B242" s="163" t="s">
        <v>1174</v>
      </c>
      <c r="C242" s="163" t="s">
        <v>51</v>
      </c>
      <c r="D242" s="163" t="s">
        <v>508</v>
      </c>
      <c r="E242" s="163" t="s">
        <v>112</v>
      </c>
      <c r="F242" s="172">
        <v>40202.0</v>
      </c>
      <c r="G242" s="169">
        <v>40179.0</v>
      </c>
      <c r="H242" s="42" t="str">
        <f>TEXT(G242, "yyyy")</f>
        <v>2010</v>
      </c>
      <c r="I242" s="8" t="s">
        <v>63</v>
      </c>
      <c r="J242" s="163" t="s">
        <v>112</v>
      </c>
      <c r="K242" s="141" t="s">
        <v>99</v>
      </c>
      <c r="L242" s="163" t="s">
        <v>100</v>
      </c>
      <c r="M242" s="173" t="s">
        <v>112</v>
      </c>
      <c r="N242" s="174" t="s">
        <v>1175</v>
      </c>
      <c r="O242" s="45" t="s">
        <v>928</v>
      </c>
      <c r="P242" s="163" t="s">
        <v>106</v>
      </c>
      <c r="Q242" s="163" t="s">
        <v>112</v>
      </c>
      <c r="R242" s="163">
        <v>403713.0</v>
      </c>
      <c r="S242" s="163">
        <v>9741798.0</v>
      </c>
      <c r="T242" s="176">
        <v>-2.3357531</v>
      </c>
      <c r="U242" s="176">
        <v>-75.865988</v>
      </c>
      <c r="V242" s="163" t="s">
        <v>548</v>
      </c>
      <c r="W242" s="163" t="s">
        <v>112</v>
      </c>
      <c r="X242" s="163" t="s">
        <v>112</v>
      </c>
      <c r="Y242" s="163" t="s">
        <v>112</v>
      </c>
      <c r="Z242" s="47" t="s">
        <v>37</v>
      </c>
      <c r="AA242" s="23" t="s">
        <v>115</v>
      </c>
      <c r="AB242" s="86" t="s">
        <v>396</v>
      </c>
      <c r="AC242" s="70"/>
      <c r="AD242" s="70"/>
      <c r="AE242" s="24"/>
      <c r="AF242" s="70"/>
      <c r="AG242" s="70"/>
      <c r="AH242" s="70"/>
      <c r="AI242" s="70"/>
      <c r="AJ242" s="70"/>
      <c r="AK242" s="70"/>
      <c r="AL242" s="70"/>
      <c r="AM242" s="24"/>
      <c r="AN242" s="70"/>
      <c r="AO242" s="70"/>
      <c r="AP242" s="70"/>
      <c r="AQ242" s="70"/>
      <c r="AR242" s="70"/>
      <c r="AS242" s="70"/>
      <c r="AT242" s="70"/>
      <c r="AU242" s="70"/>
      <c r="AV242" s="70"/>
      <c r="AW242" s="70"/>
      <c r="AX242" s="70"/>
      <c r="AY242" s="70"/>
      <c r="AZ242" s="70"/>
      <c r="BA242" s="70"/>
      <c r="BB242" s="70"/>
      <c r="BC242" s="70"/>
      <c r="BD242" s="70"/>
      <c r="BE242" s="70"/>
      <c r="BF242" s="70"/>
      <c r="BG242" s="70"/>
      <c r="BH242" s="70"/>
      <c r="BI242" s="70"/>
      <c r="BJ242" s="70"/>
      <c r="BK242" s="70"/>
      <c r="BL242" s="70"/>
      <c r="BM242" s="70"/>
      <c r="BN242" s="70"/>
      <c r="BO242" s="70"/>
      <c r="BP242" s="70"/>
      <c r="BQ242" s="70"/>
      <c r="BR242" s="70"/>
      <c r="BS242" s="70"/>
      <c r="BT242" s="70"/>
      <c r="BU242" s="70"/>
      <c r="BV242" s="70"/>
      <c r="BW242" s="70"/>
      <c r="BX242" s="70"/>
      <c r="BY242" s="70"/>
    </row>
    <row r="243" ht="15.75" customHeight="1">
      <c r="A243" s="8">
        <v>82.0</v>
      </c>
      <c r="B243" s="146" t="s">
        <v>1176</v>
      </c>
      <c r="C243" s="128" t="s">
        <v>57</v>
      </c>
      <c r="D243" s="128" t="s">
        <v>146</v>
      </c>
      <c r="E243" s="128" t="s">
        <v>1177</v>
      </c>
      <c r="F243" s="182">
        <v>43556.0</v>
      </c>
      <c r="G243" s="146" t="s">
        <v>112</v>
      </c>
      <c r="H243" s="28" t="s">
        <v>112</v>
      </c>
      <c r="I243" s="8" t="s">
        <v>63</v>
      </c>
      <c r="J243" s="128" t="s">
        <v>112</v>
      </c>
      <c r="K243" s="128" t="s">
        <v>1178</v>
      </c>
      <c r="L243" s="146" t="s">
        <v>100</v>
      </c>
      <c r="M243" s="141" t="s">
        <v>150</v>
      </c>
      <c r="N243" s="128" t="s">
        <v>1179</v>
      </c>
      <c r="O243" s="8" t="s">
        <v>152</v>
      </c>
      <c r="P243" s="128" t="s">
        <v>106</v>
      </c>
      <c r="Q243" s="128">
        <v>153.0</v>
      </c>
      <c r="R243" s="128">
        <v>403737.0</v>
      </c>
      <c r="S243" s="128">
        <v>9741841.0</v>
      </c>
      <c r="T243" s="128"/>
      <c r="U243" s="128"/>
      <c r="V243" s="128" t="s">
        <v>153</v>
      </c>
      <c r="W243" s="128" t="s">
        <v>154</v>
      </c>
      <c r="X243" s="128" t="s">
        <v>112</v>
      </c>
      <c r="Y243" s="128" t="s">
        <v>112</v>
      </c>
      <c r="Z243" s="23" t="s">
        <v>42</v>
      </c>
      <c r="AA243" s="23" t="s">
        <v>115</v>
      </c>
      <c r="AB243" s="30" t="s">
        <v>155</v>
      </c>
      <c r="AC243" s="70"/>
      <c r="AD243" s="70"/>
      <c r="AE243" s="24"/>
      <c r="AF243" s="70"/>
      <c r="AG243" s="70"/>
      <c r="AH243" s="70"/>
      <c r="AI243" s="70"/>
      <c r="AJ243" s="70"/>
      <c r="AK243" s="70"/>
      <c r="AL243" s="70"/>
      <c r="AM243" s="24"/>
      <c r="AN243" s="70"/>
      <c r="AO243" s="70"/>
      <c r="AP243" s="70"/>
      <c r="AQ243" s="70"/>
      <c r="AR243" s="70"/>
      <c r="AS243" s="70"/>
      <c r="AT243" s="70"/>
      <c r="AU243" s="70"/>
      <c r="AV243" s="70"/>
      <c r="AW243" s="70"/>
      <c r="AX243" s="70"/>
      <c r="AY243" s="70"/>
      <c r="AZ243" s="70"/>
      <c r="BA243" s="70"/>
      <c r="BB243" s="70"/>
      <c r="BC243" s="70"/>
      <c r="BD243" s="70"/>
      <c r="BE243" s="70"/>
      <c r="BF243" s="70"/>
      <c r="BG243" s="70"/>
      <c r="BH243" s="70"/>
      <c r="BI243" s="70"/>
      <c r="BJ243" s="70"/>
      <c r="BK243" s="70"/>
      <c r="BL243" s="70"/>
      <c r="BM243" s="70"/>
      <c r="BN243" s="70"/>
      <c r="BO243" s="70"/>
      <c r="BP243" s="70"/>
      <c r="BQ243" s="70"/>
      <c r="BR243" s="70"/>
      <c r="BS243" s="70"/>
      <c r="BT243" s="70"/>
      <c r="BU243" s="70"/>
      <c r="BV243" s="70"/>
      <c r="BW243" s="70"/>
      <c r="BX243" s="70"/>
      <c r="BY243" s="70"/>
    </row>
    <row r="244" ht="15.75" customHeight="1">
      <c r="A244" s="8">
        <v>884.0</v>
      </c>
      <c r="B244" s="158" t="s">
        <v>1180</v>
      </c>
      <c r="C244" s="158" t="s">
        <v>54</v>
      </c>
      <c r="D244" s="158" t="s">
        <v>511</v>
      </c>
      <c r="E244" s="158" t="s">
        <v>112</v>
      </c>
      <c r="F244" s="190" t="s">
        <v>1181</v>
      </c>
      <c r="G244" s="164">
        <v>42979.0</v>
      </c>
      <c r="H244" s="95" t="str">
        <f t="shared" ref="H244:H246" si="16">TEXT(G244, "yyyy")</f>
        <v>2017</v>
      </c>
      <c r="I244" s="8" t="s">
        <v>176</v>
      </c>
      <c r="J244" s="158" t="s">
        <v>112</v>
      </c>
      <c r="K244" s="158" t="s">
        <v>112</v>
      </c>
      <c r="L244" s="158" t="s">
        <v>100</v>
      </c>
      <c r="M244" s="158" t="s">
        <v>513</v>
      </c>
      <c r="N244" s="158" t="s">
        <v>1182</v>
      </c>
      <c r="O244" s="23" t="s">
        <v>1183</v>
      </c>
      <c r="P244" s="158" t="s">
        <v>106</v>
      </c>
      <c r="Q244" s="158" t="s">
        <v>112</v>
      </c>
      <c r="R244" s="158">
        <v>403737.0</v>
      </c>
      <c r="S244" s="158">
        <v>9744326.0</v>
      </c>
      <c r="T244" s="158" t="s">
        <v>112</v>
      </c>
      <c r="U244" s="158" t="s">
        <v>112</v>
      </c>
      <c r="V244" s="158" t="s">
        <v>1184</v>
      </c>
      <c r="W244" s="158" t="s">
        <v>112</v>
      </c>
      <c r="X244" s="158" t="s">
        <v>112</v>
      </c>
      <c r="Y244" s="158" t="s">
        <v>112</v>
      </c>
      <c r="Z244" s="8" t="s">
        <v>148</v>
      </c>
      <c r="AA244" s="23" t="s">
        <v>144</v>
      </c>
      <c r="AB244" s="8"/>
      <c r="AC244" s="70"/>
      <c r="AD244" s="70"/>
      <c r="AE244" s="24"/>
      <c r="AF244" s="70"/>
      <c r="AG244" s="70"/>
      <c r="AH244" s="70"/>
      <c r="AI244" s="70"/>
      <c r="AJ244" s="70"/>
      <c r="AK244" s="70"/>
      <c r="AL244" s="70"/>
      <c r="AM244" s="24"/>
      <c r="AN244" s="70"/>
      <c r="AO244" s="70"/>
      <c r="AP244" s="70"/>
      <c r="AQ244" s="70"/>
      <c r="AR244" s="70"/>
      <c r="AS244" s="70"/>
      <c r="AT244" s="70"/>
      <c r="AU244" s="70"/>
      <c r="AV244" s="70"/>
      <c r="AW244" s="70"/>
      <c r="AX244" s="70"/>
      <c r="AY244" s="70"/>
      <c r="AZ244" s="70"/>
      <c r="BA244" s="70"/>
      <c r="BB244" s="70"/>
      <c r="BC244" s="70"/>
      <c r="BD244" s="70"/>
      <c r="BE244" s="70"/>
      <c r="BF244" s="70"/>
      <c r="BG244" s="70"/>
      <c r="BH244" s="70"/>
      <c r="BI244" s="70"/>
      <c r="BJ244" s="70"/>
      <c r="BK244" s="70"/>
      <c r="BL244" s="70"/>
      <c r="BM244" s="70"/>
      <c r="BN244" s="70"/>
      <c r="BO244" s="70"/>
      <c r="BP244" s="70"/>
      <c r="BQ244" s="70"/>
      <c r="BR244" s="70"/>
      <c r="BS244" s="70"/>
      <c r="BT244" s="70"/>
      <c r="BU244" s="70"/>
      <c r="BV244" s="70"/>
      <c r="BW244" s="70"/>
      <c r="BX244" s="70"/>
      <c r="BY244" s="70"/>
    </row>
    <row r="245" ht="15.75" customHeight="1">
      <c r="A245" s="8">
        <v>395.0</v>
      </c>
      <c r="B245" s="163" t="s">
        <v>1185</v>
      </c>
      <c r="C245" s="163" t="s">
        <v>51</v>
      </c>
      <c r="D245" s="163" t="s">
        <v>508</v>
      </c>
      <c r="E245" s="163" t="s">
        <v>112</v>
      </c>
      <c r="F245" s="172">
        <v>40202.0</v>
      </c>
      <c r="G245" s="169">
        <v>40179.0</v>
      </c>
      <c r="H245" s="42" t="str">
        <f t="shared" si="16"/>
        <v>2010</v>
      </c>
      <c r="I245" s="8" t="s">
        <v>63</v>
      </c>
      <c r="J245" s="163" t="s">
        <v>112</v>
      </c>
      <c r="K245" s="141" t="s">
        <v>99</v>
      </c>
      <c r="L245" s="163" t="s">
        <v>100</v>
      </c>
      <c r="M245" s="173" t="s">
        <v>112</v>
      </c>
      <c r="N245" s="174" t="s">
        <v>1186</v>
      </c>
      <c r="O245" s="45" t="s">
        <v>928</v>
      </c>
      <c r="P245" s="163" t="s">
        <v>106</v>
      </c>
      <c r="Q245" s="163" t="s">
        <v>112</v>
      </c>
      <c r="R245" s="163">
        <v>403741.0</v>
      </c>
      <c r="S245" s="163">
        <v>9740470.0</v>
      </c>
      <c r="T245" s="176">
        <v>-2.3477665</v>
      </c>
      <c r="U245" s="176">
        <v>-75.865744</v>
      </c>
      <c r="V245" s="163" t="s">
        <v>548</v>
      </c>
      <c r="W245" s="163" t="s">
        <v>112</v>
      </c>
      <c r="X245" s="163" t="s">
        <v>112</v>
      </c>
      <c r="Y245" s="163" t="s">
        <v>112</v>
      </c>
      <c r="Z245" s="47" t="s">
        <v>37</v>
      </c>
      <c r="AA245" s="23" t="s">
        <v>115</v>
      </c>
      <c r="AB245" s="86" t="s">
        <v>396</v>
      </c>
      <c r="AC245" s="70"/>
      <c r="AD245" s="70"/>
      <c r="AE245" s="24"/>
      <c r="AF245" s="70"/>
      <c r="AG245" s="70"/>
      <c r="AH245" s="70"/>
      <c r="AI245" s="70"/>
      <c r="AJ245" s="70"/>
      <c r="AK245" s="70"/>
      <c r="AL245" s="70"/>
      <c r="AM245" s="24"/>
      <c r="AN245" s="70"/>
      <c r="AO245" s="70"/>
      <c r="AP245" s="70"/>
      <c r="AQ245" s="70"/>
      <c r="AR245" s="70"/>
      <c r="AS245" s="70"/>
      <c r="AT245" s="70"/>
      <c r="AU245" s="70"/>
      <c r="AV245" s="70"/>
      <c r="AW245" s="70"/>
      <c r="AX245" s="70"/>
      <c r="AY245" s="70"/>
      <c r="AZ245" s="70"/>
      <c r="BA245" s="70"/>
      <c r="BB245" s="70"/>
      <c r="BC245" s="70"/>
      <c r="BD245" s="70"/>
      <c r="BE245" s="70"/>
      <c r="BF245" s="70"/>
      <c r="BG245" s="70"/>
      <c r="BH245" s="70"/>
      <c r="BI245" s="70"/>
      <c r="BJ245" s="70"/>
      <c r="BK245" s="70"/>
      <c r="BL245" s="70"/>
      <c r="BM245" s="70"/>
      <c r="BN245" s="70"/>
      <c r="BO245" s="70"/>
      <c r="BP245" s="70"/>
      <c r="BQ245" s="70"/>
      <c r="BR245" s="70"/>
      <c r="BS245" s="70"/>
      <c r="BT245" s="70"/>
      <c r="BU245" s="70"/>
      <c r="BV245" s="70"/>
      <c r="BW245" s="70"/>
      <c r="BX245" s="70"/>
      <c r="BY245" s="70"/>
    </row>
    <row r="246" ht="15.75" customHeight="1">
      <c r="A246" s="8">
        <v>396.0</v>
      </c>
      <c r="B246" s="163" t="s">
        <v>1187</v>
      </c>
      <c r="C246" s="163" t="s">
        <v>51</v>
      </c>
      <c r="D246" s="163" t="s">
        <v>508</v>
      </c>
      <c r="E246" s="163" t="s">
        <v>112</v>
      </c>
      <c r="F246" s="172">
        <v>40202.0</v>
      </c>
      <c r="G246" s="169">
        <v>40179.0</v>
      </c>
      <c r="H246" s="42" t="str">
        <f t="shared" si="16"/>
        <v>2010</v>
      </c>
      <c r="I246" s="8" t="s">
        <v>63</v>
      </c>
      <c r="J246" s="163" t="s">
        <v>112</v>
      </c>
      <c r="K246" s="141" t="s">
        <v>99</v>
      </c>
      <c r="L246" s="163" t="s">
        <v>100</v>
      </c>
      <c r="M246" s="173" t="s">
        <v>112</v>
      </c>
      <c r="N246" s="174" t="s">
        <v>1186</v>
      </c>
      <c r="O246" s="45" t="s">
        <v>928</v>
      </c>
      <c r="P246" s="163" t="s">
        <v>106</v>
      </c>
      <c r="Q246" s="163" t="s">
        <v>112</v>
      </c>
      <c r="R246" s="163">
        <v>403751.0</v>
      </c>
      <c r="S246" s="163">
        <v>9740379.0</v>
      </c>
      <c r="T246" s="176">
        <v>-2.3485898</v>
      </c>
      <c r="U246" s="176">
        <v>-75.865654</v>
      </c>
      <c r="V246" s="163" t="s">
        <v>548</v>
      </c>
      <c r="W246" s="163" t="s">
        <v>112</v>
      </c>
      <c r="X246" s="163" t="s">
        <v>112</v>
      </c>
      <c r="Y246" s="163" t="s">
        <v>112</v>
      </c>
      <c r="Z246" s="47" t="s">
        <v>37</v>
      </c>
      <c r="AA246" s="23" t="s">
        <v>115</v>
      </c>
      <c r="AB246" s="86" t="s">
        <v>396</v>
      </c>
      <c r="AC246" s="70"/>
      <c r="AD246" s="70"/>
      <c r="AE246" s="24"/>
      <c r="AF246" s="70"/>
      <c r="AG246" s="70"/>
      <c r="AH246" s="70"/>
      <c r="AI246" s="70"/>
      <c r="AJ246" s="70"/>
      <c r="AK246" s="70"/>
      <c r="AL246" s="70"/>
      <c r="AM246" s="24"/>
      <c r="AN246" s="70"/>
      <c r="AO246" s="70"/>
      <c r="AP246" s="70"/>
      <c r="AQ246" s="70"/>
      <c r="AR246" s="70"/>
      <c r="AS246" s="70"/>
      <c r="AT246" s="70"/>
      <c r="AU246" s="70"/>
      <c r="AV246" s="70"/>
      <c r="AW246" s="70"/>
      <c r="AX246" s="70"/>
      <c r="AY246" s="70"/>
      <c r="AZ246" s="70"/>
      <c r="BA246" s="70"/>
      <c r="BB246" s="70"/>
      <c r="BC246" s="70"/>
      <c r="BD246" s="70"/>
      <c r="BE246" s="70"/>
      <c r="BF246" s="70"/>
      <c r="BG246" s="70"/>
      <c r="BH246" s="70"/>
      <c r="BI246" s="70"/>
      <c r="BJ246" s="70"/>
      <c r="BK246" s="70"/>
      <c r="BL246" s="70"/>
      <c r="BM246" s="70"/>
      <c r="BN246" s="70"/>
      <c r="BO246" s="70"/>
      <c r="BP246" s="70"/>
      <c r="BQ246" s="70"/>
      <c r="BR246" s="70"/>
      <c r="BS246" s="70"/>
      <c r="BT246" s="70"/>
      <c r="BU246" s="70"/>
      <c r="BV246" s="70"/>
      <c r="BW246" s="70"/>
      <c r="BX246" s="70"/>
      <c r="BY246" s="70"/>
    </row>
    <row r="247" ht="15.75" customHeight="1">
      <c r="A247" s="8">
        <v>55.0</v>
      </c>
      <c r="B247" s="146" t="s">
        <v>1188</v>
      </c>
      <c r="C247" s="128" t="s">
        <v>57</v>
      </c>
      <c r="D247" s="128" t="s">
        <v>146</v>
      </c>
      <c r="E247" s="128" t="s">
        <v>1189</v>
      </c>
      <c r="F247" s="182">
        <v>43556.0</v>
      </c>
      <c r="G247" s="146" t="s">
        <v>112</v>
      </c>
      <c r="H247" s="28" t="s">
        <v>112</v>
      </c>
      <c r="I247" s="8" t="s">
        <v>97</v>
      </c>
      <c r="J247" s="128" t="s">
        <v>112</v>
      </c>
      <c r="K247" s="128" t="s">
        <v>99</v>
      </c>
      <c r="L247" s="146" t="s">
        <v>100</v>
      </c>
      <c r="M247" s="141" t="s">
        <v>150</v>
      </c>
      <c r="N247" s="128" t="s">
        <v>1190</v>
      </c>
      <c r="O247" s="8" t="s">
        <v>152</v>
      </c>
      <c r="P247" s="128" t="s">
        <v>106</v>
      </c>
      <c r="Q247" s="128">
        <v>167.0</v>
      </c>
      <c r="R247" s="128">
        <v>403757.0</v>
      </c>
      <c r="S247" s="128">
        <v>9744064.0</v>
      </c>
      <c r="T247" s="128"/>
      <c r="U247" s="128"/>
      <c r="V247" s="128" t="s">
        <v>153</v>
      </c>
      <c r="W247" s="128" t="s">
        <v>154</v>
      </c>
      <c r="X247" s="128" t="s">
        <v>112</v>
      </c>
      <c r="Y247" s="128" t="s">
        <v>112</v>
      </c>
      <c r="Z247" s="23" t="s">
        <v>42</v>
      </c>
      <c r="AA247" s="23" t="s">
        <v>115</v>
      </c>
      <c r="AB247" s="30" t="s">
        <v>155</v>
      </c>
      <c r="AC247" s="70"/>
      <c r="AD247" s="70"/>
      <c r="AE247" s="24"/>
      <c r="AF247" s="70"/>
      <c r="AG247" s="70"/>
      <c r="AH247" s="70"/>
      <c r="AI247" s="70"/>
      <c r="AJ247" s="70"/>
      <c r="AK247" s="70"/>
      <c r="AL247" s="70"/>
      <c r="AM247" s="24"/>
      <c r="AN247" s="70"/>
      <c r="AO247" s="70"/>
      <c r="AP247" s="70"/>
      <c r="AQ247" s="70"/>
      <c r="AR247" s="70"/>
      <c r="AS247" s="70"/>
      <c r="AT247" s="70"/>
      <c r="AU247" s="70"/>
      <c r="AV247" s="70"/>
      <c r="AW247" s="70"/>
      <c r="AX247" s="70"/>
      <c r="AY247" s="70"/>
      <c r="AZ247" s="70"/>
      <c r="BA247" s="70"/>
      <c r="BB247" s="70"/>
      <c r="BC247" s="70"/>
      <c r="BD247" s="70"/>
      <c r="BE247" s="70"/>
      <c r="BF247" s="70"/>
      <c r="BG247" s="70"/>
      <c r="BH247" s="70"/>
      <c r="BI247" s="70"/>
      <c r="BJ247" s="70"/>
      <c r="BK247" s="70"/>
      <c r="BL247" s="70"/>
      <c r="BM247" s="70"/>
      <c r="BN247" s="70"/>
      <c r="BO247" s="70"/>
      <c r="BP247" s="70"/>
      <c r="BQ247" s="70"/>
      <c r="BR247" s="70"/>
      <c r="BS247" s="70"/>
      <c r="BT247" s="70"/>
      <c r="BU247" s="70"/>
      <c r="BV247" s="70"/>
      <c r="BW247" s="70"/>
      <c r="BX247" s="70"/>
      <c r="BY247" s="70"/>
    </row>
    <row r="248" ht="15.75" customHeight="1">
      <c r="A248" s="8">
        <v>81.0</v>
      </c>
      <c r="B248" s="146" t="s">
        <v>1191</v>
      </c>
      <c r="C248" s="128" t="s">
        <v>57</v>
      </c>
      <c r="D248" s="128" t="s">
        <v>146</v>
      </c>
      <c r="E248" s="128" t="s">
        <v>1192</v>
      </c>
      <c r="F248" s="182">
        <v>43556.0</v>
      </c>
      <c r="G248" s="146" t="s">
        <v>112</v>
      </c>
      <c r="H248" s="28" t="s">
        <v>112</v>
      </c>
      <c r="I248" s="8" t="s">
        <v>63</v>
      </c>
      <c r="J248" s="128" t="s">
        <v>112</v>
      </c>
      <c r="K248" s="128" t="s">
        <v>99</v>
      </c>
      <c r="L248" s="146" t="s">
        <v>100</v>
      </c>
      <c r="M248" s="141" t="s">
        <v>150</v>
      </c>
      <c r="N248" s="128" t="s">
        <v>1103</v>
      </c>
      <c r="O248" s="8" t="s">
        <v>152</v>
      </c>
      <c r="P248" s="128" t="s">
        <v>106</v>
      </c>
      <c r="Q248" s="128">
        <v>165.0</v>
      </c>
      <c r="R248" s="128">
        <v>403758.0</v>
      </c>
      <c r="S248" s="128">
        <v>9740334.0</v>
      </c>
      <c r="T248" s="128"/>
      <c r="U248" s="128"/>
      <c r="V248" s="128" t="s">
        <v>153</v>
      </c>
      <c r="W248" s="128" t="s">
        <v>154</v>
      </c>
      <c r="X248" s="128" t="s">
        <v>112</v>
      </c>
      <c r="Y248" s="128" t="s">
        <v>112</v>
      </c>
      <c r="Z248" s="23" t="s">
        <v>42</v>
      </c>
      <c r="AA248" s="23" t="s">
        <v>115</v>
      </c>
      <c r="AB248" s="30" t="s">
        <v>155</v>
      </c>
      <c r="AC248" s="70"/>
      <c r="AD248" s="70"/>
      <c r="AE248" s="24"/>
      <c r="AF248" s="70"/>
      <c r="AG248" s="70"/>
      <c r="AH248" s="70"/>
      <c r="AI248" s="70"/>
      <c r="AJ248" s="70"/>
      <c r="AK248" s="70"/>
      <c r="AL248" s="70"/>
      <c r="AM248" s="24"/>
      <c r="AN248" s="70"/>
      <c r="AO248" s="70"/>
      <c r="AP248" s="70"/>
      <c r="AQ248" s="70"/>
      <c r="AR248" s="70"/>
      <c r="AS248" s="70"/>
      <c r="AT248" s="70"/>
      <c r="AU248" s="70"/>
      <c r="AV248" s="70"/>
      <c r="AW248" s="70"/>
      <c r="AX248" s="70"/>
      <c r="AY248" s="70"/>
      <c r="AZ248" s="70"/>
      <c r="BA248" s="70"/>
      <c r="BB248" s="70"/>
      <c r="BC248" s="70"/>
      <c r="BD248" s="70"/>
      <c r="BE248" s="70"/>
      <c r="BF248" s="70"/>
      <c r="BG248" s="70"/>
      <c r="BH248" s="70"/>
      <c r="BI248" s="70"/>
      <c r="BJ248" s="70"/>
      <c r="BK248" s="70"/>
      <c r="BL248" s="70"/>
      <c r="BM248" s="70"/>
      <c r="BN248" s="70"/>
      <c r="BO248" s="70"/>
      <c r="BP248" s="70"/>
      <c r="BQ248" s="70"/>
      <c r="BR248" s="70"/>
      <c r="BS248" s="70"/>
      <c r="BT248" s="70"/>
      <c r="BU248" s="70"/>
      <c r="BV248" s="70"/>
      <c r="BW248" s="70"/>
      <c r="BX248" s="70"/>
      <c r="BY248" s="70"/>
    </row>
    <row r="249" ht="15.75" customHeight="1">
      <c r="A249" s="8">
        <v>779.0</v>
      </c>
      <c r="B249" s="163" t="s">
        <v>1193</v>
      </c>
      <c r="C249" s="163" t="s">
        <v>54</v>
      </c>
      <c r="D249" s="181" t="s">
        <v>663</v>
      </c>
      <c r="E249" s="163" t="s">
        <v>112</v>
      </c>
      <c r="F249" s="168">
        <v>42776.0</v>
      </c>
      <c r="G249" s="169">
        <v>42767.0</v>
      </c>
      <c r="H249" s="42" t="str">
        <f>TEXT(G249, "yyyy")</f>
        <v>2017</v>
      </c>
      <c r="I249" s="8" t="s">
        <v>176</v>
      </c>
      <c r="J249" s="163" t="s">
        <v>112</v>
      </c>
      <c r="K249" s="163" t="s">
        <v>112</v>
      </c>
      <c r="L249" s="163" t="s">
        <v>100</v>
      </c>
      <c r="M249" s="163" t="s">
        <v>513</v>
      </c>
      <c r="N249" s="167" t="s">
        <v>1194</v>
      </c>
      <c r="O249" s="70" t="s">
        <v>1195</v>
      </c>
      <c r="P249" s="163" t="s">
        <v>106</v>
      </c>
      <c r="Q249" s="163" t="s">
        <v>112</v>
      </c>
      <c r="R249" s="163">
        <v>403782.0</v>
      </c>
      <c r="S249" s="163">
        <v>9739938.0</v>
      </c>
      <c r="T249" s="163" t="s">
        <v>112</v>
      </c>
      <c r="U249" s="163" t="s">
        <v>112</v>
      </c>
      <c r="V249" s="163" t="s">
        <v>1196</v>
      </c>
      <c r="W249" s="163" t="s">
        <v>112</v>
      </c>
      <c r="X249" s="163" t="s">
        <v>112</v>
      </c>
      <c r="Y249" s="163" t="s">
        <v>112</v>
      </c>
      <c r="Z249" s="8" t="s">
        <v>69</v>
      </c>
      <c r="AA249" s="23" t="s">
        <v>115</v>
      </c>
      <c r="AB249" s="8"/>
      <c r="AC249" s="70"/>
      <c r="AD249" s="70"/>
      <c r="AE249" s="24"/>
      <c r="AF249" s="70"/>
      <c r="AG249" s="70"/>
      <c r="AH249" s="70"/>
      <c r="AI249" s="70"/>
      <c r="AJ249" s="70"/>
      <c r="AK249" s="70"/>
      <c r="AL249" s="70"/>
      <c r="AM249" s="24"/>
      <c r="AN249" s="70"/>
      <c r="AO249" s="70"/>
      <c r="AP249" s="70"/>
      <c r="AQ249" s="70"/>
      <c r="AR249" s="70"/>
      <c r="AS249" s="70"/>
      <c r="AT249" s="70"/>
      <c r="AU249" s="70"/>
      <c r="AV249" s="70"/>
      <c r="AW249" s="70"/>
      <c r="AX249" s="70"/>
      <c r="AY249" s="70"/>
      <c r="AZ249" s="70"/>
      <c r="BA249" s="70"/>
      <c r="BB249" s="70"/>
      <c r="BC249" s="70"/>
      <c r="BD249" s="70"/>
      <c r="BE249" s="70"/>
      <c r="BF249" s="70"/>
      <c r="BG249" s="70"/>
      <c r="BH249" s="70"/>
      <c r="BI249" s="70"/>
      <c r="BJ249" s="70"/>
      <c r="BK249" s="70"/>
      <c r="BL249" s="70"/>
      <c r="BM249" s="70"/>
      <c r="BN249" s="70"/>
      <c r="BO249" s="70"/>
      <c r="BP249" s="70"/>
      <c r="BQ249" s="70"/>
      <c r="BR249" s="70"/>
      <c r="BS249" s="70"/>
      <c r="BT249" s="70"/>
      <c r="BU249" s="70"/>
      <c r="BV249" s="70"/>
      <c r="BW249" s="70"/>
      <c r="BX249" s="70"/>
      <c r="BY249" s="70"/>
    </row>
    <row r="250" ht="15.75" customHeight="1">
      <c r="A250" s="8">
        <v>63.0</v>
      </c>
      <c r="B250" s="146" t="s">
        <v>1197</v>
      </c>
      <c r="C250" s="128" t="s">
        <v>57</v>
      </c>
      <c r="D250" s="128" t="s">
        <v>146</v>
      </c>
      <c r="E250" s="128" t="s">
        <v>1198</v>
      </c>
      <c r="F250" s="182">
        <v>43556.0</v>
      </c>
      <c r="G250" s="146" t="s">
        <v>112</v>
      </c>
      <c r="H250" s="28" t="s">
        <v>112</v>
      </c>
      <c r="I250" s="8" t="s">
        <v>97</v>
      </c>
      <c r="J250" s="128" t="s">
        <v>112</v>
      </c>
      <c r="K250" s="128" t="s">
        <v>99</v>
      </c>
      <c r="L250" s="146" t="s">
        <v>100</v>
      </c>
      <c r="M250" s="141" t="s">
        <v>150</v>
      </c>
      <c r="N250" s="128" t="s">
        <v>1087</v>
      </c>
      <c r="O250" s="8" t="s">
        <v>152</v>
      </c>
      <c r="P250" s="128" t="s">
        <v>106</v>
      </c>
      <c r="Q250" s="128">
        <v>155.0</v>
      </c>
      <c r="R250" s="128">
        <v>403784.0</v>
      </c>
      <c r="S250" s="128">
        <v>9729942.0</v>
      </c>
      <c r="T250" s="128"/>
      <c r="U250" s="128"/>
      <c r="V250" s="128" t="s">
        <v>153</v>
      </c>
      <c r="W250" s="128" t="s">
        <v>154</v>
      </c>
      <c r="X250" s="128" t="s">
        <v>112</v>
      </c>
      <c r="Y250" s="128" t="s">
        <v>112</v>
      </c>
      <c r="Z250" s="23" t="s">
        <v>42</v>
      </c>
      <c r="AA250" s="23" t="s">
        <v>115</v>
      </c>
      <c r="AB250" s="30" t="s">
        <v>155</v>
      </c>
      <c r="AC250" s="70"/>
      <c r="AD250" s="70"/>
      <c r="AE250" s="24"/>
      <c r="AF250" s="70"/>
      <c r="AG250" s="70"/>
      <c r="AH250" s="70"/>
      <c r="AI250" s="70"/>
      <c r="AJ250" s="70"/>
      <c r="AK250" s="70"/>
      <c r="AL250" s="70"/>
      <c r="AM250" s="24"/>
      <c r="AN250" s="70"/>
      <c r="AO250" s="70"/>
      <c r="AP250" s="70"/>
      <c r="AQ250" s="70"/>
      <c r="AR250" s="70"/>
      <c r="AS250" s="70"/>
      <c r="AT250" s="70"/>
      <c r="AU250" s="70"/>
      <c r="AV250" s="70"/>
      <c r="AW250" s="70"/>
      <c r="AX250" s="70"/>
      <c r="AY250" s="70"/>
      <c r="AZ250" s="70"/>
      <c r="BA250" s="70"/>
      <c r="BB250" s="70"/>
      <c r="BC250" s="70"/>
      <c r="BD250" s="70"/>
      <c r="BE250" s="70"/>
      <c r="BF250" s="70"/>
      <c r="BG250" s="70"/>
      <c r="BH250" s="70"/>
      <c r="BI250" s="70"/>
      <c r="BJ250" s="70"/>
      <c r="BK250" s="70"/>
      <c r="BL250" s="70"/>
      <c r="BM250" s="70"/>
      <c r="BN250" s="70"/>
      <c r="BO250" s="70"/>
      <c r="BP250" s="70"/>
      <c r="BQ250" s="70"/>
      <c r="BR250" s="70"/>
      <c r="BS250" s="70"/>
      <c r="BT250" s="70"/>
      <c r="BU250" s="70"/>
      <c r="BV250" s="70"/>
      <c r="BW250" s="70"/>
      <c r="BX250" s="70"/>
      <c r="BY250" s="70"/>
    </row>
    <row r="251" ht="15.75" customHeight="1">
      <c r="A251" s="8">
        <v>397.0</v>
      </c>
      <c r="B251" s="163" t="s">
        <v>1199</v>
      </c>
      <c r="C251" s="163" t="s">
        <v>51</v>
      </c>
      <c r="D251" s="163" t="s">
        <v>508</v>
      </c>
      <c r="E251" s="163" t="s">
        <v>112</v>
      </c>
      <c r="F251" s="172">
        <v>40202.0</v>
      </c>
      <c r="G251" s="169">
        <v>40179.0</v>
      </c>
      <c r="H251" s="42" t="str">
        <f t="shared" ref="H251:H254" si="17">TEXT(G251, "yyyy")</f>
        <v>2010</v>
      </c>
      <c r="I251" s="8" t="s">
        <v>63</v>
      </c>
      <c r="J251" s="163" t="s">
        <v>112</v>
      </c>
      <c r="K251" s="141" t="s">
        <v>99</v>
      </c>
      <c r="L251" s="163" t="s">
        <v>100</v>
      </c>
      <c r="M251" s="173" t="s">
        <v>112</v>
      </c>
      <c r="N251" s="174" t="s">
        <v>1186</v>
      </c>
      <c r="O251" s="45" t="s">
        <v>928</v>
      </c>
      <c r="P251" s="163" t="s">
        <v>106</v>
      </c>
      <c r="Q251" s="163" t="s">
        <v>112</v>
      </c>
      <c r="R251" s="163">
        <v>403795.0</v>
      </c>
      <c r="S251" s="163">
        <v>9739691.0</v>
      </c>
      <c r="T251" s="176">
        <v>-2.3548138</v>
      </c>
      <c r="U251" s="176">
        <v>-75.865262</v>
      </c>
      <c r="V251" s="163" t="s">
        <v>548</v>
      </c>
      <c r="W251" s="163" t="s">
        <v>112</v>
      </c>
      <c r="X251" s="163" t="s">
        <v>112</v>
      </c>
      <c r="Y251" s="163" t="s">
        <v>112</v>
      </c>
      <c r="Z251" s="47" t="s">
        <v>37</v>
      </c>
      <c r="AA251" s="23" t="s">
        <v>115</v>
      </c>
      <c r="AB251" s="86" t="s">
        <v>396</v>
      </c>
      <c r="AC251" s="70"/>
      <c r="AD251" s="70"/>
      <c r="AE251" s="24"/>
      <c r="AF251" s="70"/>
      <c r="AG251" s="70"/>
      <c r="AH251" s="70"/>
      <c r="AI251" s="70"/>
      <c r="AJ251" s="70"/>
      <c r="AK251" s="70"/>
      <c r="AL251" s="70"/>
      <c r="AM251" s="24"/>
      <c r="AN251" s="70"/>
      <c r="AO251" s="70"/>
      <c r="AP251" s="70"/>
      <c r="AQ251" s="70"/>
      <c r="AR251" s="70"/>
      <c r="AS251" s="70"/>
      <c r="AT251" s="70"/>
      <c r="AU251" s="70"/>
      <c r="AV251" s="70"/>
      <c r="AW251" s="70"/>
      <c r="AX251" s="70"/>
      <c r="AY251" s="70"/>
      <c r="AZ251" s="70"/>
      <c r="BA251" s="70"/>
      <c r="BB251" s="70"/>
      <c r="BC251" s="70"/>
      <c r="BD251" s="70"/>
      <c r="BE251" s="70"/>
      <c r="BF251" s="70"/>
      <c r="BG251" s="70"/>
      <c r="BH251" s="70"/>
      <c r="BI251" s="70"/>
      <c r="BJ251" s="70"/>
      <c r="BK251" s="70"/>
      <c r="BL251" s="70"/>
      <c r="BM251" s="70"/>
      <c r="BN251" s="70"/>
      <c r="BO251" s="70"/>
      <c r="BP251" s="70"/>
      <c r="BQ251" s="70"/>
      <c r="BR251" s="70"/>
      <c r="BS251" s="70"/>
      <c r="BT251" s="70"/>
      <c r="BU251" s="70"/>
      <c r="BV251" s="70"/>
      <c r="BW251" s="70"/>
      <c r="BX251" s="70"/>
      <c r="BY251" s="70"/>
    </row>
    <row r="252" ht="15.75" customHeight="1">
      <c r="A252" s="8">
        <v>765.0</v>
      </c>
      <c r="B252" s="163" t="s">
        <v>1200</v>
      </c>
      <c r="C252" s="163" t="s">
        <v>54</v>
      </c>
      <c r="D252" s="163" t="s">
        <v>523</v>
      </c>
      <c r="E252" s="163" t="s">
        <v>112</v>
      </c>
      <c r="F252" s="168" t="s">
        <v>1201</v>
      </c>
      <c r="G252" s="178">
        <v>42675.0</v>
      </c>
      <c r="H252" s="42" t="str">
        <f t="shared" si="17"/>
        <v>2016</v>
      </c>
      <c r="I252" s="8" t="s">
        <v>186</v>
      </c>
      <c r="J252" s="163" t="s">
        <v>112</v>
      </c>
      <c r="K252" s="163" t="s">
        <v>112</v>
      </c>
      <c r="L252" s="163" t="s">
        <v>100</v>
      </c>
      <c r="M252" s="202" t="s">
        <v>177</v>
      </c>
      <c r="N252" s="163" t="s">
        <v>1202</v>
      </c>
      <c r="O252" s="8" t="s">
        <v>1203</v>
      </c>
      <c r="P252" s="163" t="s">
        <v>106</v>
      </c>
      <c r="Q252" s="181" t="s">
        <v>112</v>
      </c>
      <c r="R252" s="181">
        <v>403807.0</v>
      </c>
      <c r="S252" s="181">
        <v>9744305.0</v>
      </c>
      <c r="T252" s="163" t="s">
        <v>112</v>
      </c>
      <c r="U252" s="163" t="s">
        <v>112</v>
      </c>
      <c r="V252" s="163" t="s">
        <v>1204</v>
      </c>
      <c r="W252" s="163" t="s">
        <v>112</v>
      </c>
      <c r="X252" s="163">
        <v>0.0</v>
      </c>
      <c r="Y252" s="163">
        <v>0.0</v>
      </c>
      <c r="Z252" s="8" t="s">
        <v>69</v>
      </c>
      <c r="AA252" s="23" t="s">
        <v>115</v>
      </c>
      <c r="AB252" s="8"/>
      <c r="AC252" s="70"/>
      <c r="AD252" s="70"/>
      <c r="AE252" s="24"/>
      <c r="AF252" s="70"/>
      <c r="AG252" s="70"/>
      <c r="AH252" s="70"/>
      <c r="AI252" s="70"/>
      <c r="AJ252" s="70"/>
      <c r="AK252" s="70"/>
      <c r="AL252" s="70"/>
      <c r="AM252" s="24"/>
      <c r="AN252" s="70"/>
      <c r="AO252" s="70"/>
      <c r="AP252" s="70"/>
      <c r="AQ252" s="70"/>
      <c r="AR252" s="70"/>
      <c r="AS252" s="70"/>
      <c r="AT252" s="70"/>
      <c r="AU252" s="70"/>
      <c r="AV252" s="70"/>
      <c r="AW252" s="70"/>
      <c r="AX252" s="70"/>
      <c r="AY252" s="70"/>
      <c r="AZ252" s="70"/>
      <c r="BA252" s="70"/>
      <c r="BB252" s="70"/>
      <c r="BC252" s="70"/>
      <c r="BD252" s="70"/>
      <c r="BE252" s="70"/>
      <c r="BF252" s="70"/>
      <c r="BG252" s="70"/>
      <c r="BH252" s="70"/>
      <c r="BI252" s="70"/>
      <c r="BJ252" s="70"/>
      <c r="BK252" s="70"/>
      <c r="BL252" s="70"/>
      <c r="BM252" s="70"/>
      <c r="BN252" s="70"/>
      <c r="BO252" s="70"/>
      <c r="BP252" s="70"/>
      <c r="BQ252" s="70"/>
      <c r="BR252" s="70"/>
      <c r="BS252" s="70"/>
      <c r="BT252" s="70"/>
      <c r="BU252" s="70"/>
      <c r="BV252" s="70"/>
      <c r="BW252" s="70"/>
      <c r="BX252" s="70"/>
      <c r="BY252" s="70"/>
    </row>
    <row r="253" ht="15.75" customHeight="1">
      <c r="A253" s="8">
        <v>767.0</v>
      </c>
      <c r="B253" s="163" t="s">
        <v>1205</v>
      </c>
      <c r="C253" s="163" t="s">
        <v>54</v>
      </c>
      <c r="D253" s="163" t="s">
        <v>1206</v>
      </c>
      <c r="E253" s="163" t="s">
        <v>112</v>
      </c>
      <c r="F253" s="168" t="s">
        <v>1207</v>
      </c>
      <c r="G253" s="169">
        <v>42461.0</v>
      </c>
      <c r="H253" s="50" t="str">
        <f t="shared" si="17"/>
        <v>2016</v>
      </c>
      <c r="I253" s="8" t="s">
        <v>176</v>
      </c>
      <c r="J253" s="163" t="s">
        <v>112</v>
      </c>
      <c r="K253" s="163" t="s">
        <v>112</v>
      </c>
      <c r="L253" s="163" t="s">
        <v>100</v>
      </c>
      <c r="M253" s="163" t="s">
        <v>513</v>
      </c>
      <c r="N253" s="167" t="s">
        <v>1208</v>
      </c>
      <c r="O253" s="8" t="s">
        <v>1209</v>
      </c>
      <c r="P253" s="163" t="s">
        <v>106</v>
      </c>
      <c r="Q253" s="163" t="s">
        <v>112</v>
      </c>
      <c r="R253" s="163">
        <v>403808.0</v>
      </c>
      <c r="S253" s="163">
        <v>9744299.0</v>
      </c>
      <c r="T253" s="163" t="s">
        <v>112</v>
      </c>
      <c r="U253" s="163" t="s">
        <v>112</v>
      </c>
      <c r="V253" s="163" t="s">
        <v>1204</v>
      </c>
      <c r="W253" s="163" t="s">
        <v>112</v>
      </c>
      <c r="X253" s="163">
        <v>0.0</v>
      </c>
      <c r="Y253" s="163" t="s">
        <v>112</v>
      </c>
      <c r="Z253" s="8" t="s">
        <v>69</v>
      </c>
      <c r="AA253" s="23" t="s">
        <v>115</v>
      </c>
      <c r="AB253" s="8"/>
      <c r="AC253" s="70"/>
      <c r="AD253" s="70"/>
      <c r="AE253" s="24"/>
      <c r="AF253" s="70"/>
      <c r="AG253" s="70"/>
      <c r="AH253" s="70"/>
      <c r="AI253" s="70"/>
      <c r="AJ253" s="70"/>
      <c r="AK253" s="70"/>
      <c r="AL253" s="70"/>
      <c r="AM253" s="24"/>
      <c r="AN253" s="70"/>
      <c r="AO253" s="70"/>
      <c r="AP253" s="70"/>
      <c r="AQ253" s="70"/>
      <c r="AR253" s="70"/>
      <c r="AS253" s="70"/>
      <c r="AT253" s="70"/>
      <c r="AU253" s="70"/>
      <c r="AV253" s="70"/>
      <c r="AW253" s="70"/>
      <c r="AX253" s="70"/>
      <c r="AY253" s="70"/>
      <c r="AZ253" s="70"/>
      <c r="BA253" s="70"/>
      <c r="BB253" s="70"/>
      <c r="BC253" s="70"/>
      <c r="BD253" s="70"/>
      <c r="BE253" s="70"/>
      <c r="BF253" s="70"/>
      <c r="BG253" s="70"/>
      <c r="BH253" s="70"/>
      <c r="BI253" s="70"/>
      <c r="BJ253" s="70"/>
      <c r="BK253" s="70"/>
      <c r="BL253" s="70"/>
      <c r="BM253" s="70"/>
      <c r="BN253" s="70"/>
      <c r="BO253" s="70"/>
      <c r="BP253" s="70"/>
      <c r="BQ253" s="70"/>
      <c r="BR253" s="70"/>
      <c r="BS253" s="70"/>
      <c r="BT253" s="70"/>
      <c r="BU253" s="70"/>
      <c r="BV253" s="70"/>
      <c r="BW253" s="70"/>
      <c r="BX253" s="70"/>
      <c r="BY253" s="70"/>
    </row>
    <row r="254" ht="15.75" customHeight="1">
      <c r="A254" s="8">
        <v>697.0</v>
      </c>
      <c r="B254" s="188" t="s">
        <v>1210</v>
      </c>
      <c r="C254" s="163" t="s">
        <v>57</v>
      </c>
      <c r="D254" s="181" t="s">
        <v>112</v>
      </c>
      <c r="E254" s="163" t="s">
        <v>112</v>
      </c>
      <c r="F254" s="189" t="s">
        <v>1211</v>
      </c>
      <c r="G254" s="178">
        <v>42461.0</v>
      </c>
      <c r="H254" s="42" t="str">
        <f t="shared" si="17"/>
        <v>2016</v>
      </c>
      <c r="I254" s="8" t="s">
        <v>176</v>
      </c>
      <c r="J254" s="163" t="s">
        <v>112</v>
      </c>
      <c r="K254" s="163" t="s">
        <v>112</v>
      </c>
      <c r="L254" s="163" t="s">
        <v>100</v>
      </c>
      <c r="M254" s="202" t="s">
        <v>513</v>
      </c>
      <c r="N254" s="163" t="s">
        <v>1212</v>
      </c>
      <c r="O254" s="8" t="s">
        <v>1213</v>
      </c>
      <c r="P254" s="163" t="s">
        <v>106</v>
      </c>
      <c r="Q254" s="181" t="s">
        <v>112</v>
      </c>
      <c r="R254" s="181">
        <v>403816.0</v>
      </c>
      <c r="S254" s="181">
        <v>9744302.0</v>
      </c>
      <c r="T254" s="163" t="s">
        <v>112</v>
      </c>
      <c r="U254" s="163" t="s">
        <v>112</v>
      </c>
      <c r="V254" s="163" t="s">
        <v>1073</v>
      </c>
      <c r="W254" s="163" t="s">
        <v>112</v>
      </c>
      <c r="X254" s="163" t="s">
        <v>112</v>
      </c>
      <c r="Y254" s="163" t="s">
        <v>112</v>
      </c>
      <c r="Z254" s="8" t="s">
        <v>69</v>
      </c>
      <c r="AA254" s="23" t="s">
        <v>115</v>
      </c>
      <c r="AB254" s="8" t="s">
        <v>329</v>
      </c>
      <c r="AC254" s="70"/>
      <c r="AD254" s="70"/>
      <c r="AE254" s="24"/>
      <c r="AF254" s="70"/>
      <c r="AG254" s="70"/>
      <c r="AH254" s="70"/>
      <c r="AI254" s="70"/>
      <c r="AJ254" s="70"/>
      <c r="AK254" s="70"/>
      <c r="AL254" s="70"/>
      <c r="AM254" s="24"/>
      <c r="AN254" s="70"/>
      <c r="AO254" s="70"/>
      <c r="AP254" s="70"/>
      <c r="AQ254" s="70"/>
      <c r="AR254" s="70"/>
      <c r="AS254" s="70"/>
      <c r="AT254" s="70"/>
      <c r="AU254" s="70"/>
      <c r="AV254" s="70"/>
      <c r="AW254" s="70"/>
      <c r="AX254" s="70"/>
      <c r="AY254" s="70"/>
      <c r="AZ254" s="70"/>
      <c r="BA254" s="70"/>
      <c r="BB254" s="70"/>
      <c r="BC254" s="70"/>
      <c r="BD254" s="70"/>
      <c r="BE254" s="70"/>
      <c r="BF254" s="70"/>
      <c r="BG254" s="70"/>
      <c r="BH254" s="70"/>
      <c r="BI254" s="70"/>
      <c r="BJ254" s="70"/>
      <c r="BK254" s="70"/>
      <c r="BL254" s="70"/>
      <c r="BM254" s="70"/>
      <c r="BN254" s="70"/>
      <c r="BO254" s="70"/>
      <c r="BP254" s="70"/>
      <c r="BQ254" s="70"/>
      <c r="BR254" s="70"/>
      <c r="BS254" s="70"/>
      <c r="BT254" s="70"/>
      <c r="BU254" s="70"/>
      <c r="BV254" s="70"/>
      <c r="BW254" s="70"/>
      <c r="BX254" s="70"/>
      <c r="BY254" s="70"/>
    </row>
    <row r="255" ht="15.75" customHeight="1">
      <c r="A255" s="8">
        <v>75.0</v>
      </c>
      <c r="B255" s="146" t="s">
        <v>1214</v>
      </c>
      <c r="C255" s="128" t="s">
        <v>57</v>
      </c>
      <c r="D255" s="128" t="s">
        <v>146</v>
      </c>
      <c r="E255" s="128" t="s">
        <v>1215</v>
      </c>
      <c r="F255" s="182">
        <v>43556.0</v>
      </c>
      <c r="G255" s="146" t="s">
        <v>112</v>
      </c>
      <c r="H255" s="28" t="s">
        <v>112</v>
      </c>
      <c r="I255" s="8" t="s">
        <v>63</v>
      </c>
      <c r="J255" s="128" t="s">
        <v>112</v>
      </c>
      <c r="K255" s="128" t="s">
        <v>99</v>
      </c>
      <c r="L255" s="146" t="s">
        <v>100</v>
      </c>
      <c r="M255" s="141" t="s">
        <v>150</v>
      </c>
      <c r="N255" s="128" t="s">
        <v>1216</v>
      </c>
      <c r="O255" s="8" t="s">
        <v>152</v>
      </c>
      <c r="P255" s="128" t="s">
        <v>106</v>
      </c>
      <c r="Q255" s="128">
        <v>169.0</v>
      </c>
      <c r="R255" s="128">
        <v>403820.0</v>
      </c>
      <c r="S255" s="128">
        <v>9744063.0</v>
      </c>
      <c r="T255" s="128"/>
      <c r="U255" s="128"/>
      <c r="V255" s="128" t="s">
        <v>153</v>
      </c>
      <c r="W255" s="128" t="s">
        <v>154</v>
      </c>
      <c r="X255" s="128" t="s">
        <v>112</v>
      </c>
      <c r="Y255" s="128" t="s">
        <v>112</v>
      </c>
      <c r="Z255" s="23" t="s">
        <v>42</v>
      </c>
      <c r="AA255" s="23" t="s">
        <v>115</v>
      </c>
      <c r="AB255" s="30" t="s">
        <v>155</v>
      </c>
      <c r="AC255" s="70"/>
      <c r="AD255" s="70"/>
      <c r="AE255" s="24"/>
      <c r="AF255" s="70"/>
      <c r="AG255" s="70"/>
      <c r="AH255" s="70"/>
      <c r="AI255" s="70"/>
      <c r="AJ255" s="70"/>
      <c r="AK255" s="70"/>
      <c r="AL255" s="70"/>
      <c r="AM255" s="24"/>
      <c r="AN255" s="70"/>
      <c r="AO255" s="70"/>
      <c r="AP255" s="70"/>
      <c r="AQ255" s="70"/>
      <c r="AR255" s="70"/>
      <c r="AS255" s="70"/>
      <c r="AT255" s="70"/>
      <c r="AU255" s="70"/>
      <c r="AV255" s="70"/>
      <c r="AW255" s="70"/>
      <c r="AX255" s="70"/>
      <c r="AY255" s="70"/>
      <c r="AZ255" s="70"/>
      <c r="BA255" s="70"/>
      <c r="BB255" s="70"/>
      <c r="BC255" s="70"/>
      <c r="BD255" s="70"/>
      <c r="BE255" s="70"/>
      <c r="BF255" s="70"/>
      <c r="BG255" s="70"/>
      <c r="BH255" s="70"/>
      <c r="BI255" s="70"/>
      <c r="BJ255" s="70"/>
      <c r="BK255" s="70"/>
      <c r="BL255" s="70"/>
      <c r="BM255" s="70"/>
      <c r="BN255" s="70"/>
      <c r="BO255" s="70"/>
      <c r="BP255" s="70"/>
      <c r="BQ255" s="70"/>
      <c r="BR255" s="70"/>
      <c r="BS255" s="70"/>
      <c r="BT255" s="70"/>
      <c r="BU255" s="70"/>
      <c r="BV255" s="70"/>
      <c r="BW255" s="70"/>
      <c r="BX255" s="70"/>
      <c r="BY255" s="70"/>
    </row>
    <row r="256" ht="15.75" customHeight="1">
      <c r="A256" s="52">
        <v>958.0</v>
      </c>
      <c r="B256" s="179" t="s">
        <v>1217</v>
      </c>
      <c r="C256" s="179" t="s">
        <v>57</v>
      </c>
      <c r="D256" s="179" t="s">
        <v>694</v>
      </c>
      <c r="E256" s="179" t="s">
        <v>964</v>
      </c>
      <c r="F256" s="203">
        <v>44448.0</v>
      </c>
      <c r="G256" s="203">
        <v>44448.0</v>
      </c>
      <c r="H256" s="55">
        <v>2021.0</v>
      </c>
      <c r="I256" s="53" t="s">
        <v>97</v>
      </c>
      <c r="J256" s="179"/>
      <c r="K256" s="179" t="s">
        <v>164</v>
      </c>
      <c r="L256" s="179" t="s">
        <v>100</v>
      </c>
      <c r="M256" s="179" t="s">
        <v>485</v>
      </c>
      <c r="N256" s="179" t="s">
        <v>1218</v>
      </c>
      <c r="O256" s="53" t="s">
        <v>1219</v>
      </c>
      <c r="P256" s="179" t="s">
        <v>106</v>
      </c>
      <c r="Q256" s="179"/>
      <c r="R256" s="179">
        <v>403821.0</v>
      </c>
      <c r="S256" s="179">
        <v>9744062.0</v>
      </c>
      <c r="T256" s="137"/>
      <c r="U256" s="134"/>
      <c r="V256" s="179" t="s">
        <v>1128</v>
      </c>
      <c r="W256" s="134"/>
      <c r="X256" s="134"/>
      <c r="Y256" s="134"/>
      <c r="Z256" s="58"/>
      <c r="AA256" s="58"/>
      <c r="AB256" s="58"/>
      <c r="AC256" s="70"/>
      <c r="AD256" s="70"/>
      <c r="AE256" s="24"/>
      <c r="AF256" s="70"/>
      <c r="AG256" s="70"/>
      <c r="AH256" s="70"/>
      <c r="AI256" s="70"/>
      <c r="AJ256" s="70"/>
      <c r="AK256" s="70"/>
      <c r="AL256" s="70"/>
      <c r="AM256" s="24"/>
      <c r="AN256" s="70"/>
      <c r="AO256" s="70"/>
      <c r="AP256" s="70"/>
      <c r="AQ256" s="70"/>
      <c r="AR256" s="70"/>
      <c r="AS256" s="70"/>
      <c r="AT256" s="70"/>
      <c r="AU256" s="70"/>
      <c r="AV256" s="70"/>
      <c r="AW256" s="70"/>
      <c r="AX256" s="70"/>
      <c r="AY256" s="70"/>
      <c r="AZ256" s="70"/>
      <c r="BA256" s="70"/>
      <c r="BB256" s="70"/>
      <c r="BC256" s="70"/>
      <c r="BD256" s="70"/>
      <c r="BE256" s="70"/>
      <c r="BF256" s="70"/>
      <c r="BG256" s="70"/>
      <c r="BH256" s="70"/>
      <c r="BI256" s="70"/>
      <c r="BJ256" s="70"/>
      <c r="BK256" s="70"/>
      <c r="BL256" s="70"/>
      <c r="BM256" s="70"/>
      <c r="BN256" s="70"/>
      <c r="BO256" s="70"/>
      <c r="BP256" s="70"/>
      <c r="BQ256" s="70"/>
      <c r="BR256" s="70"/>
      <c r="BS256" s="70"/>
      <c r="BT256" s="70"/>
      <c r="BU256" s="70"/>
      <c r="BV256" s="70"/>
      <c r="BW256" s="70"/>
      <c r="BX256" s="70"/>
      <c r="BY256" s="70"/>
    </row>
    <row r="257" ht="15.75" customHeight="1">
      <c r="A257" s="8">
        <v>58.0</v>
      </c>
      <c r="B257" s="146" t="s">
        <v>1220</v>
      </c>
      <c r="C257" s="128" t="s">
        <v>57</v>
      </c>
      <c r="D257" s="128" t="s">
        <v>146</v>
      </c>
      <c r="E257" s="128" t="s">
        <v>1221</v>
      </c>
      <c r="F257" s="182">
        <v>43556.0</v>
      </c>
      <c r="G257" s="146" t="s">
        <v>112</v>
      </c>
      <c r="H257" s="28" t="s">
        <v>112</v>
      </c>
      <c r="I257" s="8" t="s">
        <v>97</v>
      </c>
      <c r="J257" s="128" t="s">
        <v>112</v>
      </c>
      <c r="K257" s="128" t="s">
        <v>99</v>
      </c>
      <c r="L257" s="146" t="s">
        <v>100</v>
      </c>
      <c r="M257" s="141" t="s">
        <v>150</v>
      </c>
      <c r="N257" s="128" t="s">
        <v>1222</v>
      </c>
      <c r="O257" s="8" t="s">
        <v>152</v>
      </c>
      <c r="P257" s="128" t="s">
        <v>106</v>
      </c>
      <c r="Q257" s="128">
        <v>165.0</v>
      </c>
      <c r="R257" s="128">
        <v>403825.0</v>
      </c>
      <c r="S257" s="128">
        <v>9744184.0</v>
      </c>
      <c r="T257" s="128"/>
      <c r="U257" s="128"/>
      <c r="V257" s="128" t="s">
        <v>153</v>
      </c>
      <c r="W257" s="128" t="s">
        <v>154</v>
      </c>
      <c r="X257" s="128" t="s">
        <v>112</v>
      </c>
      <c r="Y257" s="128" t="s">
        <v>112</v>
      </c>
      <c r="Z257" s="23" t="s">
        <v>42</v>
      </c>
      <c r="AA257" s="23" t="s">
        <v>115</v>
      </c>
      <c r="AB257" s="30" t="s">
        <v>155</v>
      </c>
      <c r="AC257" s="70"/>
      <c r="AD257" s="70"/>
      <c r="AE257" s="24"/>
      <c r="AF257" s="70"/>
      <c r="AG257" s="70"/>
      <c r="AH257" s="70"/>
      <c r="AI257" s="70"/>
      <c r="AJ257" s="70"/>
      <c r="AK257" s="70"/>
      <c r="AL257" s="70"/>
      <c r="AM257" s="24"/>
      <c r="AN257" s="70"/>
      <c r="AO257" s="70"/>
      <c r="AP257" s="70"/>
      <c r="AQ257" s="70"/>
      <c r="AR257" s="70"/>
      <c r="AS257" s="70"/>
      <c r="AT257" s="70"/>
      <c r="AU257" s="70"/>
      <c r="AV257" s="70"/>
      <c r="AW257" s="70"/>
      <c r="AX257" s="70"/>
      <c r="AY257" s="70"/>
      <c r="AZ257" s="70"/>
      <c r="BA257" s="70"/>
      <c r="BB257" s="70"/>
      <c r="BC257" s="70"/>
      <c r="BD257" s="70"/>
      <c r="BE257" s="70"/>
      <c r="BF257" s="70"/>
      <c r="BG257" s="70"/>
      <c r="BH257" s="70"/>
      <c r="BI257" s="70"/>
      <c r="BJ257" s="70"/>
      <c r="BK257" s="70"/>
      <c r="BL257" s="70"/>
      <c r="BM257" s="70"/>
      <c r="BN257" s="70"/>
      <c r="BO257" s="70"/>
      <c r="BP257" s="70"/>
      <c r="BQ257" s="70"/>
      <c r="BR257" s="70"/>
      <c r="BS257" s="70"/>
      <c r="BT257" s="70"/>
      <c r="BU257" s="70"/>
      <c r="BV257" s="70"/>
      <c r="BW257" s="70"/>
      <c r="BX257" s="70"/>
      <c r="BY257" s="70"/>
    </row>
    <row r="258" ht="15.75" customHeight="1">
      <c r="A258" s="8">
        <v>774.0</v>
      </c>
      <c r="B258" s="163" t="s">
        <v>1223</v>
      </c>
      <c r="C258" s="163" t="s">
        <v>54</v>
      </c>
      <c r="D258" s="163" t="s">
        <v>941</v>
      </c>
      <c r="E258" s="163" t="s">
        <v>112</v>
      </c>
      <c r="F258" s="204">
        <v>42765.0</v>
      </c>
      <c r="G258" s="169">
        <v>42736.0</v>
      </c>
      <c r="H258" s="42" t="str">
        <f t="shared" ref="H258:H260" si="18">TEXT(G258, "yyyy")</f>
        <v>2017</v>
      </c>
      <c r="I258" s="8" t="s">
        <v>176</v>
      </c>
      <c r="J258" s="163" t="s">
        <v>112</v>
      </c>
      <c r="K258" s="163" t="s">
        <v>112</v>
      </c>
      <c r="L258" s="163" t="s">
        <v>100</v>
      </c>
      <c r="M258" s="163" t="s">
        <v>513</v>
      </c>
      <c r="N258" s="163" t="s">
        <v>1224</v>
      </c>
      <c r="O258" s="8" t="s">
        <v>1225</v>
      </c>
      <c r="P258" s="163" t="s">
        <v>106</v>
      </c>
      <c r="Q258" s="163" t="s">
        <v>112</v>
      </c>
      <c r="R258" s="163">
        <v>403882.0</v>
      </c>
      <c r="S258" s="163">
        <v>9743980.0</v>
      </c>
      <c r="T258" s="163" t="s">
        <v>112</v>
      </c>
      <c r="U258" s="163" t="s">
        <v>112</v>
      </c>
      <c r="V258" s="163" t="s">
        <v>1226</v>
      </c>
      <c r="W258" s="163" t="s">
        <v>112</v>
      </c>
      <c r="X258" s="163">
        <v>0.0</v>
      </c>
      <c r="Y258" s="163" t="s">
        <v>1227</v>
      </c>
      <c r="Z258" s="8" t="s">
        <v>69</v>
      </c>
      <c r="AA258" s="23" t="s">
        <v>115</v>
      </c>
      <c r="AB258" s="8"/>
      <c r="AC258" s="70"/>
      <c r="AD258" s="70"/>
      <c r="AE258" s="24"/>
      <c r="AF258" s="70"/>
      <c r="AG258" s="70"/>
      <c r="AH258" s="70"/>
      <c r="AI258" s="70"/>
      <c r="AJ258" s="70"/>
      <c r="AK258" s="70"/>
      <c r="AL258" s="70"/>
      <c r="AM258" s="24"/>
      <c r="AN258" s="70"/>
      <c r="AO258" s="70"/>
      <c r="AP258" s="70"/>
      <c r="AQ258" s="70"/>
      <c r="AR258" s="70"/>
      <c r="AS258" s="70"/>
      <c r="AT258" s="70"/>
      <c r="AU258" s="70"/>
      <c r="AV258" s="70"/>
      <c r="AW258" s="70"/>
      <c r="AX258" s="70"/>
      <c r="AY258" s="70"/>
      <c r="AZ258" s="70"/>
      <c r="BA258" s="70"/>
      <c r="BB258" s="70"/>
      <c r="BC258" s="70"/>
      <c r="BD258" s="70"/>
      <c r="BE258" s="70"/>
      <c r="BF258" s="70"/>
      <c r="BG258" s="70"/>
      <c r="BH258" s="70"/>
      <c r="BI258" s="70"/>
      <c r="BJ258" s="70"/>
      <c r="BK258" s="70"/>
      <c r="BL258" s="70"/>
      <c r="BM258" s="70"/>
      <c r="BN258" s="70"/>
      <c r="BO258" s="70"/>
      <c r="BP258" s="70"/>
      <c r="BQ258" s="70"/>
      <c r="BR258" s="70"/>
      <c r="BS258" s="70"/>
      <c r="BT258" s="70"/>
      <c r="BU258" s="70"/>
      <c r="BV258" s="70"/>
      <c r="BW258" s="70"/>
      <c r="BX258" s="70"/>
      <c r="BY258" s="70"/>
    </row>
    <row r="259" ht="15.75" customHeight="1">
      <c r="A259" s="8">
        <v>826.0</v>
      </c>
      <c r="B259" s="158" t="s">
        <v>1228</v>
      </c>
      <c r="C259" s="158" t="s">
        <v>57</v>
      </c>
      <c r="D259" s="158" t="s">
        <v>112</v>
      </c>
      <c r="E259" s="158" t="s">
        <v>112</v>
      </c>
      <c r="F259" s="205">
        <v>42870.0</v>
      </c>
      <c r="G259" s="164">
        <v>42856.0</v>
      </c>
      <c r="H259" s="20" t="str">
        <f t="shared" si="18"/>
        <v>2017</v>
      </c>
      <c r="I259" s="8" t="s">
        <v>186</v>
      </c>
      <c r="J259" s="158" t="s">
        <v>112</v>
      </c>
      <c r="K259" s="158" t="s">
        <v>112</v>
      </c>
      <c r="L259" s="158" t="s">
        <v>100</v>
      </c>
      <c r="M259" s="206" t="s">
        <v>513</v>
      </c>
      <c r="N259" s="158" t="s">
        <v>1229</v>
      </c>
      <c r="O259" s="8" t="s">
        <v>1230</v>
      </c>
      <c r="P259" s="158" t="s">
        <v>106</v>
      </c>
      <c r="Q259" s="158" t="s">
        <v>112</v>
      </c>
      <c r="R259" s="158">
        <v>403885.0</v>
      </c>
      <c r="S259" s="158">
        <v>9743953.0</v>
      </c>
      <c r="T259" s="158" t="s">
        <v>112</v>
      </c>
      <c r="U259" s="158" t="s">
        <v>112</v>
      </c>
      <c r="V259" s="158" t="s">
        <v>1231</v>
      </c>
      <c r="W259" s="158" t="s">
        <v>112</v>
      </c>
      <c r="X259" s="158">
        <v>0.0</v>
      </c>
      <c r="Y259" s="158" t="s">
        <v>112</v>
      </c>
      <c r="Z259" s="8" t="s">
        <v>148</v>
      </c>
      <c r="AA259" s="23" t="s">
        <v>115</v>
      </c>
      <c r="AB259" s="8" t="s">
        <v>278</v>
      </c>
      <c r="AC259" s="70"/>
      <c r="AD259" s="70"/>
      <c r="AE259" s="24"/>
      <c r="AF259" s="70"/>
      <c r="AG259" s="70"/>
      <c r="AH259" s="70"/>
      <c r="AI259" s="70"/>
      <c r="AJ259" s="70"/>
      <c r="AK259" s="70"/>
      <c r="AL259" s="70"/>
      <c r="AM259" s="24"/>
      <c r="AN259" s="70"/>
      <c r="AO259" s="70"/>
      <c r="AP259" s="70"/>
      <c r="AQ259" s="70"/>
      <c r="AR259" s="70"/>
      <c r="AS259" s="70"/>
      <c r="AT259" s="70"/>
      <c r="AU259" s="70"/>
      <c r="AV259" s="70"/>
      <c r="AW259" s="70"/>
      <c r="AX259" s="70"/>
      <c r="AY259" s="70"/>
      <c r="AZ259" s="70"/>
      <c r="BA259" s="70"/>
      <c r="BB259" s="70"/>
      <c r="BC259" s="70"/>
      <c r="BD259" s="70"/>
      <c r="BE259" s="70"/>
      <c r="BF259" s="70"/>
      <c r="BG259" s="70"/>
      <c r="BH259" s="70"/>
      <c r="BI259" s="70"/>
      <c r="BJ259" s="70"/>
      <c r="BK259" s="70"/>
      <c r="BL259" s="70"/>
      <c r="BM259" s="70"/>
      <c r="BN259" s="70"/>
      <c r="BO259" s="70"/>
      <c r="BP259" s="70"/>
      <c r="BQ259" s="70"/>
      <c r="BR259" s="70"/>
      <c r="BS259" s="70"/>
      <c r="BT259" s="70"/>
      <c r="BU259" s="70"/>
      <c r="BV259" s="70"/>
      <c r="BW259" s="70"/>
      <c r="BX259" s="70"/>
      <c r="BY259" s="70"/>
    </row>
    <row r="260" ht="15.75" customHeight="1">
      <c r="A260" s="8">
        <v>766.0</v>
      </c>
      <c r="B260" s="163" t="s">
        <v>1232</v>
      </c>
      <c r="C260" s="163" t="s">
        <v>54</v>
      </c>
      <c r="D260" s="163" t="s">
        <v>941</v>
      </c>
      <c r="E260" s="163" t="s">
        <v>112</v>
      </c>
      <c r="F260" s="204" t="s">
        <v>1233</v>
      </c>
      <c r="G260" s="169">
        <v>42705.0</v>
      </c>
      <c r="H260" s="50" t="str">
        <f t="shared" si="18"/>
        <v>2016</v>
      </c>
      <c r="I260" s="8" t="s">
        <v>176</v>
      </c>
      <c r="J260" s="163" t="s">
        <v>112</v>
      </c>
      <c r="K260" s="163" t="s">
        <v>112</v>
      </c>
      <c r="L260" s="163" t="s">
        <v>100</v>
      </c>
      <c r="M260" s="163" t="s">
        <v>513</v>
      </c>
      <c r="N260" s="163" t="s">
        <v>1234</v>
      </c>
      <c r="O260" s="8" t="s">
        <v>1235</v>
      </c>
      <c r="P260" s="163" t="s">
        <v>106</v>
      </c>
      <c r="Q260" s="163" t="s">
        <v>112</v>
      </c>
      <c r="R260" s="163">
        <v>403885.0</v>
      </c>
      <c r="S260" s="163">
        <v>9743979.0</v>
      </c>
      <c r="T260" s="163" t="s">
        <v>112</v>
      </c>
      <c r="U260" s="163" t="s">
        <v>112</v>
      </c>
      <c r="V260" s="163" t="s">
        <v>1236</v>
      </c>
      <c r="W260" s="163" t="s">
        <v>112</v>
      </c>
      <c r="X260" s="163" t="s">
        <v>112</v>
      </c>
      <c r="Y260" s="163" t="s">
        <v>1237</v>
      </c>
      <c r="Z260" s="8" t="s">
        <v>69</v>
      </c>
      <c r="AA260" s="23" t="s">
        <v>115</v>
      </c>
      <c r="AB260" s="8"/>
      <c r="AC260" s="70"/>
      <c r="AD260" s="70"/>
      <c r="AE260" s="24"/>
      <c r="AF260" s="70"/>
      <c r="AG260" s="70"/>
      <c r="AH260" s="70"/>
      <c r="AI260" s="70"/>
      <c r="AJ260" s="70"/>
      <c r="AK260" s="70"/>
      <c r="AL260" s="70"/>
      <c r="AM260" s="24"/>
      <c r="AN260" s="70"/>
      <c r="AO260" s="70"/>
      <c r="AP260" s="70"/>
      <c r="AQ260" s="70"/>
      <c r="AR260" s="70"/>
      <c r="AS260" s="70"/>
      <c r="AT260" s="70"/>
      <c r="AU260" s="70"/>
      <c r="AV260" s="70"/>
      <c r="AW260" s="70"/>
      <c r="AX260" s="70"/>
      <c r="AY260" s="70"/>
      <c r="AZ260" s="70"/>
      <c r="BA260" s="70"/>
      <c r="BB260" s="70"/>
      <c r="BC260" s="70"/>
      <c r="BD260" s="70"/>
      <c r="BE260" s="70"/>
      <c r="BF260" s="70"/>
      <c r="BG260" s="70"/>
      <c r="BH260" s="70"/>
      <c r="BI260" s="70"/>
      <c r="BJ260" s="70"/>
      <c r="BK260" s="70"/>
      <c r="BL260" s="70"/>
      <c r="BM260" s="70"/>
      <c r="BN260" s="70"/>
      <c r="BO260" s="70"/>
      <c r="BP260" s="70"/>
      <c r="BQ260" s="70"/>
      <c r="BR260" s="70"/>
      <c r="BS260" s="70"/>
      <c r="BT260" s="70"/>
      <c r="BU260" s="70"/>
      <c r="BV260" s="70"/>
      <c r="BW260" s="70"/>
      <c r="BX260" s="70"/>
      <c r="BY260" s="70"/>
    </row>
    <row r="261" ht="15.75" customHeight="1">
      <c r="A261" s="8">
        <v>80.0</v>
      </c>
      <c r="B261" s="146" t="s">
        <v>1238</v>
      </c>
      <c r="C261" s="128" t="s">
        <v>57</v>
      </c>
      <c r="D261" s="128" t="s">
        <v>146</v>
      </c>
      <c r="E261" s="128" t="s">
        <v>1239</v>
      </c>
      <c r="F261" s="182">
        <v>43556.0</v>
      </c>
      <c r="G261" s="146" t="s">
        <v>112</v>
      </c>
      <c r="H261" s="28" t="s">
        <v>112</v>
      </c>
      <c r="I261" s="8" t="s">
        <v>63</v>
      </c>
      <c r="J261" s="128" t="s">
        <v>112</v>
      </c>
      <c r="K261" s="128" t="s">
        <v>99</v>
      </c>
      <c r="L261" s="146" t="s">
        <v>100</v>
      </c>
      <c r="M261" s="141" t="s">
        <v>150</v>
      </c>
      <c r="N261" s="128" t="s">
        <v>63</v>
      </c>
      <c r="O261" s="8" t="s">
        <v>152</v>
      </c>
      <c r="P261" s="128" t="s">
        <v>106</v>
      </c>
      <c r="Q261" s="128">
        <v>180.0</v>
      </c>
      <c r="R261" s="128">
        <v>403888.0</v>
      </c>
      <c r="S261" s="128">
        <v>9744933.0</v>
      </c>
      <c r="T261" s="128"/>
      <c r="U261" s="128"/>
      <c r="V261" s="128" t="s">
        <v>153</v>
      </c>
      <c r="W261" s="128" t="s">
        <v>154</v>
      </c>
      <c r="X261" s="128" t="s">
        <v>112</v>
      </c>
      <c r="Y261" s="128" t="s">
        <v>112</v>
      </c>
      <c r="Z261" s="23" t="s">
        <v>42</v>
      </c>
      <c r="AA261" s="23" t="s">
        <v>115</v>
      </c>
      <c r="AB261" s="30" t="s">
        <v>155</v>
      </c>
      <c r="AC261" s="70"/>
      <c r="AD261" s="70"/>
      <c r="AE261" s="24"/>
      <c r="AF261" s="70"/>
      <c r="AG261" s="70"/>
      <c r="AH261" s="70"/>
      <c r="AI261" s="70"/>
      <c r="AJ261" s="70"/>
      <c r="AK261" s="70"/>
      <c r="AL261" s="70"/>
      <c r="AM261" s="24"/>
      <c r="AN261" s="70"/>
      <c r="AO261" s="70"/>
      <c r="AP261" s="70"/>
      <c r="AQ261" s="70"/>
      <c r="AR261" s="70"/>
      <c r="AS261" s="70"/>
      <c r="AT261" s="70"/>
      <c r="AU261" s="70"/>
      <c r="AV261" s="70"/>
      <c r="AW261" s="70"/>
      <c r="AX261" s="70"/>
      <c r="AY261" s="70"/>
      <c r="AZ261" s="70"/>
      <c r="BA261" s="70"/>
      <c r="BB261" s="70"/>
      <c r="BC261" s="70"/>
      <c r="BD261" s="70"/>
      <c r="BE261" s="70"/>
      <c r="BF261" s="70"/>
      <c r="BG261" s="70"/>
      <c r="BH261" s="70"/>
      <c r="BI261" s="70"/>
      <c r="BJ261" s="70"/>
      <c r="BK261" s="70"/>
      <c r="BL261" s="70"/>
      <c r="BM261" s="70"/>
      <c r="BN261" s="70"/>
      <c r="BO261" s="70"/>
      <c r="BP261" s="70"/>
      <c r="BQ261" s="70"/>
      <c r="BR261" s="70"/>
      <c r="BS261" s="70"/>
      <c r="BT261" s="70"/>
      <c r="BU261" s="70"/>
      <c r="BV261" s="70"/>
      <c r="BW261" s="70"/>
      <c r="BX261" s="70"/>
      <c r="BY261" s="70"/>
    </row>
    <row r="262" ht="15.75" customHeight="1">
      <c r="A262" s="8">
        <v>56.0</v>
      </c>
      <c r="B262" s="146" t="s">
        <v>1240</v>
      </c>
      <c r="C262" s="128" t="s">
        <v>57</v>
      </c>
      <c r="D262" s="128" t="s">
        <v>146</v>
      </c>
      <c r="E262" s="128" t="s">
        <v>1241</v>
      </c>
      <c r="F262" s="182">
        <v>43556.0</v>
      </c>
      <c r="G262" s="146" t="s">
        <v>112</v>
      </c>
      <c r="H262" s="28" t="s">
        <v>112</v>
      </c>
      <c r="I262" s="8" t="s">
        <v>97</v>
      </c>
      <c r="J262" s="128" t="s">
        <v>112</v>
      </c>
      <c r="K262" s="128" t="s">
        <v>99</v>
      </c>
      <c r="L262" s="146" t="s">
        <v>100</v>
      </c>
      <c r="M262" s="141" t="s">
        <v>150</v>
      </c>
      <c r="N262" s="128" t="s">
        <v>1190</v>
      </c>
      <c r="O262" s="8" t="s">
        <v>152</v>
      </c>
      <c r="P262" s="128" t="s">
        <v>106</v>
      </c>
      <c r="Q262" s="128">
        <v>161.0</v>
      </c>
      <c r="R262" s="128">
        <v>403891.0</v>
      </c>
      <c r="S262" s="128">
        <v>9743973.0</v>
      </c>
      <c r="T262" s="128"/>
      <c r="U262" s="128"/>
      <c r="V262" s="128" t="s">
        <v>153</v>
      </c>
      <c r="W262" s="128" t="s">
        <v>154</v>
      </c>
      <c r="X262" s="128" t="s">
        <v>112</v>
      </c>
      <c r="Y262" s="128" t="s">
        <v>112</v>
      </c>
      <c r="Z262" s="23" t="s">
        <v>42</v>
      </c>
      <c r="AA262" s="23" t="s">
        <v>115</v>
      </c>
      <c r="AB262" s="30" t="s">
        <v>155</v>
      </c>
      <c r="AC262" s="70"/>
      <c r="AD262" s="70"/>
      <c r="AE262" s="24"/>
      <c r="AF262" s="70"/>
      <c r="AG262" s="70"/>
      <c r="AH262" s="70"/>
      <c r="AI262" s="70"/>
      <c r="AJ262" s="70"/>
      <c r="AK262" s="70"/>
      <c r="AL262" s="70"/>
      <c r="AM262" s="24"/>
      <c r="AN262" s="70"/>
      <c r="AO262" s="70"/>
      <c r="AP262" s="70"/>
      <c r="AQ262" s="70"/>
      <c r="AR262" s="70"/>
      <c r="AS262" s="70"/>
      <c r="AT262" s="70"/>
      <c r="AU262" s="70"/>
      <c r="AV262" s="70"/>
      <c r="AW262" s="70"/>
      <c r="AX262" s="70"/>
      <c r="AY262" s="70"/>
      <c r="AZ262" s="70"/>
      <c r="BA262" s="70"/>
      <c r="BB262" s="70"/>
      <c r="BC262" s="70"/>
      <c r="BD262" s="70"/>
      <c r="BE262" s="70"/>
      <c r="BF262" s="70"/>
      <c r="BG262" s="70"/>
      <c r="BH262" s="70"/>
      <c r="BI262" s="70"/>
      <c r="BJ262" s="70"/>
      <c r="BK262" s="70"/>
      <c r="BL262" s="70"/>
      <c r="BM262" s="70"/>
      <c r="BN262" s="70"/>
      <c r="BO262" s="70"/>
      <c r="BP262" s="70"/>
      <c r="BQ262" s="70"/>
      <c r="BR262" s="70"/>
      <c r="BS262" s="70"/>
      <c r="BT262" s="70"/>
      <c r="BU262" s="70"/>
      <c r="BV262" s="70"/>
      <c r="BW262" s="70"/>
      <c r="BX262" s="70"/>
      <c r="BY262" s="70"/>
    </row>
    <row r="263" ht="15.75" customHeight="1">
      <c r="A263" s="8">
        <v>781.0</v>
      </c>
      <c r="B263" s="163" t="s">
        <v>1242</v>
      </c>
      <c r="C263" s="163" t="s">
        <v>54</v>
      </c>
      <c r="D263" s="181" t="s">
        <v>663</v>
      </c>
      <c r="E263" s="163" t="s">
        <v>112</v>
      </c>
      <c r="F263" s="207" t="s">
        <v>1243</v>
      </c>
      <c r="G263" s="140">
        <v>42767.0</v>
      </c>
      <c r="H263" s="42" t="str">
        <f>TEXT(G263, "yyyy")</f>
        <v>2017</v>
      </c>
      <c r="I263" s="8" t="s">
        <v>176</v>
      </c>
      <c r="J263" s="163" t="s">
        <v>112</v>
      </c>
      <c r="K263" s="163" t="s">
        <v>112</v>
      </c>
      <c r="L263" s="163" t="s">
        <v>100</v>
      </c>
      <c r="M263" s="163" t="s">
        <v>513</v>
      </c>
      <c r="N263" s="163" t="s">
        <v>1244</v>
      </c>
      <c r="O263" s="8" t="s">
        <v>1245</v>
      </c>
      <c r="P263" s="163" t="s">
        <v>106</v>
      </c>
      <c r="Q263" s="163" t="s">
        <v>112</v>
      </c>
      <c r="R263" s="163">
        <v>403893.0</v>
      </c>
      <c r="S263" s="163">
        <v>9738087.0</v>
      </c>
      <c r="T263" s="163" t="s">
        <v>112</v>
      </c>
      <c r="U263" s="163" t="s">
        <v>112</v>
      </c>
      <c r="V263" s="163" t="s">
        <v>1196</v>
      </c>
      <c r="W263" s="163" t="s">
        <v>112</v>
      </c>
      <c r="X263" s="163">
        <v>1.0</v>
      </c>
      <c r="Y263" s="176" t="s">
        <v>1246</v>
      </c>
      <c r="Z263" s="8" t="s">
        <v>148</v>
      </c>
      <c r="AA263" s="23" t="s">
        <v>144</v>
      </c>
      <c r="AB263" s="8" t="s">
        <v>347</v>
      </c>
      <c r="AC263" s="70"/>
      <c r="AD263" s="70"/>
      <c r="AE263" s="24"/>
      <c r="AF263" s="70"/>
      <c r="AG263" s="70"/>
      <c r="AH263" s="70"/>
      <c r="AI263" s="70"/>
      <c r="AJ263" s="70"/>
      <c r="AK263" s="70"/>
      <c r="AL263" s="70"/>
      <c r="AM263" s="24"/>
      <c r="AN263" s="70"/>
      <c r="AO263" s="70"/>
      <c r="AP263" s="70"/>
      <c r="AQ263" s="70"/>
      <c r="AR263" s="70"/>
      <c r="AS263" s="70"/>
      <c r="AT263" s="70"/>
      <c r="AU263" s="70"/>
      <c r="AV263" s="70"/>
      <c r="AW263" s="70"/>
      <c r="AX263" s="70"/>
      <c r="AY263" s="70"/>
      <c r="AZ263" s="70"/>
      <c r="BA263" s="70"/>
      <c r="BB263" s="70"/>
      <c r="BC263" s="70"/>
      <c r="BD263" s="70"/>
      <c r="BE263" s="70"/>
      <c r="BF263" s="70"/>
      <c r="BG263" s="70"/>
      <c r="BH263" s="70"/>
      <c r="BI263" s="70"/>
      <c r="BJ263" s="70"/>
      <c r="BK263" s="70"/>
      <c r="BL263" s="70"/>
      <c r="BM263" s="70"/>
      <c r="BN263" s="70"/>
      <c r="BO263" s="70"/>
      <c r="BP263" s="70"/>
      <c r="BQ263" s="70"/>
      <c r="BR263" s="70"/>
      <c r="BS263" s="70"/>
      <c r="BT263" s="70"/>
      <c r="BU263" s="70"/>
      <c r="BV263" s="70"/>
      <c r="BW263" s="70"/>
      <c r="BX263" s="70"/>
      <c r="BY263" s="70"/>
    </row>
    <row r="264" ht="15.75" customHeight="1">
      <c r="A264" s="52">
        <v>974.0</v>
      </c>
      <c r="B264" s="134" t="s">
        <v>1247</v>
      </c>
      <c r="C264" s="134" t="s">
        <v>57</v>
      </c>
      <c r="D264" s="134" t="s">
        <v>225</v>
      </c>
      <c r="E264" s="134" t="s">
        <v>964</v>
      </c>
      <c r="F264" s="134" t="s">
        <v>1248</v>
      </c>
      <c r="G264" s="134" t="s">
        <v>1248</v>
      </c>
      <c r="H264" s="55">
        <v>2022.0</v>
      </c>
      <c r="I264" s="58" t="s">
        <v>97</v>
      </c>
      <c r="J264" s="134" t="s">
        <v>163</v>
      </c>
      <c r="K264" s="134" t="s">
        <v>164</v>
      </c>
      <c r="L264" s="208" t="s">
        <v>100</v>
      </c>
      <c r="M264" s="134" t="s">
        <v>485</v>
      </c>
      <c r="N264" s="134" t="s">
        <v>1249</v>
      </c>
      <c r="O264" s="58" t="s">
        <v>1250</v>
      </c>
      <c r="P264" s="134" t="s">
        <v>106</v>
      </c>
      <c r="Q264" s="134"/>
      <c r="R264" s="209">
        <v>403896.0</v>
      </c>
      <c r="S264" s="209">
        <v>9743966.0</v>
      </c>
      <c r="T264" s="137"/>
      <c r="U264" s="137"/>
      <c r="V264" s="134" t="s">
        <v>1128</v>
      </c>
      <c r="W264" s="134"/>
      <c r="X264" s="134"/>
      <c r="Y264" s="134"/>
      <c r="Z264" s="58"/>
      <c r="AA264" s="58"/>
      <c r="AB264" s="58"/>
      <c r="AC264" s="70"/>
      <c r="AD264" s="70"/>
      <c r="AE264" s="24"/>
      <c r="AF264" s="70"/>
      <c r="AG264" s="70"/>
      <c r="AH264" s="70"/>
      <c r="AI264" s="70"/>
      <c r="AJ264" s="70"/>
      <c r="AK264" s="70"/>
      <c r="AL264" s="70"/>
      <c r="AM264" s="24"/>
      <c r="AN264" s="70"/>
      <c r="AO264" s="70"/>
      <c r="AP264" s="70"/>
      <c r="AQ264" s="70"/>
      <c r="AR264" s="70"/>
      <c r="AS264" s="70"/>
      <c r="AT264" s="70"/>
      <c r="AU264" s="70"/>
      <c r="AV264" s="70"/>
      <c r="AW264" s="70"/>
      <c r="AX264" s="70"/>
      <c r="AY264" s="70"/>
      <c r="AZ264" s="70"/>
      <c r="BA264" s="70"/>
      <c r="BB264" s="70"/>
      <c r="BC264" s="70"/>
      <c r="BD264" s="70"/>
      <c r="BE264" s="70"/>
      <c r="BF264" s="70"/>
      <c r="BG264" s="70"/>
      <c r="BH264" s="70"/>
      <c r="BI264" s="70"/>
      <c r="BJ264" s="70"/>
      <c r="BK264" s="70"/>
      <c r="BL264" s="70"/>
      <c r="BM264" s="70"/>
      <c r="BN264" s="70"/>
      <c r="BO264" s="70"/>
      <c r="BP264" s="70"/>
      <c r="BQ264" s="70"/>
      <c r="BR264" s="70"/>
      <c r="BS264" s="70"/>
      <c r="BT264" s="70"/>
      <c r="BU264" s="70"/>
      <c r="BV264" s="70"/>
      <c r="BW264" s="70"/>
      <c r="BX264" s="70"/>
      <c r="BY264" s="70"/>
    </row>
    <row r="265" ht="15.75" customHeight="1">
      <c r="A265" s="8">
        <v>64.0</v>
      </c>
      <c r="B265" s="146" t="s">
        <v>1251</v>
      </c>
      <c r="C265" s="128" t="s">
        <v>57</v>
      </c>
      <c r="D265" s="128" t="s">
        <v>146</v>
      </c>
      <c r="E265" s="128" t="s">
        <v>1252</v>
      </c>
      <c r="F265" s="182">
        <v>43556.0</v>
      </c>
      <c r="G265" s="146" t="s">
        <v>112</v>
      </c>
      <c r="H265" s="28" t="s">
        <v>112</v>
      </c>
      <c r="I265" s="8" t="s">
        <v>97</v>
      </c>
      <c r="J265" s="128" t="s">
        <v>112</v>
      </c>
      <c r="K265" s="128" t="s">
        <v>99</v>
      </c>
      <c r="L265" s="146" t="s">
        <v>100</v>
      </c>
      <c r="M265" s="141" t="s">
        <v>150</v>
      </c>
      <c r="N265" s="128" t="s">
        <v>1135</v>
      </c>
      <c r="O265" s="8" t="s">
        <v>152</v>
      </c>
      <c r="P265" s="128" t="s">
        <v>106</v>
      </c>
      <c r="Q265" s="128">
        <v>155.0</v>
      </c>
      <c r="R265" s="128">
        <v>403906.0</v>
      </c>
      <c r="S265" s="128">
        <v>9737966.0</v>
      </c>
      <c r="T265" s="128"/>
      <c r="U265" s="128"/>
      <c r="V265" s="128" t="s">
        <v>153</v>
      </c>
      <c r="W265" s="128" t="s">
        <v>154</v>
      </c>
      <c r="X265" s="128" t="s">
        <v>112</v>
      </c>
      <c r="Y265" s="128" t="s">
        <v>112</v>
      </c>
      <c r="Z265" s="23" t="s">
        <v>42</v>
      </c>
      <c r="AA265" s="23" t="s">
        <v>115</v>
      </c>
      <c r="AB265" s="30" t="s">
        <v>155</v>
      </c>
      <c r="AC265" s="70"/>
      <c r="AD265" s="70"/>
      <c r="AE265" s="24"/>
      <c r="AF265" s="70"/>
      <c r="AG265" s="70"/>
      <c r="AH265" s="70"/>
      <c r="AI265" s="70"/>
      <c r="AJ265" s="70"/>
      <c r="AK265" s="70"/>
      <c r="AL265" s="70"/>
      <c r="AM265" s="24"/>
      <c r="AN265" s="70"/>
      <c r="AO265" s="70"/>
      <c r="AP265" s="70"/>
      <c r="AQ265" s="70"/>
      <c r="AR265" s="70"/>
      <c r="AS265" s="70"/>
      <c r="AT265" s="70"/>
      <c r="AU265" s="70"/>
      <c r="AV265" s="70"/>
      <c r="AW265" s="70"/>
      <c r="AX265" s="70"/>
      <c r="AY265" s="70"/>
      <c r="AZ265" s="70"/>
      <c r="BA265" s="70"/>
      <c r="BB265" s="70"/>
      <c r="BC265" s="70"/>
      <c r="BD265" s="70"/>
      <c r="BE265" s="70"/>
      <c r="BF265" s="70"/>
      <c r="BG265" s="70"/>
      <c r="BH265" s="70"/>
      <c r="BI265" s="70"/>
      <c r="BJ265" s="70"/>
      <c r="BK265" s="70"/>
      <c r="BL265" s="70"/>
      <c r="BM265" s="70"/>
      <c r="BN265" s="70"/>
      <c r="BO265" s="70"/>
      <c r="BP265" s="70"/>
      <c r="BQ265" s="70"/>
      <c r="BR265" s="70"/>
      <c r="BS265" s="70"/>
      <c r="BT265" s="70"/>
      <c r="BU265" s="70"/>
      <c r="BV265" s="70"/>
      <c r="BW265" s="70"/>
      <c r="BX265" s="70"/>
      <c r="BY265" s="70"/>
    </row>
    <row r="266" ht="15.75" customHeight="1">
      <c r="A266" s="52">
        <v>980.0</v>
      </c>
      <c r="B266" s="134" t="s">
        <v>1253</v>
      </c>
      <c r="C266" s="134" t="s">
        <v>57</v>
      </c>
      <c r="D266" s="134" t="s">
        <v>694</v>
      </c>
      <c r="E266" s="134" t="s">
        <v>964</v>
      </c>
      <c r="F266" s="134" t="s">
        <v>1254</v>
      </c>
      <c r="G266" s="134" t="s">
        <v>1255</v>
      </c>
      <c r="H266" s="55">
        <v>2022.0</v>
      </c>
      <c r="I266" s="53" t="s">
        <v>97</v>
      </c>
      <c r="J266" s="134" t="s">
        <v>230</v>
      </c>
      <c r="K266" s="134" t="s">
        <v>164</v>
      </c>
      <c r="L266" s="134" t="s">
        <v>100</v>
      </c>
      <c r="M266" s="134" t="s">
        <v>485</v>
      </c>
      <c r="N266" s="134" t="s">
        <v>1256</v>
      </c>
      <c r="O266" s="58" t="s">
        <v>1257</v>
      </c>
      <c r="P266" s="134" t="s">
        <v>699</v>
      </c>
      <c r="Q266" s="134"/>
      <c r="R266" s="134">
        <v>403942.0</v>
      </c>
      <c r="S266" s="134">
        <v>9.7377178E7</v>
      </c>
      <c r="T266" s="137"/>
      <c r="U266" s="137"/>
      <c r="V266" s="134" t="s">
        <v>1128</v>
      </c>
      <c r="W266" s="134" t="s">
        <v>1258</v>
      </c>
      <c r="X266" s="134"/>
      <c r="Y266" s="134"/>
      <c r="Z266" s="58"/>
      <c r="AA266" s="58"/>
      <c r="AB266" s="58"/>
      <c r="AC266" s="70"/>
      <c r="AD266" s="70"/>
      <c r="AE266" s="24"/>
      <c r="AF266" s="70"/>
      <c r="AG266" s="70"/>
      <c r="AH266" s="70"/>
      <c r="AI266" s="70"/>
      <c r="AJ266" s="70"/>
      <c r="AK266" s="70"/>
      <c r="AL266" s="70"/>
      <c r="AM266" s="24"/>
      <c r="AN266" s="70"/>
      <c r="AO266" s="70"/>
      <c r="AP266" s="70"/>
      <c r="AQ266" s="70"/>
      <c r="AR266" s="70"/>
      <c r="AS266" s="70"/>
      <c r="AT266" s="70"/>
      <c r="AU266" s="70"/>
      <c r="AV266" s="70"/>
      <c r="AW266" s="70"/>
      <c r="AX266" s="70"/>
      <c r="AY266" s="70"/>
      <c r="AZ266" s="70"/>
      <c r="BA266" s="70"/>
      <c r="BB266" s="70"/>
      <c r="BC266" s="70"/>
      <c r="BD266" s="70"/>
      <c r="BE266" s="70"/>
      <c r="BF266" s="70"/>
      <c r="BG266" s="70"/>
      <c r="BH266" s="70"/>
      <c r="BI266" s="70"/>
      <c r="BJ266" s="70"/>
      <c r="BK266" s="70"/>
      <c r="BL266" s="70"/>
      <c r="BM266" s="70"/>
      <c r="BN266" s="70"/>
      <c r="BO266" s="70"/>
      <c r="BP266" s="70"/>
      <c r="BQ266" s="70"/>
      <c r="BR266" s="70"/>
      <c r="BS266" s="70"/>
      <c r="BT266" s="70"/>
      <c r="BU266" s="70"/>
      <c r="BV266" s="70"/>
      <c r="BW266" s="70"/>
      <c r="BX266" s="70"/>
      <c r="BY266" s="70"/>
    </row>
    <row r="267" ht="15.75" customHeight="1">
      <c r="A267" s="8">
        <v>79.0</v>
      </c>
      <c r="B267" s="146" t="s">
        <v>1259</v>
      </c>
      <c r="C267" s="128" t="s">
        <v>57</v>
      </c>
      <c r="D267" s="128" t="s">
        <v>146</v>
      </c>
      <c r="E267" s="128" t="s">
        <v>1260</v>
      </c>
      <c r="F267" s="182">
        <v>43556.0</v>
      </c>
      <c r="G267" s="146" t="s">
        <v>112</v>
      </c>
      <c r="H267" s="28" t="s">
        <v>112</v>
      </c>
      <c r="I267" s="8" t="s">
        <v>63</v>
      </c>
      <c r="J267" s="128" t="s">
        <v>112</v>
      </c>
      <c r="K267" s="128" t="s">
        <v>99</v>
      </c>
      <c r="L267" s="146" t="s">
        <v>100</v>
      </c>
      <c r="M267" s="141" t="s">
        <v>150</v>
      </c>
      <c r="N267" s="128" t="s">
        <v>1261</v>
      </c>
      <c r="O267" s="8" t="s">
        <v>152</v>
      </c>
      <c r="P267" s="128" t="s">
        <v>106</v>
      </c>
      <c r="Q267" s="128">
        <v>179.0</v>
      </c>
      <c r="R267" s="128">
        <v>403971.0</v>
      </c>
      <c r="S267" s="128">
        <v>9744798.0</v>
      </c>
      <c r="T267" s="128"/>
      <c r="U267" s="128"/>
      <c r="V267" s="128" t="s">
        <v>153</v>
      </c>
      <c r="W267" s="128" t="s">
        <v>154</v>
      </c>
      <c r="X267" s="128" t="s">
        <v>112</v>
      </c>
      <c r="Y267" s="128" t="s">
        <v>112</v>
      </c>
      <c r="Z267" s="23" t="s">
        <v>42</v>
      </c>
      <c r="AA267" s="23" t="s">
        <v>115</v>
      </c>
      <c r="AB267" s="30" t="s">
        <v>155</v>
      </c>
      <c r="AC267" s="70"/>
      <c r="AD267" s="70"/>
      <c r="AE267" s="24"/>
      <c r="AF267" s="70"/>
      <c r="AG267" s="70"/>
      <c r="AH267" s="70"/>
      <c r="AI267" s="70"/>
      <c r="AJ267" s="70"/>
      <c r="AK267" s="70"/>
      <c r="AL267" s="70"/>
      <c r="AM267" s="24"/>
      <c r="AN267" s="70"/>
      <c r="AO267" s="70"/>
      <c r="AP267" s="70"/>
      <c r="AQ267" s="70"/>
      <c r="AR267" s="70"/>
      <c r="AS267" s="70"/>
      <c r="AT267" s="70"/>
      <c r="AU267" s="70"/>
      <c r="AV267" s="70"/>
      <c r="AW267" s="70"/>
      <c r="AX267" s="70"/>
      <c r="AY267" s="70"/>
      <c r="AZ267" s="70"/>
      <c r="BA267" s="70"/>
      <c r="BB267" s="70"/>
      <c r="BC267" s="70"/>
      <c r="BD267" s="70"/>
      <c r="BE267" s="70"/>
      <c r="BF267" s="70"/>
      <c r="BG267" s="70"/>
      <c r="BH267" s="70"/>
      <c r="BI267" s="70"/>
      <c r="BJ267" s="70"/>
      <c r="BK267" s="70"/>
      <c r="BL267" s="70"/>
      <c r="BM267" s="70"/>
      <c r="BN267" s="70"/>
      <c r="BO267" s="70"/>
      <c r="BP267" s="70"/>
      <c r="BQ267" s="70"/>
      <c r="BR267" s="70"/>
      <c r="BS267" s="70"/>
      <c r="BT267" s="70"/>
      <c r="BU267" s="70"/>
      <c r="BV267" s="70"/>
      <c r="BW267" s="70"/>
      <c r="BX267" s="70"/>
      <c r="BY267" s="70"/>
    </row>
    <row r="268" ht="15.75" customHeight="1">
      <c r="A268" s="8">
        <v>78.0</v>
      </c>
      <c r="B268" s="146" t="s">
        <v>1262</v>
      </c>
      <c r="C268" s="128" t="s">
        <v>57</v>
      </c>
      <c r="D268" s="128" t="s">
        <v>146</v>
      </c>
      <c r="E268" s="128" t="s">
        <v>1263</v>
      </c>
      <c r="F268" s="182">
        <v>43556.0</v>
      </c>
      <c r="G268" s="146" t="s">
        <v>112</v>
      </c>
      <c r="H268" s="28" t="s">
        <v>112</v>
      </c>
      <c r="I268" s="8" t="s">
        <v>63</v>
      </c>
      <c r="J268" s="128" t="s">
        <v>112</v>
      </c>
      <c r="K268" s="128" t="s">
        <v>99</v>
      </c>
      <c r="L268" s="146" t="s">
        <v>100</v>
      </c>
      <c r="M268" s="141" t="s">
        <v>150</v>
      </c>
      <c r="N268" s="128" t="s">
        <v>1264</v>
      </c>
      <c r="O268" s="8" t="s">
        <v>152</v>
      </c>
      <c r="P268" s="128" t="s">
        <v>106</v>
      </c>
      <c r="Q268" s="128">
        <v>174.0</v>
      </c>
      <c r="R268" s="128">
        <v>404015.0</v>
      </c>
      <c r="S268" s="128">
        <v>9744671.0</v>
      </c>
      <c r="T268" s="128"/>
      <c r="U268" s="128"/>
      <c r="V268" s="128" t="s">
        <v>153</v>
      </c>
      <c r="W268" s="128" t="s">
        <v>154</v>
      </c>
      <c r="X268" s="128" t="s">
        <v>112</v>
      </c>
      <c r="Y268" s="128" t="s">
        <v>112</v>
      </c>
      <c r="Z268" s="23" t="s">
        <v>42</v>
      </c>
      <c r="AA268" s="23" t="s">
        <v>115</v>
      </c>
      <c r="AB268" s="30" t="s">
        <v>155</v>
      </c>
      <c r="AC268" s="70"/>
      <c r="AD268" s="70"/>
      <c r="AE268" s="24"/>
      <c r="AF268" s="70"/>
      <c r="AG268" s="70"/>
      <c r="AH268" s="70"/>
      <c r="AI268" s="70"/>
      <c r="AJ268" s="70"/>
      <c r="AK268" s="70"/>
      <c r="AL268" s="70"/>
      <c r="AM268" s="24"/>
      <c r="AN268" s="70"/>
      <c r="AO268" s="70"/>
      <c r="AP268" s="70"/>
      <c r="AQ268" s="70"/>
      <c r="AR268" s="70"/>
      <c r="AS268" s="70"/>
      <c r="AT268" s="70"/>
      <c r="AU268" s="70"/>
      <c r="AV268" s="70"/>
      <c r="AW268" s="70"/>
      <c r="AX268" s="70"/>
      <c r="AY268" s="70"/>
      <c r="AZ268" s="70"/>
      <c r="BA268" s="70"/>
      <c r="BB268" s="70"/>
      <c r="BC268" s="70"/>
      <c r="BD268" s="70"/>
      <c r="BE268" s="70"/>
      <c r="BF268" s="70"/>
      <c r="BG268" s="70"/>
      <c r="BH268" s="70"/>
      <c r="BI268" s="70"/>
      <c r="BJ268" s="70"/>
      <c r="BK268" s="70"/>
      <c r="BL268" s="70"/>
      <c r="BM268" s="70"/>
      <c r="BN268" s="70"/>
      <c r="BO268" s="70"/>
      <c r="BP268" s="70"/>
      <c r="BQ268" s="70"/>
      <c r="BR268" s="70"/>
      <c r="BS268" s="70"/>
      <c r="BT268" s="70"/>
      <c r="BU268" s="70"/>
      <c r="BV268" s="70"/>
      <c r="BW268" s="70"/>
      <c r="BX268" s="70"/>
      <c r="BY268" s="70"/>
    </row>
    <row r="269" ht="15.75" customHeight="1">
      <c r="A269" s="52">
        <v>983.0</v>
      </c>
      <c r="B269" s="134" t="s">
        <v>1265</v>
      </c>
      <c r="C269" s="134" t="s">
        <v>57</v>
      </c>
      <c r="D269" s="134" t="s">
        <v>694</v>
      </c>
      <c r="E269" s="134" t="s">
        <v>964</v>
      </c>
      <c r="F269" s="134" t="s">
        <v>1266</v>
      </c>
      <c r="G269" s="134" t="s">
        <v>1266</v>
      </c>
      <c r="H269" s="55">
        <v>2022.0</v>
      </c>
      <c r="I269" s="53" t="s">
        <v>97</v>
      </c>
      <c r="J269" s="134" t="s">
        <v>230</v>
      </c>
      <c r="K269" s="134" t="s">
        <v>164</v>
      </c>
      <c r="L269" s="134" t="s">
        <v>100</v>
      </c>
      <c r="M269" s="134" t="s">
        <v>485</v>
      </c>
      <c r="N269" s="134" t="s">
        <v>1267</v>
      </c>
      <c r="O269" s="58" t="s">
        <v>1268</v>
      </c>
      <c r="P269" s="134" t="s">
        <v>699</v>
      </c>
      <c r="Q269" s="134"/>
      <c r="R269" s="134">
        <v>404029.0</v>
      </c>
      <c r="S269" s="134">
        <v>9735945.0</v>
      </c>
      <c r="T269" s="137"/>
      <c r="U269" s="137"/>
      <c r="V269" s="134" t="s">
        <v>1128</v>
      </c>
      <c r="W269" s="134"/>
      <c r="X269" s="134"/>
      <c r="Y269" s="134"/>
      <c r="Z269" s="58"/>
      <c r="AA269" s="58"/>
      <c r="AB269" s="58"/>
      <c r="AC269" s="70"/>
      <c r="AD269" s="70"/>
      <c r="AE269" s="24"/>
      <c r="AF269" s="70"/>
      <c r="AG269" s="70"/>
      <c r="AH269" s="70"/>
      <c r="AI269" s="70"/>
      <c r="AJ269" s="70"/>
      <c r="AK269" s="70"/>
      <c r="AL269" s="70"/>
      <c r="AM269" s="24"/>
      <c r="AN269" s="70"/>
      <c r="AO269" s="70"/>
      <c r="AP269" s="70"/>
      <c r="AQ269" s="70"/>
      <c r="AR269" s="70"/>
      <c r="AS269" s="70"/>
      <c r="AT269" s="70"/>
      <c r="AU269" s="70"/>
      <c r="AV269" s="70"/>
      <c r="AW269" s="70"/>
      <c r="AX269" s="70"/>
      <c r="AY269" s="70"/>
      <c r="AZ269" s="70"/>
      <c r="BA269" s="70"/>
      <c r="BB269" s="70"/>
      <c r="BC269" s="70"/>
      <c r="BD269" s="70"/>
      <c r="BE269" s="70"/>
      <c r="BF269" s="70"/>
      <c r="BG269" s="70"/>
      <c r="BH269" s="70"/>
      <c r="BI269" s="70"/>
      <c r="BJ269" s="70"/>
      <c r="BK269" s="70"/>
      <c r="BL269" s="70"/>
      <c r="BM269" s="70"/>
      <c r="BN269" s="70"/>
      <c r="BO269" s="70"/>
      <c r="BP269" s="70"/>
      <c r="BQ269" s="70"/>
      <c r="BR269" s="70"/>
      <c r="BS269" s="70"/>
      <c r="BT269" s="70"/>
      <c r="BU269" s="70"/>
      <c r="BV269" s="70"/>
      <c r="BW269" s="70"/>
      <c r="BX269" s="70"/>
      <c r="BY269" s="70"/>
    </row>
    <row r="270" ht="15.75" customHeight="1">
      <c r="A270" s="8">
        <v>61.0</v>
      </c>
      <c r="B270" s="146" t="s">
        <v>1269</v>
      </c>
      <c r="C270" s="128" t="s">
        <v>57</v>
      </c>
      <c r="D270" s="128" t="s">
        <v>146</v>
      </c>
      <c r="E270" s="128" t="s">
        <v>1270</v>
      </c>
      <c r="F270" s="182">
        <v>43556.0</v>
      </c>
      <c r="G270" s="146" t="s">
        <v>112</v>
      </c>
      <c r="H270" s="28" t="s">
        <v>112</v>
      </c>
      <c r="I270" s="8" t="s">
        <v>97</v>
      </c>
      <c r="J270" s="128" t="s">
        <v>112</v>
      </c>
      <c r="K270" s="128" t="s">
        <v>99</v>
      </c>
      <c r="L270" s="146" t="s">
        <v>100</v>
      </c>
      <c r="M270" s="141" t="s">
        <v>150</v>
      </c>
      <c r="N270" s="128" t="s">
        <v>1190</v>
      </c>
      <c r="O270" s="8" t="s">
        <v>152</v>
      </c>
      <c r="P270" s="128" t="s">
        <v>106</v>
      </c>
      <c r="Q270" s="128">
        <v>156.0</v>
      </c>
      <c r="R270" s="128">
        <v>404072.0</v>
      </c>
      <c r="S270" s="128">
        <v>9743443.0</v>
      </c>
      <c r="T270" s="128"/>
      <c r="U270" s="128"/>
      <c r="V270" s="128" t="s">
        <v>153</v>
      </c>
      <c r="W270" s="128" t="s">
        <v>154</v>
      </c>
      <c r="X270" s="128" t="s">
        <v>112</v>
      </c>
      <c r="Y270" s="128" t="s">
        <v>112</v>
      </c>
      <c r="Z270" s="23" t="s">
        <v>42</v>
      </c>
      <c r="AA270" s="23" t="s">
        <v>115</v>
      </c>
      <c r="AB270" s="30" t="s">
        <v>155</v>
      </c>
      <c r="AC270" s="70"/>
      <c r="AD270" s="70"/>
      <c r="AE270" s="24"/>
      <c r="AF270" s="70"/>
      <c r="AG270" s="70"/>
      <c r="AH270" s="70"/>
      <c r="AI270" s="70"/>
      <c r="AJ270" s="70"/>
      <c r="AK270" s="70"/>
      <c r="AL270" s="70"/>
      <c r="AM270" s="24"/>
      <c r="AN270" s="70"/>
      <c r="AO270" s="70"/>
      <c r="AP270" s="70"/>
      <c r="AQ270" s="70"/>
      <c r="AR270" s="70"/>
      <c r="AS270" s="70"/>
      <c r="AT270" s="70"/>
      <c r="AU270" s="70"/>
      <c r="AV270" s="70"/>
      <c r="AW270" s="70"/>
      <c r="AX270" s="70"/>
      <c r="AY270" s="70"/>
      <c r="AZ270" s="70"/>
      <c r="BA270" s="70"/>
      <c r="BB270" s="70"/>
      <c r="BC270" s="70"/>
      <c r="BD270" s="70"/>
      <c r="BE270" s="70"/>
      <c r="BF270" s="70"/>
      <c r="BG270" s="70"/>
      <c r="BH270" s="70"/>
      <c r="BI270" s="70"/>
      <c r="BJ270" s="70"/>
      <c r="BK270" s="70"/>
      <c r="BL270" s="70"/>
      <c r="BM270" s="70"/>
      <c r="BN270" s="70"/>
      <c r="BO270" s="70"/>
      <c r="BP270" s="70"/>
      <c r="BQ270" s="70"/>
      <c r="BR270" s="70"/>
      <c r="BS270" s="70"/>
      <c r="BT270" s="70"/>
      <c r="BU270" s="70"/>
      <c r="BV270" s="70"/>
      <c r="BW270" s="70"/>
      <c r="BX270" s="70"/>
      <c r="BY270" s="70"/>
    </row>
    <row r="271" ht="15.75" customHeight="1">
      <c r="A271" s="8">
        <v>868.0</v>
      </c>
      <c r="B271" s="158" t="s">
        <v>1271</v>
      </c>
      <c r="C271" s="158" t="s">
        <v>57</v>
      </c>
      <c r="D271" s="158" t="s">
        <v>112</v>
      </c>
      <c r="E271" s="158" t="s">
        <v>112</v>
      </c>
      <c r="F271" s="205">
        <v>43005.0</v>
      </c>
      <c r="G271" s="161">
        <v>42979.0</v>
      </c>
      <c r="H271" s="20" t="str">
        <f>TEXT(G271, "yyyy")</f>
        <v>2017</v>
      </c>
      <c r="I271" s="8" t="s">
        <v>176</v>
      </c>
      <c r="J271" s="158" t="s">
        <v>112</v>
      </c>
      <c r="K271" s="158" t="s">
        <v>112</v>
      </c>
      <c r="L271" s="158" t="s">
        <v>100</v>
      </c>
      <c r="M271" s="190" t="s">
        <v>513</v>
      </c>
      <c r="N271" s="158" t="s">
        <v>1272</v>
      </c>
      <c r="O271" s="8" t="s">
        <v>1273</v>
      </c>
      <c r="P271" s="158" t="s">
        <v>106</v>
      </c>
      <c r="Q271" s="158" t="s">
        <v>112</v>
      </c>
      <c r="R271" s="158">
        <v>404125.0</v>
      </c>
      <c r="S271" s="158">
        <v>9742882.0</v>
      </c>
      <c r="T271" s="158" t="s">
        <v>1274</v>
      </c>
      <c r="U271" s="158" t="s">
        <v>1275</v>
      </c>
      <c r="V271" s="158" t="s">
        <v>1276</v>
      </c>
      <c r="W271" s="158" t="s">
        <v>112</v>
      </c>
      <c r="X271" s="158" t="s">
        <v>112</v>
      </c>
      <c r="Y271" s="158" t="s">
        <v>112</v>
      </c>
      <c r="Z271" s="8" t="s">
        <v>148</v>
      </c>
      <c r="AA271" s="23" t="s">
        <v>144</v>
      </c>
      <c r="AB271" s="8" t="s">
        <v>363</v>
      </c>
      <c r="AC271" s="70"/>
      <c r="AD271" s="70"/>
      <c r="AE271" s="24"/>
      <c r="AF271" s="70"/>
      <c r="AG271" s="70"/>
      <c r="AH271" s="70"/>
      <c r="AI271" s="70"/>
      <c r="AJ271" s="70"/>
      <c r="AK271" s="70"/>
      <c r="AL271" s="70"/>
      <c r="AM271" s="24"/>
      <c r="AN271" s="70"/>
      <c r="AO271" s="70"/>
      <c r="AP271" s="70"/>
      <c r="AQ271" s="70"/>
      <c r="AR271" s="70"/>
      <c r="AS271" s="70"/>
      <c r="AT271" s="70"/>
      <c r="AU271" s="70"/>
      <c r="AV271" s="70"/>
      <c r="AW271" s="70"/>
      <c r="AX271" s="70"/>
      <c r="AY271" s="70"/>
      <c r="AZ271" s="70"/>
      <c r="BA271" s="70"/>
      <c r="BB271" s="70"/>
      <c r="BC271" s="70"/>
      <c r="BD271" s="70"/>
      <c r="BE271" s="70"/>
      <c r="BF271" s="70"/>
      <c r="BG271" s="70"/>
      <c r="BH271" s="70"/>
      <c r="BI271" s="70"/>
      <c r="BJ271" s="70"/>
      <c r="BK271" s="70"/>
      <c r="BL271" s="70"/>
      <c r="BM271" s="70"/>
      <c r="BN271" s="70"/>
      <c r="BO271" s="70"/>
      <c r="BP271" s="70"/>
      <c r="BQ271" s="70"/>
      <c r="BR271" s="70"/>
      <c r="BS271" s="70"/>
      <c r="BT271" s="70"/>
      <c r="BU271" s="70"/>
      <c r="BV271" s="70"/>
      <c r="BW271" s="70"/>
      <c r="BX271" s="70"/>
      <c r="BY271" s="70"/>
    </row>
    <row r="272" ht="15.75" customHeight="1">
      <c r="A272" s="8">
        <v>76.0</v>
      </c>
      <c r="B272" s="146" t="s">
        <v>1277</v>
      </c>
      <c r="C272" s="128" t="s">
        <v>57</v>
      </c>
      <c r="D272" s="128" t="s">
        <v>146</v>
      </c>
      <c r="E272" s="128" t="s">
        <v>1278</v>
      </c>
      <c r="F272" s="182">
        <v>43556.0</v>
      </c>
      <c r="G272" s="146" t="s">
        <v>112</v>
      </c>
      <c r="H272" s="28" t="s">
        <v>112</v>
      </c>
      <c r="I272" s="8" t="s">
        <v>63</v>
      </c>
      <c r="J272" s="128" t="s">
        <v>112</v>
      </c>
      <c r="K272" s="128" t="s">
        <v>99</v>
      </c>
      <c r="L272" s="146" t="s">
        <v>100</v>
      </c>
      <c r="M272" s="141" t="s">
        <v>150</v>
      </c>
      <c r="N272" s="128" t="s">
        <v>1279</v>
      </c>
      <c r="O272" s="8" t="s">
        <v>152</v>
      </c>
      <c r="P272" s="128" t="s">
        <v>106</v>
      </c>
      <c r="Q272" s="128">
        <v>172.0</v>
      </c>
      <c r="R272" s="128">
        <v>404218.0</v>
      </c>
      <c r="S272" s="128">
        <v>9744340.0</v>
      </c>
      <c r="T272" s="128"/>
      <c r="U272" s="128"/>
      <c r="V272" s="128" t="s">
        <v>153</v>
      </c>
      <c r="W272" s="128" t="s">
        <v>154</v>
      </c>
      <c r="X272" s="128" t="s">
        <v>112</v>
      </c>
      <c r="Y272" s="128" t="s">
        <v>112</v>
      </c>
      <c r="Z272" s="23" t="s">
        <v>42</v>
      </c>
      <c r="AA272" s="23" t="s">
        <v>115</v>
      </c>
      <c r="AB272" s="30" t="s">
        <v>155</v>
      </c>
      <c r="AC272" s="70"/>
      <c r="AD272" s="70"/>
      <c r="AE272" s="24"/>
      <c r="AF272" s="70"/>
      <c r="AG272" s="70"/>
      <c r="AH272" s="70"/>
      <c r="AI272" s="70"/>
      <c r="AJ272" s="70"/>
      <c r="AK272" s="70"/>
      <c r="AL272" s="70"/>
      <c r="AM272" s="24"/>
      <c r="AN272" s="70"/>
      <c r="AO272" s="70"/>
      <c r="AP272" s="70"/>
      <c r="AQ272" s="70"/>
      <c r="AR272" s="70"/>
      <c r="AS272" s="70"/>
      <c r="AT272" s="70"/>
      <c r="AU272" s="70"/>
      <c r="AV272" s="70"/>
      <c r="AW272" s="70"/>
      <c r="AX272" s="70"/>
      <c r="AY272" s="70"/>
      <c r="AZ272" s="70"/>
      <c r="BA272" s="70"/>
      <c r="BB272" s="70"/>
      <c r="BC272" s="70"/>
      <c r="BD272" s="70"/>
      <c r="BE272" s="70"/>
      <c r="BF272" s="70"/>
      <c r="BG272" s="70"/>
      <c r="BH272" s="70"/>
      <c r="BI272" s="70"/>
      <c r="BJ272" s="70"/>
      <c r="BK272" s="70"/>
      <c r="BL272" s="70"/>
      <c r="BM272" s="70"/>
      <c r="BN272" s="70"/>
      <c r="BO272" s="70"/>
      <c r="BP272" s="70"/>
      <c r="BQ272" s="70"/>
      <c r="BR272" s="70"/>
      <c r="BS272" s="70"/>
      <c r="BT272" s="70"/>
      <c r="BU272" s="70"/>
      <c r="BV272" s="70"/>
      <c r="BW272" s="70"/>
      <c r="BX272" s="70"/>
      <c r="BY272" s="70"/>
    </row>
    <row r="273" ht="15.75" customHeight="1">
      <c r="A273" s="8">
        <v>77.0</v>
      </c>
      <c r="B273" s="146" t="s">
        <v>1280</v>
      </c>
      <c r="C273" s="128" t="s">
        <v>57</v>
      </c>
      <c r="D273" s="128" t="s">
        <v>146</v>
      </c>
      <c r="E273" s="128" t="s">
        <v>1281</v>
      </c>
      <c r="F273" s="182">
        <v>43556.0</v>
      </c>
      <c r="G273" s="146" t="s">
        <v>112</v>
      </c>
      <c r="H273" s="28" t="s">
        <v>112</v>
      </c>
      <c r="I273" s="8" t="s">
        <v>63</v>
      </c>
      <c r="J273" s="128" t="s">
        <v>112</v>
      </c>
      <c r="K273" s="128" t="s">
        <v>99</v>
      </c>
      <c r="L273" s="146" t="s">
        <v>100</v>
      </c>
      <c r="M273" s="141" t="s">
        <v>150</v>
      </c>
      <c r="N273" s="128" t="s">
        <v>1282</v>
      </c>
      <c r="O273" s="8" t="s">
        <v>152</v>
      </c>
      <c r="P273" s="128" t="s">
        <v>106</v>
      </c>
      <c r="Q273" s="128">
        <v>152.0</v>
      </c>
      <c r="R273" s="128">
        <v>404344.0</v>
      </c>
      <c r="S273" s="128">
        <v>9743141.0</v>
      </c>
      <c r="T273" s="128"/>
      <c r="U273" s="128"/>
      <c r="V273" s="128" t="s">
        <v>153</v>
      </c>
      <c r="W273" s="128" t="s">
        <v>154</v>
      </c>
      <c r="X273" s="128" t="s">
        <v>112</v>
      </c>
      <c r="Y273" s="128" t="s">
        <v>112</v>
      </c>
      <c r="Z273" s="23" t="s">
        <v>42</v>
      </c>
      <c r="AA273" s="23" t="s">
        <v>115</v>
      </c>
      <c r="AB273" s="30" t="s">
        <v>155</v>
      </c>
      <c r="AC273" s="70"/>
      <c r="AD273" s="70"/>
      <c r="AE273" s="24"/>
      <c r="AF273" s="70"/>
      <c r="AG273" s="70"/>
      <c r="AH273" s="70"/>
      <c r="AI273" s="70"/>
      <c r="AJ273" s="70"/>
      <c r="AK273" s="70"/>
      <c r="AL273" s="70"/>
      <c r="AM273" s="24"/>
      <c r="AN273" s="70"/>
      <c r="AO273" s="70"/>
      <c r="AP273" s="70"/>
      <c r="AQ273" s="70"/>
      <c r="AR273" s="70"/>
      <c r="AS273" s="70"/>
      <c r="AT273" s="70"/>
      <c r="AU273" s="70"/>
      <c r="AV273" s="70"/>
      <c r="AW273" s="70"/>
      <c r="AX273" s="70"/>
      <c r="AY273" s="70"/>
      <c r="AZ273" s="70"/>
      <c r="BA273" s="70"/>
      <c r="BB273" s="70"/>
      <c r="BC273" s="70"/>
      <c r="BD273" s="70"/>
      <c r="BE273" s="70"/>
      <c r="BF273" s="70"/>
      <c r="BG273" s="70"/>
      <c r="BH273" s="70"/>
      <c r="BI273" s="70"/>
      <c r="BJ273" s="70"/>
      <c r="BK273" s="70"/>
      <c r="BL273" s="70"/>
      <c r="BM273" s="70"/>
      <c r="BN273" s="70"/>
      <c r="BO273" s="70"/>
      <c r="BP273" s="70"/>
      <c r="BQ273" s="70"/>
      <c r="BR273" s="70"/>
      <c r="BS273" s="70"/>
      <c r="BT273" s="70"/>
      <c r="BU273" s="70"/>
      <c r="BV273" s="70"/>
      <c r="BW273" s="70"/>
      <c r="BX273" s="70"/>
      <c r="BY273" s="70"/>
    </row>
    <row r="274" ht="15.75" customHeight="1">
      <c r="A274" s="8">
        <v>59.0</v>
      </c>
      <c r="B274" s="146" t="s">
        <v>1283</v>
      </c>
      <c r="C274" s="128" t="s">
        <v>57</v>
      </c>
      <c r="D274" s="128" t="s">
        <v>146</v>
      </c>
      <c r="E274" s="128" t="s">
        <v>1284</v>
      </c>
      <c r="F274" s="182">
        <v>43556.0</v>
      </c>
      <c r="G274" s="146" t="s">
        <v>112</v>
      </c>
      <c r="H274" s="28" t="s">
        <v>112</v>
      </c>
      <c r="I274" s="8" t="s">
        <v>97</v>
      </c>
      <c r="J274" s="128" t="s">
        <v>112</v>
      </c>
      <c r="K274" s="128" t="s">
        <v>99</v>
      </c>
      <c r="L274" s="146" t="s">
        <v>100</v>
      </c>
      <c r="M274" s="141" t="s">
        <v>150</v>
      </c>
      <c r="N274" s="128" t="s">
        <v>1285</v>
      </c>
      <c r="O274" s="8" t="s">
        <v>152</v>
      </c>
      <c r="P274" s="128" t="s">
        <v>106</v>
      </c>
      <c r="Q274" s="128">
        <v>158.0</v>
      </c>
      <c r="R274" s="128">
        <v>404392.0</v>
      </c>
      <c r="S274" s="128">
        <v>9743328.0</v>
      </c>
      <c r="T274" s="128"/>
      <c r="U274" s="128"/>
      <c r="V274" s="128" t="s">
        <v>153</v>
      </c>
      <c r="W274" s="128" t="s">
        <v>154</v>
      </c>
      <c r="X274" s="128" t="s">
        <v>112</v>
      </c>
      <c r="Y274" s="128" t="s">
        <v>112</v>
      </c>
      <c r="Z274" s="23" t="s">
        <v>42</v>
      </c>
      <c r="AA274" s="23" t="s">
        <v>115</v>
      </c>
      <c r="AB274" s="30" t="s">
        <v>155</v>
      </c>
      <c r="AC274" s="70"/>
      <c r="AD274" s="70"/>
      <c r="AE274" s="24"/>
      <c r="AF274" s="70"/>
      <c r="AG274" s="70"/>
      <c r="AH274" s="70"/>
      <c r="AI274" s="70"/>
      <c r="AJ274" s="70"/>
      <c r="AK274" s="70"/>
      <c r="AL274" s="70"/>
      <c r="AM274" s="24"/>
      <c r="AN274" s="70"/>
      <c r="AO274" s="70"/>
      <c r="AP274" s="70"/>
      <c r="AQ274" s="70"/>
      <c r="AR274" s="70"/>
      <c r="AS274" s="70"/>
      <c r="AT274" s="70"/>
      <c r="AU274" s="70"/>
      <c r="AV274" s="70"/>
      <c r="AW274" s="70"/>
      <c r="AX274" s="70"/>
      <c r="AY274" s="70"/>
      <c r="AZ274" s="70"/>
      <c r="BA274" s="70"/>
      <c r="BB274" s="70"/>
      <c r="BC274" s="70"/>
      <c r="BD274" s="70"/>
      <c r="BE274" s="70"/>
      <c r="BF274" s="70"/>
      <c r="BG274" s="70"/>
      <c r="BH274" s="70"/>
      <c r="BI274" s="70"/>
      <c r="BJ274" s="70"/>
      <c r="BK274" s="70"/>
      <c r="BL274" s="70"/>
      <c r="BM274" s="70"/>
      <c r="BN274" s="70"/>
      <c r="BO274" s="70"/>
      <c r="BP274" s="70"/>
      <c r="BQ274" s="70"/>
      <c r="BR274" s="70"/>
      <c r="BS274" s="70"/>
      <c r="BT274" s="70"/>
      <c r="BU274" s="70"/>
      <c r="BV274" s="70"/>
      <c r="BW274" s="70"/>
      <c r="BX274" s="70"/>
      <c r="BY274" s="70"/>
    </row>
    <row r="275" ht="15.75" customHeight="1">
      <c r="A275" s="8">
        <v>165.0</v>
      </c>
      <c r="B275" s="210" t="s">
        <v>1286</v>
      </c>
      <c r="C275" s="167" t="s">
        <v>57</v>
      </c>
      <c r="D275" s="181" t="s">
        <v>112</v>
      </c>
      <c r="E275" s="163" t="s">
        <v>112</v>
      </c>
      <c r="F275" s="163">
        <v>2001.0</v>
      </c>
      <c r="G275" s="161">
        <v>37073.0</v>
      </c>
      <c r="H275" s="42" t="str">
        <f>TEXT(G275, "yyyy")</f>
        <v>2001</v>
      </c>
      <c r="I275" s="8" t="s">
        <v>176</v>
      </c>
      <c r="J275" s="163" t="s">
        <v>112</v>
      </c>
      <c r="K275" s="163" t="s">
        <v>112</v>
      </c>
      <c r="L275" s="163" t="s">
        <v>100</v>
      </c>
      <c r="M275" s="167" t="s">
        <v>177</v>
      </c>
      <c r="N275" s="174" t="s">
        <v>1287</v>
      </c>
      <c r="O275" s="45" t="s">
        <v>1288</v>
      </c>
      <c r="P275" s="163" t="s">
        <v>106</v>
      </c>
      <c r="Q275" s="181" t="s">
        <v>112</v>
      </c>
      <c r="R275" s="181">
        <v>404405.0</v>
      </c>
      <c r="S275" s="181">
        <v>9743675.0</v>
      </c>
      <c r="T275" s="167" t="s">
        <v>112</v>
      </c>
      <c r="U275" s="167" t="s">
        <v>112</v>
      </c>
      <c r="V275" s="167" t="s">
        <v>1289</v>
      </c>
      <c r="W275" s="163" t="s">
        <v>112</v>
      </c>
      <c r="X275" s="181">
        <v>0.0</v>
      </c>
      <c r="Y275" s="181">
        <v>0.0</v>
      </c>
      <c r="Z275" s="8" t="s">
        <v>36</v>
      </c>
      <c r="AA275" s="23" t="s">
        <v>144</v>
      </c>
      <c r="AB275" s="21" t="s">
        <v>291</v>
      </c>
      <c r="AC275" s="70"/>
      <c r="AD275" s="70"/>
      <c r="AE275" s="24"/>
      <c r="AF275" s="70"/>
      <c r="AG275" s="70"/>
      <c r="AH275" s="70"/>
      <c r="AI275" s="70"/>
      <c r="AJ275" s="70"/>
      <c r="AK275" s="70"/>
      <c r="AL275" s="70"/>
      <c r="AM275" s="24"/>
      <c r="AN275" s="70"/>
      <c r="AO275" s="70"/>
      <c r="AP275" s="70"/>
      <c r="AQ275" s="70"/>
      <c r="AR275" s="70"/>
      <c r="AS275" s="70"/>
      <c r="AT275" s="70"/>
      <c r="AU275" s="70"/>
      <c r="AV275" s="70"/>
      <c r="AW275" s="70"/>
      <c r="AX275" s="70"/>
      <c r="AY275" s="70"/>
      <c r="AZ275" s="70"/>
      <c r="BA275" s="70"/>
      <c r="BB275" s="70"/>
      <c r="BC275" s="70"/>
      <c r="BD275" s="70"/>
      <c r="BE275" s="70"/>
      <c r="BF275" s="70"/>
      <c r="BG275" s="70"/>
      <c r="BH275" s="70"/>
      <c r="BI275" s="70"/>
      <c r="BJ275" s="70"/>
      <c r="BK275" s="70"/>
      <c r="BL275" s="70"/>
      <c r="BM275" s="70"/>
      <c r="BN275" s="70"/>
      <c r="BO275" s="70"/>
      <c r="BP275" s="70"/>
      <c r="BQ275" s="70"/>
      <c r="BR275" s="70"/>
      <c r="BS275" s="70"/>
      <c r="BT275" s="70"/>
      <c r="BU275" s="70"/>
      <c r="BV275" s="70"/>
      <c r="BW275" s="70"/>
      <c r="BX275" s="70"/>
      <c r="BY275" s="70"/>
    </row>
    <row r="276" ht="15.75" customHeight="1">
      <c r="A276" s="52">
        <v>967.0</v>
      </c>
      <c r="B276" s="134" t="s">
        <v>1290</v>
      </c>
      <c r="C276" s="134" t="s">
        <v>57</v>
      </c>
      <c r="D276" s="134" t="s">
        <v>694</v>
      </c>
      <c r="E276" s="134" t="s">
        <v>964</v>
      </c>
      <c r="F276" s="187">
        <v>44595.0</v>
      </c>
      <c r="G276" s="187">
        <v>44622.0</v>
      </c>
      <c r="H276" s="55">
        <v>2022.0</v>
      </c>
      <c r="I276" s="58" t="s">
        <v>97</v>
      </c>
      <c r="J276" s="134" t="s">
        <v>163</v>
      </c>
      <c r="K276" s="134" t="s">
        <v>164</v>
      </c>
      <c r="L276" s="208" t="s">
        <v>100</v>
      </c>
      <c r="M276" s="134" t="s">
        <v>485</v>
      </c>
      <c r="N276" s="134" t="s">
        <v>1291</v>
      </c>
      <c r="O276" s="58" t="s">
        <v>1250</v>
      </c>
      <c r="P276" s="134" t="s">
        <v>106</v>
      </c>
      <c r="Q276" s="134"/>
      <c r="R276" s="134">
        <v>404456.0</v>
      </c>
      <c r="S276" s="134">
        <v>9743312.0</v>
      </c>
      <c r="T276" s="137"/>
      <c r="U276" s="137"/>
      <c r="V276" s="134" t="s">
        <v>1128</v>
      </c>
      <c r="W276" s="134"/>
      <c r="X276" s="134"/>
      <c r="Y276" s="134"/>
      <c r="Z276" s="58"/>
      <c r="AA276" s="58"/>
      <c r="AB276" s="58"/>
      <c r="AC276" s="70"/>
      <c r="AD276" s="70"/>
      <c r="AE276" s="24"/>
      <c r="AF276" s="70"/>
      <c r="AG276" s="70"/>
      <c r="AH276" s="70"/>
      <c r="AI276" s="70"/>
      <c r="AJ276" s="70"/>
      <c r="AK276" s="70"/>
      <c r="AL276" s="70"/>
      <c r="AM276" s="24"/>
      <c r="AN276" s="70"/>
      <c r="AO276" s="70"/>
      <c r="AP276" s="70"/>
      <c r="AQ276" s="70"/>
      <c r="AR276" s="70"/>
      <c r="AS276" s="70"/>
      <c r="AT276" s="70"/>
      <c r="AU276" s="70"/>
      <c r="AV276" s="70"/>
      <c r="AW276" s="70"/>
      <c r="AX276" s="70"/>
      <c r="AY276" s="70"/>
      <c r="AZ276" s="70"/>
      <c r="BA276" s="70"/>
      <c r="BB276" s="70"/>
      <c r="BC276" s="70"/>
      <c r="BD276" s="70"/>
      <c r="BE276" s="70"/>
      <c r="BF276" s="70"/>
      <c r="BG276" s="70"/>
      <c r="BH276" s="70"/>
      <c r="BI276" s="70"/>
      <c r="BJ276" s="70"/>
      <c r="BK276" s="70"/>
      <c r="BL276" s="70"/>
      <c r="BM276" s="70"/>
      <c r="BN276" s="70"/>
      <c r="BO276" s="70"/>
      <c r="BP276" s="70"/>
      <c r="BQ276" s="70"/>
      <c r="BR276" s="70"/>
      <c r="BS276" s="70"/>
      <c r="BT276" s="70"/>
      <c r="BU276" s="70"/>
      <c r="BV276" s="70"/>
      <c r="BW276" s="70"/>
      <c r="BX276" s="70"/>
      <c r="BY276" s="70"/>
    </row>
    <row r="277" ht="15.75" customHeight="1">
      <c r="A277" s="8">
        <v>742.0</v>
      </c>
      <c r="B277" s="163" t="s">
        <v>1292</v>
      </c>
      <c r="C277" s="163" t="s">
        <v>57</v>
      </c>
      <c r="D277" s="181" t="s">
        <v>112</v>
      </c>
      <c r="E277" s="163" t="s">
        <v>112</v>
      </c>
      <c r="F277" s="189" t="s">
        <v>1293</v>
      </c>
      <c r="G277" s="178">
        <v>42583.0</v>
      </c>
      <c r="H277" s="42" t="str">
        <f t="shared" ref="H277:H279" si="19">TEXT(G277, "yyyy")</f>
        <v>2016</v>
      </c>
      <c r="I277" s="8" t="s">
        <v>186</v>
      </c>
      <c r="J277" s="163" t="s">
        <v>112</v>
      </c>
      <c r="K277" s="163" t="s">
        <v>112</v>
      </c>
      <c r="L277" s="163" t="s">
        <v>100</v>
      </c>
      <c r="M277" s="202" t="s">
        <v>112</v>
      </c>
      <c r="N277" s="163" t="s">
        <v>1294</v>
      </c>
      <c r="O277" s="8"/>
      <c r="P277" s="163" t="s">
        <v>106</v>
      </c>
      <c r="Q277" s="181" t="s">
        <v>112</v>
      </c>
      <c r="R277" s="163">
        <v>404473.0</v>
      </c>
      <c r="S277" s="163">
        <v>9742318.0</v>
      </c>
      <c r="T277" s="163" t="s">
        <v>112</v>
      </c>
      <c r="U277" s="163" t="s">
        <v>112</v>
      </c>
      <c r="V277" s="163" t="s">
        <v>1226</v>
      </c>
      <c r="W277" s="163" t="s">
        <v>112</v>
      </c>
      <c r="X277" s="163" t="s">
        <v>112</v>
      </c>
      <c r="Y277" s="163" t="s">
        <v>112</v>
      </c>
      <c r="Z277" s="8" t="s">
        <v>69</v>
      </c>
      <c r="AA277" s="23" t="s">
        <v>115</v>
      </c>
      <c r="AB277" s="8" t="s">
        <v>378</v>
      </c>
      <c r="AC277" s="70"/>
      <c r="AD277" s="70"/>
      <c r="AE277" s="24"/>
      <c r="AF277" s="70"/>
      <c r="AG277" s="70"/>
      <c r="AH277" s="70"/>
      <c r="AI277" s="70"/>
      <c r="AJ277" s="70"/>
      <c r="AK277" s="70"/>
      <c r="AL277" s="70"/>
      <c r="AM277" s="24"/>
      <c r="AN277" s="70"/>
      <c r="AO277" s="70"/>
      <c r="AP277" s="70"/>
      <c r="AQ277" s="70"/>
      <c r="AR277" s="70"/>
      <c r="AS277" s="70"/>
      <c r="AT277" s="70"/>
      <c r="AU277" s="70"/>
      <c r="AV277" s="70"/>
      <c r="AW277" s="70"/>
      <c r="AX277" s="70"/>
      <c r="AY277" s="70"/>
      <c r="AZ277" s="70"/>
      <c r="BA277" s="70"/>
      <c r="BB277" s="70"/>
      <c r="BC277" s="70"/>
      <c r="BD277" s="70"/>
      <c r="BE277" s="70"/>
      <c r="BF277" s="70"/>
      <c r="BG277" s="70"/>
      <c r="BH277" s="70"/>
      <c r="BI277" s="70"/>
      <c r="BJ277" s="70"/>
      <c r="BK277" s="70"/>
      <c r="BL277" s="70"/>
      <c r="BM277" s="70"/>
      <c r="BN277" s="70"/>
      <c r="BO277" s="70"/>
      <c r="BP277" s="70"/>
      <c r="BQ277" s="70"/>
      <c r="BR277" s="70"/>
      <c r="BS277" s="70"/>
      <c r="BT277" s="70"/>
      <c r="BU277" s="70"/>
      <c r="BV277" s="70"/>
      <c r="BW277" s="70"/>
      <c r="BX277" s="70"/>
      <c r="BY277" s="70"/>
    </row>
    <row r="278" ht="15.75" customHeight="1">
      <c r="A278" s="8">
        <v>415.0</v>
      </c>
      <c r="B278" s="163" t="s">
        <v>1295</v>
      </c>
      <c r="C278" s="163" t="s">
        <v>51</v>
      </c>
      <c r="D278" s="163" t="s">
        <v>508</v>
      </c>
      <c r="E278" s="163" t="s">
        <v>112</v>
      </c>
      <c r="F278" s="172">
        <v>40212.0</v>
      </c>
      <c r="G278" s="169">
        <v>40210.0</v>
      </c>
      <c r="H278" s="42" t="str">
        <f t="shared" si="19"/>
        <v>2010</v>
      </c>
      <c r="I278" s="8" t="s">
        <v>63</v>
      </c>
      <c r="J278" s="163" t="s">
        <v>112</v>
      </c>
      <c r="K278" s="141" t="s">
        <v>99</v>
      </c>
      <c r="L278" s="163" t="s">
        <v>100</v>
      </c>
      <c r="M278" s="173" t="s">
        <v>112</v>
      </c>
      <c r="N278" s="174" t="s">
        <v>1296</v>
      </c>
      <c r="O278" s="45" t="s">
        <v>928</v>
      </c>
      <c r="P278" s="163" t="s">
        <v>106</v>
      </c>
      <c r="Q278" s="163" t="s">
        <v>112</v>
      </c>
      <c r="R278" s="163">
        <v>404583.0</v>
      </c>
      <c r="S278" s="163">
        <v>9729276.0</v>
      </c>
      <c r="T278" s="176">
        <v>-2.4490336</v>
      </c>
      <c r="U278" s="176">
        <v>-75.858234</v>
      </c>
      <c r="V278" s="163" t="s">
        <v>548</v>
      </c>
      <c r="W278" s="163" t="s">
        <v>112</v>
      </c>
      <c r="X278" s="163" t="s">
        <v>112</v>
      </c>
      <c r="Y278" s="163" t="s">
        <v>112</v>
      </c>
      <c r="Z278" s="47" t="s">
        <v>37</v>
      </c>
      <c r="AA278" s="23" t="s">
        <v>115</v>
      </c>
      <c r="AB278" s="86" t="s">
        <v>396</v>
      </c>
      <c r="AC278" s="70"/>
      <c r="AD278" s="70"/>
      <c r="AE278" s="24"/>
      <c r="AF278" s="70"/>
      <c r="AG278" s="70"/>
      <c r="AH278" s="70"/>
      <c r="AI278" s="70"/>
      <c r="AJ278" s="70"/>
      <c r="AK278" s="70"/>
      <c r="AL278" s="70"/>
      <c r="AM278" s="24"/>
      <c r="AN278" s="70"/>
      <c r="AO278" s="70"/>
      <c r="AP278" s="70"/>
      <c r="AQ278" s="70"/>
      <c r="AR278" s="70"/>
      <c r="AS278" s="70"/>
      <c r="AT278" s="70"/>
      <c r="AU278" s="70"/>
      <c r="AV278" s="70"/>
      <c r="AW278" s="70"/>
      <c r="AX278" s="70"/>
      <c r="AY278" s="70"/>
      <c r="AZ278" s="70"/>
      <c r="BA278" s="70"/>
      <c r="BB278" s="70"/>
      <c r="BC278" s="70"/>
      <c r="BD278" s="70"/>
      <c r="BE278" s="70"/>
      <c r="BF278" s="70"/>
      <c r="BG278" s="70"/>
      <c r="BH278" s="70"/>
      <c r="BI278" s="70"/>
      <c r="BJ278" s="70"/>
      <c r="BK278" s="70"/>
      <c r="BL278" s="70"/>
      <c r="BM278" s="70"/>
      <c r="BN278" s="70"/>
      <c r="BO278" s="70"/>
      <c r="BP278" s="70"/>
      <c r="BQ278" s="70"/>
      <c r="BR278" s="70"/>
      <c r="BS278" s="70"/>
      <c r="BT278" s="70"/>
      <c r="BU278" s="70"/>
      <c r="BV278" s="70"/>
      <c r="BW278" s="70"/>
      <c r="BX278" s="70"/>
      <c r="BY278" s="70"/>
    </row>
    <row r="279" ht="15.75" customHeight="1">
      <c r="A279" s="8">
        <v>931.0</v>
      </c>
      <c r="B279" s="163" t="s">
        <v>1297</v>
      </c>
      <c r="C279" s="163" t="s">
        <v>54</v>
      </c>
      <c r="D279" s="163" t="s">
        <v>511</v>
      </c>
      <c r="E279" s="163" t="s">
        <v>112</v>
      </c>
      <c r="F279" s="204" t="s">
        <v>1298</v>
      </c>
      <c r="G279" s="169">
        <v>43160.0</v>
      </c>
      <c r="H279" s="50" t="str">
        <f t="shared" si="19"/>
        <v>2018</v>
      </c>
      <c r="I279" s="8" t="s">
        <v>774</v>
      </c>
      <c r="J279" s="163" t="s">
        <v>112</v>
      </c>
      <c r="K279" s="163" t="s">
        <v>112</v>
      </c>
      <c r="L279" s="163" t="s">
        <v>100</v>
      </c>
      <c r="M279" s="163" t="s">
        <v>513</v>
      </c>
      <c r="N279" s="163" t="s">
        <v>1299</v>
      </c>
      <c r="O279" s="8" t="s">
        <v>1300</v>
      </c>
      <c r="P279" s="163" t="s">
        <v>106</v>
      </c>
      <c r="Q279" s="163" t="s">
        <v>112</v>
      </c>
      <c r="R279" s="163">
        <v>404711.0</v>
      </c>
      <c r="S279" s="163">
        <v>9737794.0</v>
      </c>
      <c r="T279" s="163" t="s">
        <v>112</v>
      </c>
      <c r="U279" s="163" t="s">
        <v>112</v>
      </c>
      <c r="V279" s="163" t="s">
        <v>1073</v>
      </c>
      <c r="W279" s="163" t="s">
        <v>112</v>
      </c>
      <c r="X279" s="163" t="s">
        <v>112</v>
      </c>
      <c r="Y279" s="163" t="s">
        <v>112</v>
      </c>
      <c r="Z279" s="8" t="s">
        <v>148</v>
      </c>
      <c r="AA279" s="23" t="s">
        <v>144</v>
      </c>
      <c r="AB279" s="8" t="s">
        <v>345</v>
      </c>
      <c r="AC279" s="70"/>
      <c r="AD279" s="70"/>
      <c r="AE279" s="24"/>
      <c r="AF279" s="70"/>
      <c r="AG279" s="70"/>
      <c r="AH279" s="70"/>
      <c r="AI279" s="70"/>
      <c r="AJ279" s="70"/>
      <c r="AK279" s="70"/>
      <c r="AL279" s="70"/>
      <c r="AM279" s="24"/>
      <c r="AN279" s="70"/>
      <c r="AO279" s="70"/>
      <c r="AP279" s="70"/>
      <c r="AQ279" s="70"/>
      <c r="AR279" s="70"/>
      <c r="AS279" s="70"/>
      <c r="AT279" s="70"/>
      <c r="AU279" s="70"/>
      <c r="AV279" s="70"/>
      <c r="AW279" s="70"/>
      <c r="AX279" s="70"/>
      <c r="AY279" s="70"/>
      <c r="AZ279" s="70"/>
      <c r="BA279" s="70"/>
      <c r="BB279" s="70"/>
      <c r="BC279" s="70"/>
      <c r="BD279" s="70"/>
      <c r="BE279" s="70"/>
      <c r="BF279" s="70"/>
      <c r="BG279" s="70"/>
      <c r="BH279" s="70"/>
      <c r="BI279" s="70"/>
      <c r="BJ279" s="70"/>
      <c r="BK279" s="70"/>
      <c r="BL279" s="70"/>
      <c r="BM279" s="70"/>
      <c r="BN279" s="70"/>
      <c r="BO279" s="70"/>
      <c r="BP279" s="70"/>
      <c r="BQ279" s="70"/>
      <c r="BR279" s="70"/>
      <c r="BS279" s="70"/>
      <c r="BT279" s="70"/>
      <c r="BU279" s="70"/>
      <c r="BV279" s="70"/>
      <c r="BW279" s="70"/>
      <c r="BX279" s="70"/>
      <c r="BY279" s="70"/>
    </row>
    <row r="280" ht="15.75" customHeight="1">
      <c r="A280" s="8">
        <v>60.0</v>
      </c>
      <c r="B280" s="146" t="s">
        <v>1301</v>
      </c>
      <c r="C280" s="128" t="s">
        <v>57</v>
      </c>
      <c r="D280" s="128" t="s">
        <v>146</v>
      </c>
      <c r="E280" s="128" t="s">
        <v>1302</v>
      </c>
      <c r="F280" s="182">
        <v>43556.0</v>
      </c>
      <c r="G280" s="146" t="s">
        <v>112</v>
      </c>
      <c r="H280" s="28" t="s">
        <v>112</v>
      </c>
      <c r="I280" s="8" t="s">
        <v>97</v>
      </c>
      <c r="J280" s="128" t="s">
        <v>112</v>
      </c>
      <c r="K280" s="128" t="s">
        <v>99</v>
      </c>
      <c r="L280" s="146" t="s">
        <v>100</v>
      </c>
      <c r="M280" s="141" t="s">
        <v>150</v>
      </c>
      <c r="N280" s="128" t="s">
        <v>1190</v>
      </c>
      <c r="O280" s="8" t="s">
        <v>152</v>
      </c>
      <c r="P280" s="128" t="s">
        <v>106</v>
      </c>
      <c r="Q280" s="128">
        <v>170.0</v>
      </c>
      <c r="R280" s="128">
        <v>404828.0</v>
      </c>
      <c r="S280" s="128">
        <v>9742384.0</v>
      </c>
      <c r="T280" s="128"/>
      <c r="U280" s="128"/>
      <c r="V280" s="128" t="s">
        <v>153</v>
      </c>
      <c r="W280" s="128" t="s">
        <v>154</v>
      </c>
      <c r="X280" s="128" t="s">
        <v>112</v>
      </c>
      <c r="Y280" s="128" t="s">
        <v>112</v>
      </c>
      <c r="Z280" s="23" t="s">
        <v>42</v>
      </c>
      <c r="AA280" s="23" t="s">
        <v>115</v>
      </c>
      <c r="AB280" s="30" t="s">
        <v>155</v>
      </c>
      <c r="AC280" s="70"/>
      <c r="AD280" s="70"/>
      <c r="AE280" s="24"/>
      <c r="AF280" s="70"/>
      <c r="AG280" s="70"/>
      <c r="AH280" s="70"/>
      <c r="AI280" s="70"/>
      <c r="AJ280" s="70"/>
      <c r="AK280" s="70"/>
      <c r="AL280" s="70"/>
      <c r="AM280" s="24"/>
      <c r="AN280" s="70"/>
      <c r="AO280" s="70"/>
      <c r="AP280" s="70"/>
      <c r="AQ280" s="70"/>
      <c r="AR280" s="70"/>
      <c r="AS280" s="70"/>
      <c r="AT280" s="70"/>
      <c r="AU280" s="70"/>
      <c r="AV280" s="70"/>
      <c r="AW280" s="70"/>
      <c r="AX280" s="70"/>
      <c r="AY280" s="70"/>
      <c r="AZ280" s="70"/>
      <c r="BA280" s="70"/>
      <c r="BB280" s="70"/>
      <c r="BC280" s="70"/>
      <c r="BD280" s="70"/>
      <c r="BE280" s="70"/>
      <c r="BF280" s="70"/>
      <c r="BG280" s="70"/>
      <c r="BH280" s="70"/>
      <c r="BI280" s="70"/>
      <c r="BJ280" s="70"/>
      <c r="BK280" s="70"/>
      <c r="BL280" s="70"/>
      <c r="BM280" s="70"/>
      <c r="BN280" s="70"/>
      <c r="BO280" s="70"/>
      <c r="BP280" s="70"/>
      <c r="BQ280" s="70"/>
      <c r="BR280" s="70"/>
      <c r="BS280" s="70"/>
      <c r="BT280" s="70"/>
      <c r="BU280" s="70"/>
      <c r="BV280" s="70"/>
      <c r="BW280" s="70"/>
      <c r="BX280" s="70"/>
      <c r="BY280" s="70"/>
    </row>
    <row r="281" ht="15.75" customHeight="1">
      <c r="A281" s="52">
        <v>952.0</v>
      </c>
      <c r="B281" s="179" t="s">
        <v>1303</v>
      </c>
      <c r="C281" s="179" t="s">
        <v>57</v>
      </c>
      <c r="D281" s="179" t="s">
        <v>694</v>
      </c>
      <c r="E281" s="179" t="s">
        <v>964</v>
      </c>
      <c r="F281" s="203">
        <v>44290.0</v>
      </c>
      <c r="G281" s="203">
        <v>44290.0</v>
      </c>
      <c r="H281" s="55">
        <v>2021.0</v>
      </c>
      <c r="I281" s="53" t="s">
        <v>97</v>
      </c>
      <c r="J281" s="179" t="s">
        <v>163</v>
      </c>
      <c r="K281" s="179" t="s">
        <v>164</v>
      </c>
      <c r="L281" s="179" t="s">
        <v>100</v>
      </c>
      <c r="M281" s="179" t="s">
        <v>485</v>
      </c>
      <c r="N281" s="179" t="s">
        <v>1304</v>
      </c>
      <c r="O281" s="53" t="s">
        <v>1305</v>
      </c>
      <c r="P281" s="179" t="s">
        <v>106</v>
      </c>
      <c r="Q281" s="179"/>
      <c r="R281" s="179">
        <v>405336.0</v>
      </c>
      <c r="S281" s="179">
        <v>9738961.0</v>
      </c>
      <c r="T281" s="137"/>
      <c r="U281" s="134"/>
      <c r="V281" s="179" t="s">
        <v>1128</v>
      </c>
      <c r="W281" s="134"/>
      <c r="X281" s="134"/>
      <c r="Y281" s="134"/>
      <c r="Z281" s="58"/>
      <c r="AA281" s="58"/>
      <c r="AB281" s="58"/>
      <c r="AC281" s="70"/>
      <c r="AD281" s="70"/>
      <c r="AE281" s="24"/>
      <c r="AF281" s="70"/>
      <c r="AG281" s="70"/>
      <c r="AH281" s="70"/>
      <c r="AI281" s="70"/>
      <c r="AJ281" s="70"/>
      <c r="AK281" s="70"/>
      <c r="AL281" s="70"/>
      <c r="AM281" s="24"/>
      <c r="AN281" s="70"/>
      <c r="AO281" s="70"/>
      <c r="AP281" s="70"/>
      <c r="AQ281" s="70"/>
      <c r="AR281" s="70"/>
      <c r="AS281" s="70"/>
      <c r="AT281" s="70"/>
      <c r="AU281" s="70"/>
      <c r="AV281" s="70"/>
      <c r="AW281" s="70"/>
      <c r="AX281" s="70"/>
      <c r="AY281" s="70"/>
      <c r="AZ281" s="70"/>
      <c r="BA281" s="70"/>
      <c r="BB281" s="70"/>
      <c r="BC281" s="70"/>
      <c r="BD281" s="70"/>
      <c r="BE281" s="70"/>
      <c r="BF281" s="70"/>
      <c r="BG281" s="70"/>
      <c r="BH281" s="70"/>
      <c r="BI281" s="70"/>
      <c r="BJ281" s="70"/>
      <c r="BK281" s="70"/>
      <c r="BL281" s="70"/>
      <c r="BM281" s="70"/>
      <c r="BN281" s="70"/>
      <c r="BO281" s="70"/>
      <c r="BP281" s="70"/>
      <c r="BQ281" s="70"/>
      <c r="BR281" s="70"/>
      <c r="BS281" s="70"/>
      <c r="BT281" s="70"/>
      <c r="BU281" s="70"/>
      <c r="BV281" s="70"/>
      <c r="BW281" s="70"/>
      <c r="BX281" s="70"/>
      <c r="BY281" s="70"/>
    </row>
    <row r="282" ht="15.75" customHeight="1">
      <c r="A282" s="8">
        <v>815.0</v>
      </c>
      <c r="B282" s="158" t="s">
        <v>1306</v>
      </c>
      <c r="C282" s="158" t="s">
        <v>57</v>
      </c>
      <c r="D282" s="158" t="s">
        <v>213</v>
      </c>
      <c r="E282" s="158" t="s">
        <v>112</v>
      </c>
      <c r="F282" s="205">
        <v>42869.0</v>
      </c>
      <c r="G282" s="164">
        <v>42856.0</v>
      </c>
      <c r="H282" s="20" t="str">
        <f t="shared" ref="H282:H298" si="20">TEXT(G282, "yyyy")</f>
        <v>2017</v>
      </c>
      <c r="I282" s="8" t="s">
        <v>186</v>
      </c>
      <c r="J282" s="158" t="s">
        <v>112</v>
      </c>
      <c r="K282" s="158" t="s">
        <v>112</v>
      </c>
      <c r="L282" s="158" t="s">
        <v>100</v>
      </c>
      <c r="M282" s="211" t="s">
        <v>513</v>
      </c>
      <c r="N282" s="158" t="s">
        <v>1307</v>
      </c>
      <c r="O282" s="8" t="s">
        <v>1308</v>
      </c>
      <c r="P282" s="158" t="s">
        <v>106</v>
      </c>
      <c r="Q282" s="158" t="s">
        <v>112</v>
      </c>
      <c r="R282" s="158">
        <v>405356.1</v>
      </c>
      <c r="S282" s="158">
        <v>9738870.0</v>
      </c>
      <c r="T282" s="158">
        <v>-75.85122792</v>
      </c>
      <c r="U282" s="158">
        <v>-2.36224932</v>
      </c>
      <c r="V282" s="158" t="s">
        <v>1309</v>
      </c>
      <c r="W282" s="158" t="s">
        <v>112</v>
      </c>
      <c r="X282" s="158" t="s">
        <v>112</v>
      </c>
      <c r="Y282" s="158" t="s">
        <v>112</v>
      </c>
      <c r="Z282" s="8" t="s">
        <v>148</v>
      </c>
      <c r="AA282" s="23" t="s">
        <v>144</v>
      </c>
      <c r="AB282" s="8"/>
      <c r="AC282" s="70"/>
      <c r="AD282" s="70"/>
      <c r="AE282" s="24"/>
      <c r="AF282" s="70"/>
      <c r="AG282" s="70"/>
      <c r="AH282" s="70"/>
      <c r="AI282" s="70"/>
      <c r="AJ282" s="70"/>
      <c r="AK282" s="70"/>
      <c r="AL282" s="70"/>
      <c r="AM282" s="24"/>
      <c r="AN282" s="70"/>
      <c r="AO282" s="70"/>
      <c r="AP282" s="70"/>
      <c r="AQ282" s="70"/>
      <c r="AR282" s="70"/>
      <c r="AS282" s="70"/>
      <c r="AT282" s="70"/>
      <c r="AU282" s="70"/>
      <c r="AV282" s="70"/>
      <c r="AW282" s="70"/>
      <c r="AX282" s="70"/>
      <c r="AY282" s="70"/>
      <c r="AZ282" s="70"/>
      <c r="BA282" s="70"/>
      <c r="BB282" s="70"/>
      <c r="BC282" s="70"/>
      <c r="BD282" s="70"/>
      <c r="BE282" s="70"/>
      <c r="BF282" s="70"/>
      <c r="BG282" s="70"/>
      <c r="BH282" s="70"/>
      <c r="BI282" s="70"/>
      <c r="BJ282" s="70"/>
      <c r="BK282" s="70"/>
      <c r="BL282" s="70"/>
      <c r="BM282" s="70"/>
      <c r="BN282" s="70"/>
      <c r="BO282" s="70"/>
      <c r="BP282" s="70"/>
      <c r="BQ282" s="70"/>
      <c r="BR282" s="70"/>
      <c r="BS282" s="70"/>
      <c r="BT282" s="70"/>
      <c r="BU282" s="70"/>
      <c r="BV282" s="70"/>
      <c r="BW282" s="70"/>
      <c r="BX282" s="70"/>
      <c r="BY282" s="70"/>
    </row>
    <row r="283" ht="15.75" customHeight="1">
      <c r="A283" s="8">
        <v>416.0</v>
      </c>
      <c r="B283" s="163" t="s">
        <v>1310</v>
      </c>
      <c r="C283" s="163" t="s">
        <v>51</v>
      </c>
      <c r="D283" s="163" t="s">
        <v>508</v>
      </c>
      <c r="E283" s="163" t="s">
        <v>112</v>
      </c>
      <c r="F283" s="172">
        <v>40212.0</v>
      </c>
      <c r="G283" s="169">
        <v>40210.0</v>
      </c>
      <c r="H283" s="42" t="str">
        <f t="shared" si="20"/>
        <v>2010</v>
      </c>
      <c r="I283" s="8" t="s">
        <v>63</v>
      </c>
      <c r="J283" s="163" t="s">
        <v>112</v>
      </c>
      <c r="K283" s="141" t="s">
        <v>99</v>
      </c>
      <c r="L283" s="163" t="s">
        <v>100</v>
      </c>
      <c r="M283" s="173" t="s">
        <v>112</v>
      </c>
      <c r="N283" s="174" t="s">
        <v>1311</v>
      </c>
      <c r="O283" s="45" t="s">
        <v>928</v>
      </c>
      <c r="P283" s="163" t="s">
        <v>106</v>
      </c>
      <c r="Q283" s="163" t="s">
        <v>112</v>
      </c>
      <c r="R283" s="163">
        <v>405561.0</v>
      </c>
      <c r="S283" s="163">
        <v>9728953.0</v>
      </c>
      <c r="T283" s="176">
        <v>-2.4519612</v>
      </c>
      <c r="U283" s="176">
        <v>-75.84944</v>
      </c>
      <c r="V283" s="163" t="s">
        <v>548</v>
      </c>
      <c r="W283" s="163" t="s">
        <v>112</v>
      </c>
      <c r="X283" s="163" t="s">
        <v>112</v>
      </c>
      <c r="Y283" s="163" t="s">
        <v>112</v>
      </c>
      <c r="Z283" s="47" t="s">
        <v>37</v>
      </c>
      <c r="AA283" s="23" t="s">
        <v>115</v>
      </c>
      <c r="AB283" s="86" t="s">
        <v>396</v>
      </c>
      <c r="AC283" s="70"/>
      <c r="AD283" s="70"/>
      <c r="AE283" s="24"/>
      <c r="AF283" s="70"/>
      <c r="AG283" s="70"/>
      <c r="AH283" s="70"/>
      <c r="AI283" s="70"/>
      <c r="AJ283" s="70"/>
      <c r="AK283" s="70"/>
      <c r="AL283" s="70"/>
      <c r="AM283" s="24"/>
      <c r="AN283" s="70"/>
      <c r="AO283" s="70"/>
      <c r="AP283" s="70"/>
      <c r="AQ283" s="70"/>
      <c r="AR283" s="70"/>
      <c r="AS283" s="70"/>
      <c r="AT283" s="70"/>
      <c r="AU283" s="70"/>
      <c r="AV283" s="70"/>
      <c r="AW283" s="70"/>
      <c r="AX283" s="70"/>
      <c r="AY283" s="70"/>
      <c r="AZ283" s="70"/>
      <c r="BA283" s="70"/>
      <c r="BB283" s="70"/>
      <c r="BC283" s="70"/>
      <c r="BD283" s="70"/>
      <c r="BE283" s="70"/>
      <c r="BF283" s="70"/>
      <c r="BG283" s="70"/>
      <c r="BH283" s="70"/>
      <c r="BI283" s="70"/>
      <c r="BJ283" s="70"/>
      <c r="BK283" s="70"/>
      <c r="BL283" s="70"/>
      <c r="BM283" s="70"/>
      <c r="BN283" s="70"/>
      <c r="BO283" s="70"/>
      <c r="BP283" s="70"/>
      <c r="BQ283" s="70"/>
      <c r="BR283" s="70"/>
      <c r="BS283" s="70"/>
      <c r="BT283" s="70"/>
      <c r="BU283" s="70"/>
      <c r="BV283" s="70"/>
      <c r="BW283" s="70"/>
      <c r="BX283" s="70"/>
      <c r="BY283" s="70"/>
    </row>
    <row r="284" ht="15.75" customHeight="1">
      <c r="A284" s="8">
        <v>756.0</v>
      </c>
      <c r="B284" s="163" t="s">
        <v>1312</v>
      </c>
      <c r="C284" s="163" t="s">
        <v>57</v>
      </c>
      <c r="D284" s="181" t="s">
        <v>112</v>
      </c>
      <c r="E284" s="163" t="s">
        <v>112</v>
      </c>
      <c r="F284" s="189" t="s">
        <v>1313</v>
      </c>
      <c r="G284" s="178">
        <v>42675.0</v>
      </c>
      <c r="H284" s="42" t="str">
        <f t="shared" si="20"/>
        <v>2016</v>
      </c>
      <c r="I284" s="8" t="s">
        <v>176</v>
      </c>
      <c r="J284" s="163" t="s">
        <v>112</v>
      </c>
      <c r="K284" s="163" t="s">
        <v>112</v>
      </c>
      <c r="L284" s="163" t="s">
        <v>100</v>
      </c>
      <c r="M284" s="212" t="s">
        <v>187</v>
      </c>
      <c r="N284" s="127" t="s">
        <v>1314</v>
      </c>
      <c r="O284" s="8" t="s">
        <v>1315</v>
      </c>
      <c r="P284" s="163" t="s">
        <v>106</v>
      </c>
      <c r="Q284" s="181" t="s">
        <v>112</v>
      </c>
      <c r="R284" s="181">
        <v>406606.0</v>
      </c>
      <c r="S284" s="181">
        <v>9728546.0</v>
      </c>
      <c r="T284" s="163">
        <v>-75.502415</v>
      </c>
      <c r="U284" s="163">
        <v>-2.27206159</v>
      </c>
      <c r="V284" s="163" t="s">
        <v>1316</v>
      </c>
      <c r="W284" s="163" t="s">
        <v>112</v>
      </c>
      <c r="X284" s="163" t="s">
        <v>112</v>
      </c>
      <c r="Y284" s="163" t="s">
        <v>112</v>
      </c>
      <c r="Z284" s="8" t="s">
        <v>69</v>
      </c>
      <c r="AA284" s="23" t="s">
        <v>115</v>
      </c>
      <c r="AB284" s="8" t="s">
        <v>378</v>
      </c>
      <c r="AE284" s="24"/>
      <c r="AM284" s="24"/>
    </row>
    <row r="285" ht="15.75" customHeight="1">
      <c r="A285" s="8">
        <v>783.0</v>
      </c>
      <c r="B285" s="188" t="s">
        <v>1317</v>
      </c>
      <c r="C285" s="163" t="s">
        <v>57</v>
      </c>
      <c r="D285" s="181" t="s">
        <v>112</v>
      </c>
      <c r="E285" s="163" t="s">
        <v>112</v>
      </c>
      <c r="F285" s="213">
        <v>42795.0</v>
      </c>
      <c r="G285" s="178">
        <v>42795.0</v>
      </c>
      <c r="H285" s="42" t="str">
        <f t="shared" si="20"/>
        <v>2017</v>
      </c>
      <c r="I285" s="8" t="s">
        <v>176</v>
      </c>
      <c r="J285" s="163" t="s">
        <v>112</v>
      </c>
      <c r="K285" s="163" t="s">
        <v>112</v>
      </c>
      <c r="L285" s="163" t="s">
        <v>100</v>
      </c>
      <c r="M285" s="212" t="s">
        <v>187</v>
      </c>
      <c r="N285" s="127" t="s">
        <v>1318</v>
      </c>
      <c r="O285" s="8" t="s">
        <v>1319</v>
      </c>
      <c r="P285" s="163" t="s">
        <v>106</v>
      </c>
      <c r="Q285" s="181" t="s">
        <v>112</v>
      </c>
      <c r="R285" s="181">
        <v>407477.0</v>
      </c>
      <c r="S285" s="181">
        <v>9728342.0</v>
      </c>
      <c r="T285" s="163" t="s">
        <v>112</v>
      </c>
      <c r="U285" s="163" t="s">
        <v>112</v>
      </c>
      <c r="V285" s="163" t="s">
        <v>1289</v>
      </c>
      <c r="W285" s="163" t="s">
        <v>112</v>
      </c>
      <c r="X285" s="127">
        <v>1.0</v>
      </c>
      <c r="Y285" s="145" t="s">
        <v>1320</v>
      </c>
      <c r="Z285" s="8" t="s">
        <v>148</v>
      </c>
      <c r="AA285" s="23" t="s">
        <v>144</v>
      </c>
      <c r="AB285" s="8" t="s">
        <v>339</v>
      </c>
      <c r="AE285" s="24"/>
      <c r="AM285" s="24"/>
    </row>
    <row r="286" ht="15.75" customHeight="1">
      <c r="A286" s="8">
        <v>671.0</v>
      </c>
      <c r="B286" s="188" t="s">
        <v>1321</v>
      </c>
      <c r="C286" s="167" t="s">
        <v>57</v>
      </c>
      <c r="D286" s="181" t="s">
        <v>112</v>
      </c>
      <c r="E286" s="163" t="s">
        <v>112</v>
      </c>
      <c r="F286" s="204">
        <v>42420.0</v>
      </c>
      <c r="G286" s="178">
        <v>42401.0</v>
      </c>
      <c r="H286" s="42" t="str">
        <f t="shared" si="20"/>
        <v>2016</v>
      </c>
      <c r="I286" s="8" t="s">
        <v>176</v>
      </c>
      <c r="J286" s="163" t="s">
        <v>112</v>
      </c>
      <c r="K286" s="163" t="s">
        <v>112</v>
      </c>
      <c r="L286" s="163" t="s">
        <v>100</v>
      </c>
      <c r="M286" s="138" t="s">
        <v>177</v>
      </c>
      <c r="N286" s="127" t="s">
        <v>1322</v>
      </c>
      <c r="O286" s="8" t="s">
        <v>1323</v>
      </c>
      <c r="P286" s="163" t="s">
        <v>106</v>
      </c>
      <c r="Q286" s="181" t="s">
        <v>112</v>
      </c>
      <c r="R286" s="181">
        <v>409344.0</v>
      </c>
      <c r="S286" s="181">
        <v>9732192.0</v>
      </c>
      <c r="T286" s="167" t="s">
        <v>112</v>
      </c>
      <c r="U286" s="167" t="s">
        <v>112</v>
      </c>
      <c r="V286" s="167" t="s">
        <v>112</v>
      </c>
      <c r="W286" s="163" t="s">
        <v>112</v>
      </c>
      <c r="X286" s="149" t="s">
        <v>112</v>
      </c>
      <c r="Y286" s="149" t="s">
        <v>112</v>
      </c>
      <c r="Z286" s="8" t="s">
        <v>69</v>
      </c>
      <c r="AA286" s="23" t="s">
        <v>115</v>
      </c>
      <c r="AB286" s="8" t="s">
        <v>318</v>
      </c>
      <c r="AE286" s="24"/>
      <c r="AM286" s="24"/>
    </row>
    <row r="287" ht="15.75" customHeight="1">
      <c r="A287" s="8">
        <v>749.0</v>
      </c>
      <c r="B287" s="163" t="s">
        <v>1324</v>
      </c>
      <c r="C287" s="163" t="s">
        <v>57</v>
      </c>
      <c r="D287" s="181" t="s">
        <v>112</v>
      </c>
      <c r="E287" s="163" t="s">
        <v>112</v>
      </c>
      <c r="F287" s="189" t="s">
        <v>1325</v>
      </c>
      <c r="G287" s="178">
        <v>42675.0</v>
      </c>
      <c r="H287" s="42" t="str">
        <f t="shared" si="20"/>
        <v>2016</v>
      </c>
      <c r="I287" s="8" t="s">
        <v>176</v>
      </c>
      <c r="J287" s="163" t="s">
        <v>112</v>
      </c>
      <c r="K287" s="163" t="s">
        <v>112</v>
      </c>
      <c r="L287" s="163" t="s">
        <v>100</v>
      </c>
      <c r="M287" s="202" t="s">
        <v>177</v>
      </c>
      <c r="N287" s="163" t="s">
        <v>1326</v>
      </c>
      <c r="O287" s="29" t="s">
        <v>1327</v>
      </c>
      <c r="P287" s="163" t="s">
        <v>106</v>
      </c>
      <c r="Q287" s="181" t="s">
        <v>112</v>
      </c>
      <c r="R287" s="181">
        <v>409687.0</v>
      </c>
      <c r="S287" s="181">
        <v>9731665.0</v>
      </c>
      <c r="T287" s="163" t="s">
        <v>112</v>
      </c>
      <c r="U287" s="163" t="s">
        <v>112</v>
      </c>
      <c r="V287" s="163" t="s">
        <v>1204</v>
      </c>
      <c r="W287" s="163" t="s">
        <v>112</v>
      </c>
      <c r="X287" s="163" t="s">
        <v>112</v>
      </c>
      <c r="Y287" s="163" t="s">
        <v>112</v>
      </c>
      <c r="Z287" s="8" t="s">
        <v>69</v>
      </c>
      <c r="AA287" s="23" t="s">
        <v>115</v>
      </c>
      <c r="AB287" s="8" t="s">
        <v>222</v>
      </c>
      <c r="AC287" s="70"/>
      <c r="AD287" s="70"/>
      <c r="AE287" s="24"/>
      <c r="AF287" s="70"/>
      <c r="AG287" s="70"/>
      <c r="AH287" s="70"/>
      <c r="AI287" s="70"/>
      <c r="AJ287" s="70"/>
      <c r="AK287" s="70"/>
      <c r="AL287" s="70"/>
      <c r="AM287" s="24"/>
      <c r="AN287" s="70"/>
      <c r="AO287" s="70"/>
      <c r="AP287" s="70"/>
      <c r="AQ287" s="70"/>
      <c r="AR287" s="70"/>
      <c r="AS287" s="70"/>
      <c r="AT287" s="70"/>
      <c r="AU287" s="70"/>
      <c r="AV287" s="70"/>
      <c r="AW287" s="70"/>
      <c r="AX287" s="70"/>
      <c r="AY287" s="70"/>
      <c r="AZ287" s="70"/>
      <c r="BA287" s="70"/>
      <c r="BB287" s="70"/>
      <c r="BC287" s="70"/>
      <c r="BD287" s="70"/>
      <c r="BE287" s="70"/>
      <c r="BF287" s="70"/>
      <c r="BG287" s="70"/>
      <c r="BH287" s="70"/>
      <c r="BI287" s="70"/>
      <c r="BJ287" s="70"/>
      <c r="BK287" s="70"/>
      <c r="BL287" s="70"/>
      <c r="BM287" s="70"/>
      <c r="BN287" s="70"/>
      <c r="BO287" s="70"/>
      <c r="BP287" s="70"/>
      <c r="BQ287" s="70"/>
      <c r="BR287" s="70"/>
      <c r="BS287" s="70"/>
      <c r="BT287" s="70"/>
      <c r="BU287" s="70"/>
      <c r="BV287" s="70"/>
      <c r="BW287" s="70"/>
      <c r="BX287" s="70"/>
      <c r="BY287" s="70"/>
    </row>
    <row r="288" ht="15.75" customHeight="1">
      <c r="A288" s="8">
        <v>786.0</v>
      </c>
      <c r="B288" s="158" t="s">
        <v>1328</v>
      </c>
      <c r="C288" s="158" t="s">
        <v>57</v>
      </c>
      <c r="D288" s="158" t="s">
        <v>213</v>
      </c>
      <c r="E288" s="158" t="s">
        <v>112</v>
      </c>
      <c r="F288" s="205">
        <v>42797.0</v>
      </c>
      <c r="G288" s="161">
        <v>42795.0</v>
      </c>
      <c r="H288" s="20" t="str">
        <f t="shared" si="20"/>
        <v>2017</v>
      </c>
      <c r="I288" s="8" t="s">
        <v>176</v>
      </c>
      <c r="J288" s="158" t="s">
        <v>112</v>
      </c>
      <c r="K288" s="158" t="s">
        <v>112</v>
      </c>
      <c r="L288" s="158" t="s">
        <v>100</v>
      </c>
      <c r="M288" s="190" t="s">
        <v>1329</v>
      </c>
      <c r="N288" s="158" t="s">
        <v>1330</v>
      </c>
      <c r="O288" s="8" t="s">
        <v>1331</v>
      </c>
      <c r="P288" s="158" t="s">
        <v>106</v>
      </c>
      <c r="Q288" s="158" t="s">
        <v>112</v>
      </c>
      <c r="R288" s="158">
        <v>410736.0</v>
      </c>
      <c r="S288" s="158">
        <v>9736216.0</v>
      </c>
      <c r="T288" s="158" t="s">
        <v>1332</v>
      </c>
      <c r="U288" s="158" t="s">
        <v>1333</v>
      </c>
      <c r="V288" s="158" t="s">
        <v>1334</v>
      </c>
      <c r="W288" s="158" t="s">
        <v>112</v>
      </c>
      <c r="X288" s="158" t="s">
        <v>112</v>
      </c>
      <c r="Y288" s="158" t="s">
        <v>112</v>
      </c>
      <c r="Z288" s="8" t="s">
        <v>148</v>
      </c>
      <c r="AA288" s="23" t="s">
        <v>144</v>
      </c>
      <c r="AB288" s="8"/>
      <c r="AC288" s="70"/>
      <c r="AD288" s="70"/>
      <c r="AE288" s="24"/>
      <c r="AF288" s="70"/>
      <c r="AG288" s="70"/>
      <c r="AH288" s="70"/>
      <c r="AI288" s="70"/>
      <c r="AJ288" s="70"/>
      <c r="AK288" s="70"/>
      <c r="AL288" s="70"/>
      <c r="AM288" s="24"/>
      <c r="AN288" s="70"/>
      <c r="AO288" s="70"/>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c r="BQ288" s="70"/>
      <c r="BR288" s="70"/>
      <c r="BS288" s="70"/>
      <c r="BT288" s="70"/>
      <c r="BU288" s="70"/>
      <c r="BV288" s="70"/>
      <c r="BW288" s="70"/>
      <c r="BX288" s="70"/>
      <c r="BY288" s="70"/>
    </row>
    <row r="289" ht="15.75" customHeight="1">
      <c r="A289" s="8">
        <v>637.0</v>
      </c>
      <c r="B289" s="163" t="s">
        <v>1335</v>
      </c>
      <c r="C289" s="167" t="s">
        <v>48</v>
      </c>
      <c r="D289" s="163" t="s">
        <v>112</v>
      </c>
      <c r="E289" s="163" t="s">
        <v>112</v>
      </c>
      <c r="F289" s="177">
        <v>42313.0</v>
      </c>
      <c r="G289" s="169">
        <v>42309.0</v>
      </c>
      <c r="H289" s="42" t="str">
        <f t="shared" si="20"/>
        <v>2015</v>
      </c>
      <c r="I289" s="8" t="s">
        <v>186</v>
      </c>
      <c r="J289" s="163" t="s">
        <v>112</v>
      </c>
      <c r="K289" s="163" t="s">
        <v>112</v>
      </c>
      <c r="L289" s="167" t="s">
        <v>1336</v>
      </c>
      <c r="M289" s="168" t="s">
        <v>177</v>
      </c>
      <c r="N289" s="163" t="s">
        <v>1337</v>
      </c>
      <c r="O289" s="8" t="s">
        <v>1338</v>
      </c>
      <c r="P289" s="163" t="s">
        <v>106</v>
      </c>
      <c r="Q289" s="163" t="s">
        <v>112</v>
      </c>
      <c r="R289" s="158">
        <v>411539.3</v>
      </c>
      <c r="S289" s="158">
        <v>9667008.3</v>
      </c>
      <c r="T289" s="167">
        <v>-75.79604129</v>
      </c>
      <c r="U289" s="167">
        <v>-3.0123599</v>
      </c>
      <c r="V289" s="167" t="s">
        <v>1339</v>
      </c>
      <c r="W289" s="163" t="s">
        <v>112</v>
      </c>
      <c r="X289" s="163">
        <v>0.0</v>
      </c>
      <c r="Y289" s="163" t="s">
        <v>112</v>
      </c>
      <c r="Z289" s="8" t="s">
        <v>69</v>
      </c>
      <c r="AA289" s="23" t="s">
        <v>115</v>
      </c>
      <c r="AB289" s="8"/>
      <c r="AC289" s="70"/>
      <c r="AD289" s="70"/>
      <c r="AE289" s="24"/>
      <c r="AF289" s="70"/>
      <c r="AG289" s="70"/>
      <c r="AH289" s="70"/>
      <c r="AI289" s="70"/>
      <c r="AJ289" s="70"/>
      <c r="AK289" s="70"/>
      <c r="AL289" s="70"/>
      <c r="AM289" s="24"/>
      <c r="AN289" s="70"/>
      <c r="AO289" s="70"/>
      <c r="AP289" s="70"/>
      <c r="AQ289" s="70"/>
      <c r="AR289" s="70"/>
      <c r="AS289" s="70"/>
      <c r="AT289" s="70"/>
      <c r="AU289" s="70"/>
      <c r="AV289" s="70"/>
      <c r="AW289" s="70"/>
      <c r="AX289" s="70"/>
      <c r="AY289" s="70"/>
      <c r="AZ289" s="70"/>
      <c r="BA289" s="70"/>
      <c r="BB289" s="70"/>
      <c r="BC289" s="70"/>
      <c r="BD289" s="70"/>
      <c r="BE289" s="70"/>
      <c r="BF289" s="70"/>
      <c r="BG289" s="70"/>
      <c r="BH289" s="70"/>
      <c r="BI289" s="70"/>
      <c r="BJ289" s="70"/>
      <c r="BK289" s="70"/>
      <c r="BL289" s="70"/>
      <c r="BM289" s="70"/>
      <c r="BN289" s="70"/>
      <c r="BO289" s="70"/>
      <c r="BP289" s="70"/>
      <c r="BQ289" s="70"/>
      <c r="BR289" s="70"/>
      <c r="BS289" s="70"/>
      <c r="BT289" s="70"/>
      <c r="BU289" s="70"/>
      <c r="BV289" s="70"/>
      <c r="BW289" s="70"/>
      <c r="BX289" s="70"/>
      <c r="BY289" s="70"/>
    </row>
    <row r="290" ht="15.75" customHeight="1">
      <c r="A290" s="8">
        <v>636.0</v>
      </c>
      <c r="B290" s="163" t="s">
        <v>1340</v>
      </c>
      <c r="C290" s="167" t="s">
        <v>48</v>
      </c>
      <c r="D290" s="163" t="s">
        <v>112</v>
      </c>
      <c r="E290" s="163" t="s">
        <v>112</v>
      </c>
      <c r="F290" s="177">
        <v>42313.0</v>
      </c>
      <c r="G290" s="169">
        <v>42309.0</v>
      </c>
      <c r="H290" s="42" t="str">
        <f t="shared" si="20"/>
        <v>2015</v>
      </c>
      <c r="I290" s="8" t="s">
        <v>176</v>
      </c>
      <c r="J290" s="163" t="s">
        <v>112</v>
      </c>
      <c r="K290" s="163" t="s">
        <v>112</v>
      </c>
      <c r="L290" s="167" t="s">
        <v>1336</v>
      </c>
      <c r="M290" s="168" t="s">
        <v>177</v>
      </c>
      <c r="N290" s="163" t="s">
        <v>1341</v>
      </c>
      <c r="O290" s="8" t="s">
        <v>1342</v>
      </c>
      <c r="P290" s="163" t="s">
        <v>106</v>
      </c>
      <c r="Q290" s="163" t="s">
        <v>112</v>
      </c>
      <c r="R290" s="158">
        <v>411542.4</v>
      </c>
      <c r="S290" s="158">
        <v>9667048.2</v>
      </c>
      <c r="T290" s="214">
        <v>-75.79601292</v>
      </c>
      <c r="U290" s="214">
        <v>-3.01199949</v>
      </c>
      <c r="V290" s="167" t="s">
        <v>1339</v>
      </c>
      <c r="W290" s="163" t="s">
        <v>112</v>
      </c>
      <c r="X290" s="163" t="s">
        <v>112</v>
      </c>
      <c r="Y290" s="163" t="s">
        <v>112</v>
      </c>
      <c r="Z290" s="8" t="s">
        <v>69</v>
      </c>
      <c r="AA290" s="23" t="s">
        <v>115</v>
      </c>
      <c r="AB290" s="8"/>
      <c r="AC290" s="70"/>
      <c r="AD290" s="70"/>
      <c r="AE290" s="24"/>
      <c r="AF290" s="70"/>
      <c r="AG290" s="70"/>
      <c r="AH290" s="70"/>
      <c r="AI290" s="70"/>
      <c r="AJ290" s="70"/>
      <c r="AK290" s="70"/>
      <c r="AL290" s="70"/>
      <c r="AM290" s="24"/>
      <c r="AN290" s="70"/>
      <c r="AO290" s="70"/>
      <c r="AP290" s="70"/>
      <c r="AQ290" s="70"/>
      <c r="AR290" s="70"/>
      <c r="AS290" s="70"/>
      <c r="AT290" s="70"/>
      <c r="AU290" s="70"/>
      <c r="AV290" s="70"/>
      <c r="AW290" s="70"/>
      <c r="AX290" s="70"/>
      <c r="AY290" s="70"/>
      <c r="AZ290" s="70"/>
      <c r="BA290" s="70"/>
      <c r="BB290" s="70"/>
      <c r="BC290" s="70"/>
      <c r="BD290" s="70"/>
      <c r="BE290" s="70"/>
      <c r="BF290" s="70"/>
      <c r="BG290" s="70"/>
      <c r="BH290" s="70"/>
      <c r="BI290" s="70"/>
      <c r="BJ290" s="70"/>
      <c r="BK290" s="70"/>
      <c r="BL290" s="70"/>
      <c r="BM290" s="70"/>
      <c r="BN290" s="70"/>
      <c r="BO290" s="70"/>
      <c r="BP290" s="70"/>
      <c r="BQ290" s="70"/>
      <c r="BR290" s="70"/>
      <c r="BS290" s="70"/>
      <c r="BT290" s="70"/>
      <c r="BU290" s="70"/>
      <c r="BV290" s="70"/>
      <c r="BW290" s="70"/>
      <c r="BX290" s="70"/>
      <c r="BY290" s="70"/>
    </row>
    <row r="291" ht="15.75" customHeight="1">
      <c r="A291" s="8">
        <v>691.0</v>
      </c>
      <c r="B291" s="163" t="s">
        <v>1343</v>
      </c>
      <c r="C291" s="167" t="s">
        <v>51</v>
      </c>
      <c r="D291" s="163" t="s">
        <v>213</v>
      </c>
      <c r="E291" s="163" t="s">
        <v>112</v>
      </c>
      <c r="F291" s="189" t="s">
        <v>1113</v>
      </c>
      <c r="G291" s="169">
        <v>42430.0</v>
      </c>
      <c r="H291" s="42" t="str">
        <f t="shared" si="20"/>
        <v>2016</v>
      </c>
      <c r="I291" s="8" t="s">
        <v>63</v>
      </c>
      <c r="J291" s="163" t="s">
        <v>112</v>
      </c>
      <c r="K291" s="163" t="s">
        <v>112</v>
      </c>
      <c r="L291" s="163" t="s">
        <v>100</v>
      </c>
      <c r="M291" s="173" t="s">
        <v>112</v>
      </c>
      <c r="N291" s="163" t="s">
        <v>1344</v>
      </c>
      <c r="O291" s="8" t="s">
        <v>1345</v>
      </c>
      <c r="P291" s="163" t="s">
        <v>106</v>
      </c>
      <c r="Q291" s="163" t="s">
        <v>112</v>
      </c>
      <c r="R291" s="163">
        <v>412378.0</v>
      </c>
      <c r="S291" s="163">
        <v>9739702.0</v>
      </c>
      <c r="T291" s="163">
        <v>-75.78801356</v>
      </c>
      <c r="U291" s="163">
        <v>-2.35477713</v>
      </c>
      <c r="V291" s="167" t="s">
        <v>221</v>
      </c>
      <c r="W291" s="163" t="s">
        <v>112</v>
      </c>
      <c r="X291" s="163" t="s">
        <v>112</v>
      </c>
      <c r="Y291" s="163" t="s">
        <v>112</v>
      </c>
      <c r="Z291" s="8" t="s">
        <v>69</v>
      </c>
      <c r="AA291" s="23" t="s">
        <v>115</v>
      </c>
      <c r="AB291" s="8" t="s">
        <v>378</v>
      </c>
      <c r="AC291" s="70"/>
      <c r="AD291" s="70"/>
      <c r="AE291" s="24"/>
      <c r="AF291" s="70"/>
      <c r="AG291" s="70"/>
      <c r="AH291" s="70"/>
      <c r="AI291" s="70"/>
      <c r="AJ291" s="70"/>
      <c r="AK291" s="70"/>
      <c r="AL291" s="70"/>
      <c r="AM291" s="24"/>
      <c r="AN291" s="70"/>
      <c r="AO291" s="70"/>
      <c r="AP291" s="70"/>
      <c r="AQ291" s="70"/>
      <c r="AR291" s="70"/>
      <c r="AS291" s="70"/>
      <c r="AT291" s="70"/>
      <c r="AU291" s="70"/>
      <c r="AV291" s="70"/>
      <c r="AW291" s="70"/>
      <c r="AX291" s="70"/>
      <c r="AY291" s="70"/>
      <c r="AZ291" s="70"/>
      <c r="BA291" s="70"/>
      <c r="BB291" s="70"/>
      <c r="BC291" s="70"/>
      <c r="BD291" s="70"/>
      <c r="BE291" s="70"/>
      <c r="BF291" s="70"/>
      <c r="BG291" s="70"/>
      <c r="BH291" s="70"/>
      <c r="BI291" s="70"/>
      <c r="BJ291" s="70"/>
      <c r="BK291" s="70"/>
      <c r="BL291" s="70"/>
      <c r="BM291" s="70"/>
      <c r="BN291" s="70"/>
      <c r="BO291" s="70"/>
      <c r="BP291" s="70"/>
      <c r="BQ291" s="70"/>
      <c r="BR291" s="70"/>
      <c r="BS291" s="70"/>
      <c r="BT291" s="70"/>
      <c r="BU291" s="70"/>
      <c r="BV291" s="70"/>
      <c r="BW291" s="70"/>
      <c r="BX291" s="70"/>
      <c r="BY291" s="70"/>
    </row>
    <row r="292" ht="15.75" customHeight="1">
      <c r="A292" s="8">
        <v>692.0</v>
      </c>
      <c r="B292" s="163" t="s">
        <v>1346</v>
      </c>
      <c r="C292" s="167" t="s">
        <v>51</v>
      </c>
      <c r="D292" s="163" t="s">
        <v>213</v>
      </c>
      <c r="E292" s="163" t="s">
        <v>112</v>
      </c>
      <c r="F292" s="189" t="s">
        <v>1113</v>
      </c>
      <c r="G292" s="169">
        <v>42430.0</v>
      </c>
      <c r="H292" s="42" t="str">
        <f t="shared" si="20"/>
        <v>2016</v>
      </c>
      <c r="I292" s="8" t="s">
        <v>63</v>
      </c>
      <c r="J292" s="163" t="s">
        <v>112</v>
      </c>
      <c r="K292" s="163" t="s">
        <v>112</v>
      </c>
      <c r="L292" s="163" t="s">
        <v>100</v>
      </c>
      <c r="M292" s="173" t="s">
        <v>112</v>
      </c>
      <c r="N292" s="163" t="s">
        <v>1347</v>
      </c>
      <c r="O292" s="8" t="s">
        <v>1345</v>
      </c>
      <c r="P292" s="163" t="s">
        <v>106</v>
      </c>
      <c r="Q292" s="163" t="s">
        <v>112</v>
      </c>
      <c r="R292" s="163">
        <v>412378.0</v>
      </c>
      <c r="S292" s="163">
        <v>9739702.0</v>
      </c>
      <c r="T292" s="163">
        <v>-75.78809334</v>
      </c>
      <c r="U292" s="163">
        <v>-2.35479664</v>
      </c>
      <c r="V292" s="167" t="s">
        <v>221</v>
      </c>
      <c r="W292" s="163" t="s">
        <v>112</v>
      </c>
      <c r="X292" s="163" t="s">
        <v>112</v>
      </c>
      <c r="Y292" s="163" t="s">
        <v>112</v>
      </c>
      <c r="Z292" s="8" t="s">
        <v>69</v>
      </c>
      <c r="AA292" s="23" t="s">
        <v>115</v>
      </c>
      <c r="AB292" s="8" t="s">
        <v>378</v>
      </c>
      <c r="AC292" s="70"/>
      <c r="AD292" s="70"/>
      <c r="AE292" s="24"/>
      <c r="AF292" s="70"/>
      <c r="AG292" s="70"/>
      <c r="AH292" s="70"/>
      <c r="AI292" s="70"/>
      <c r="AJ292" s="70"/>
      <c r="AK292" s="70"/>
      <c r="AL292" s="70"/>
      <c r="AM292" s="24"/>
      <c r="AN292" s="70"/>
      <c r="AO292" s="70"/>
      <c r="AP292" s="70"/>
      <c r="AQ292" s="70"/>
      <c r="AR292" s="70"/>
      <c r="AS292" s="70"/>
      <c r="AT292" s="70"/>
      <c r="AU292" s="70"/>
      <c r="AV292" s="70"/>
      <c r="AW292" s="70"/>
      <c r="AX292" s="70"/>
      <c r="AY292" s="70"/>
      <c r="AZ292" s="70"/>
      <c r="BA292" s="70"/>
      <c r="BB292" s="70"/>
      <c r="BC292" s="70"/>
      <c r="BD292" s="70"/>
      <c r="BE292" s="70"/>
      <c r="BF292" s="70"/>
      <c r="BG292" s="70"/>
      <c r="BH292" s="70"/>
      <c r="BI292" s="70"/>
      <c r="BJ292" s="70"/>
      <c r="BK292" s="70"/>
      <c r="BL292" s="70"/>
      <c r="BM292" s="70"/>
      <c r="BN292" s="70"/>
      <c r="BO292" s="70"/>
      <c r="BP292" s="70"/>
      <c r="BQ292" s="70"/>
      <c r="BR292" s="70"/>
      <c r="BS292" s="70"/>
      <c r="BT292" s="70"/>
      <c r="BU292" s="70"/>
      <c r="BV292" s="70"/>
      <c r="BW292" s="70"/>
      <c r="BX292" s="70"/>
      <c r="BY292" s="70"/>
    </row>
    <row r="293" ht="15.75" customHeight="1">
      <c r="A293" s="8">
        <v>512.0</v>
      </c>
      <c r="B293" s="158" t="s">
        <v>1348</v>
      </c>
      <c r="C293" s="156" t="s">
        <v>52</v>
      </c>
      <c r="D293" s="158" t="s">
        <v>1349</v>
      </c>
      <c r="E293" s="158" t="s">
        <v>112</v>
      </c>
      <c r="F293" s="215">
        <v>41604.0</v>
      </c>
      <c r="G293" s="161">
        <v>41579.0</v>
      </c>
      <c r="H293" s="20" t="str">
        <f t="shared" si="20"/>
        <v>2013</v>
      </c>
      <c r="I293" s="8" t="s">
        <v>186</v>
      </c>
      <c r="J293" s="158" t="s">
        <v>112</v>
      </c>
      <c r="K293" s="158" t="s">
        <v>112</v>
      </c>
      <c r="L293" s="158" t="s">
        <v>1336</v>
      </c>
      <c r="M293" s="211" t="s">
        <v>177</v>
      </c>
      <c r="N293" s="158" t="s">
        <v>1350</v>
      </c>
      <c r="O293" s="23" t="s">
        <v>1351</v>
      </c>
      <c r="P293" s="158" t="s">
        <v>106</v>
      </c>
      <c r="Q293" s="158" t="s">
        <v>112</v>
      </c>
      <c r="R293" s="158">
        <v>414667.0</v>
      </c>
      <c r="S293" s="158">
        <v>9653199.0</v>
      </c>
      <c r="T293" s="162">
        <v>-3.1373027</v>
      </c>
      <c r="U293" s="162">
        <v>-75.767986</v>
      </c>
      <c r="V293" s="158" t="s">
        <v>112</v>
      </c>
      <c r="W293" s="158" t="s">
        <v>112</v>
      </c>
      <c r="X293" s="158">
        <v>0.0</v>
      </c>
      <c r="Y293" s="158" t="s">
        <v>112</v>
      </c>
      <c r="Z293" s="8" t="s">
        <v>149</v>
      </c>
      <c r="AA293" s="23" t="s">
        <v>115</v>
      </c>
      <c r="AB293" s="8"/>
      <c r="AC293" s="70"/>
      <c r="AD293" s="70"/>
      <c r="AE293" s="24"/>
      <c r="AF293" s="70"/>
      <c r="AG293" s="70"/>
      <c r="AH293" s="70"/>
      <c r="AI293" s="70"/>
      <c r="AJ293" s="70"/>
      <c r="AK293" s="70"/>
      <c r="AL293" s="70"/>
      <c r="AM293" s="24"/>
      <c r="AN293" s="70"/>
      <c r="AO293" s="70"/>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c r="BQ293" s="70"/>
      <c r="BR293" s="70"/>
      <c r="BS293" s="70"/>
      <c r="BT293" s="70"/>
      <c r="BU293" s="70"/>
      <c r="BV293" s="70"/>
      <c r="BW293" s="70"/>
      <c r="BX293" s="70"/>
      <c r="BY293" s="70"/>
    </row>
    <row r="294" ht="15.75" customHeight="1">
      <c r="A294" s="8">
        <v>513.0</v>
      </c>
      <c r="B294" s="158" t="s">
        <v>1352</v>
      </c>
      <c r="C294" s="156" t="s">
        <v>52</v>
      </c>
      <c r="D294" s="158" t="s">
        <v>1349</v>
      </c>
      <c r="E294" s="158" t="s">
        <v>112</v>
      </c>
      <c r="F294" s="215">
        <v>41604.0</v>
      </c>
      <c r="G294" s="161">
        <v>41579.0</v>
      </c>
      <c r="H294" s="20" t="str">
        <f t="shared" si="20"/>
        <v>2013</v>
      </c>
      <c r="I294" s="8" t="s">
        <v>186</v>
      </c>
      <c r="J294" s="158" t="s">
        <v>112</v>
      </c>
      <c r="K294" s="158" t="s">
        <v>112</v>
      </c>
      <c r="L294" s="158" t="s">
        <v>1336</v>
      </c>
      <c r="M294" s="211" t="s">
        <v>177</v>
      </c>
      <c r="N294" s="158" t="s">
        <v>1353</v>
      </c>
      <c r="O294" s="8" t="s">
        <v>1354</v>
      </c>
      <c r="P294" s="158" t="s">
        <v>106</v>
      </c>
      <c r="Q294" s="158" t="s">
        <v>112</v>
      </c>
      <c r="R294" s="158">
        <v>414667.0</v>
      </c>
      <c r="S294" s="158">
        <v>9653229.0</v>
      </c>
      <c r="T294" s="162">
        <v>-3.1370313</v>
      </c>
      <c r="U294" s="162">
        <v>-75.767986</v>
      </c>
      <c r="V294" s="158" t="s">
        <v>112</v>
      </c>
      <c r="W294" s="158" t="s">
        <v>112</v>
      </c>
      <c r="X294" s="158">
        <v>0.0</v>
      </c>
      <c r="Y294" s="158" t="s">
        <v>112</v>
      </c>
      <c r="Z294" s="8" t="s">
        <v>149</v>
      </c>
      <c r="AA294" s="23" t="s">
        <v>115</v>
      </c>
      <c r="AB294" s="8"/>
      <c r="AC294" s="70"/>
      <c r="AD294" s="70"/>
      <c r="AE294" s="24"/>
      <c r="AF294" s="70"/>
      <c r="AG294" s="70"/>
      <c r="AH294" s="70"/>
      <c r="AI294" s="70"/>
      <c r="AJ294" s="70"/>
      <c r="AK294" s="70"/>
      <c r="AL294" s="70"/>
      <c r="AM294" s="24"/>
      <c r="AN294" s="70"/>
      <c r="AO294" s="70"/>
      <c r="AP294" s="70"/>
      <c r="AQ294" s="70"/>
      <c r="AR294" s="70"/>
      <c r="AS294" s="70"/>
      <c r="AT294" s="70"/>
      <c r="AU294" s="70"/>
      <c r="AV294" s="70"/>
      <c r="AW294" s="70"/>
      <c r="AX294" s="70"/>
      <c r="AY294" s="70"/>
      <c r="AZ294" s="70"/>
      <c r="BA294" s="70"/>
      <c r="BB294" s="70"/>
      <c r="BC294" s="70"/>
      <c r="BD294" s="70"/>
      <c r="BE294" s="70"/>
      <c r="BF294" s="70"/>
      <c r="BG294" s="70"/>
      <c r="BH294" s="70"/>
      <c r="BI294" s="70"/>
      <c r="BJ294" s="70"/>
      <c r="BK294" s="70"/>
      <c r="BL294" s="70"/>
      <c r="BM294" s="70"/>
      <c r="BN294" s="70"/>
      <c r="BO294" s="70"/>
      <c r="BP294" s="70"/>
      <c r="BQ294" s="70"/>
      <c r="BR294" s="70"/>
      <c r="BS294" s="70"/>
      <c r="BT294" s="70"/>
      <c r="BU294" s="70"/>
      <c r="BV294" s="70"/>
      <c r="BW294" s="70"/>
      <c r="BX294" s="70"/>
      <c r="BY294" s="70"/>
    </row>
    <row r="295" ht="15.75" customHeight="1">
      <c r="A295" s="8">
        <v>557.0</v>
      </c>
      <c r="B295" s="188" t="s">
        <v>1355</v>
      </c>
      <c r="C295" s="156" t="s">
        <v>48</v>
      </c>
      <c r="D295" s="157" t="s">
        <v>112</v>
      </c>
      <c r="E295" s="158" t="s">
        <v>112</v>
      </c>
      <c r="F295" s="159">
        <v>41699.0</v>
      </c>
      <c r="G295" s="160">
        <v>41699.0</v>
      </c>
      <c r="H295" s="20" t="str">
        <f t="shared" si="20"/>
        <v>2014</v>
      </c>
      <c r="I295" s="8" t="s">
        <v>186</v>
      </c>
      <c r="J295" s="157" t="s">
        <v>112</v>
      </c>
      <c r="K295" s="157" t="s">
        <v>112</v>
      </c>
      <c r="L295" s="156" t="s">
        <v>762</v>
      </c>
      <c r="M295" s="190" t="s">
        <v>763</v>
      </c>
      <c r="N295" s="158" t="s">
        <v>1356</v>
      </c>
      <c r="O295" s="8" t="s">
        <v>1357</v>
      </c>
      <c r="P295" s="158" t="s">
        <v>106</v>
      </c>
      <c r="Q295" s="157" t="s">
        <v>112</v>
      </c>
      <c r="R295" s="156">
        <v>418422.0</v>
      </c>
      <c r="S295" s="156">
        <v>9653652.0</v>
      </c>
      <c r="T295" s="162">
        <v>-3.1332291</v>
      </c>
      <c r="U295" s="162">
        <v>-75.73419</v>
      </c>
      <c r="V295" s="156" t="s">
        <v>1358</v>
      </c>
      <c r="W295" s="157" t="s">
        <v>112</v>
      </c>
      <c r="X295" s="157" t="s">
        <v>112</v>
      </c>
      <c r="Y295" s="157" t="s">
        <v>112</v>
      </c>
      <c r="Z295" s="8" t="s">
        <v>149</v>
      </c>
      <c r="AA295" s="23" t="s">
        <v>115</v>
      </c>
      <c r="AB295" s="8"/>
      <c r="AC295" s="70"/>
      <c r="AD295" s="70"/>
      <c r="AE295" s="24"/>
      <c r="AF295" s="70"/>
      <c r="AG295" s="70"/>
      <c r="AH295" s="70"/>
      <c r="AI295" s="70"/>
      <c r="AJ295" s="70"/>
      <c r="AK295" s="70"/>
      <c r="AL295" s="70"/>
      <c r="AM295" s="24"/>
      <c r="AN295" s="70"/>
      <c r="AO295" s="70"/>
      <c r="AP295" s="70"/>
      <c r="AQ295" s="70"/>
      <c r="AR295" s="70"/>
      <c r="AS295" s="70"/>
      <c r="AT295" s="70"/>
      <c r="AU295" s="70"/>
      <c r="AV295" s="70"/>
      <c r="AW295" s="70"/>
      <c r="AX295" s="70"/>
      <c r="AY295" s="70"/>
      <c r="AZ295" s="70"/>
      <c r="BA295" s="70"/>
      <c r="BB295" s="70"/>
      <c r="BC295" s="70"/>
      <c r="BD295" s="70"/>
      <c r="BE295" s="70"/>
      <c r="BF295" s="70"/>
      <c r="BG295" s="70"/>
      <c r="BH295" s="70"/>
      <c r="BI295" s="70"/>
      <c r="BJ295" s="70"/>
      <c r="BK295" s="70"/>
      <c r="BL295" s="70"/>
      <c r="BM295" s="70"/>
      <c r="BN295" s="70"/>
      <c r="BO295" s="70"/>
      <c r="BP295" s="70"/>
      <c r="BQ295" s="70"/>
      <c r="BR295" s="70"/>
      <c r="BS295" s="70"/>
      <c r="BT295" s="70"/>
      <c r="BU295" s="70"/>
      <c r="BV295" s="70"/>
      <c r="BW295" s="70"/>
      <c r="BX295" s="70"/>
      <c r="BY295" s="70"/>
    </row>
    <row r="296" ht="15.75" customHeight="1">
      <c r="A296" s="8">
        <v>516.0</v>
      </c>
      <c r="B296" s="158" t="s">
        <v>1359</v>
      </c>
      <c r="C296" s="156" t="s">
        <v>52</v>
      </c>
      <c r="D296" s="158" t="s">
        <v>1349</v>
      </c>
      <c r="E296" s="158" t="s">
        <v>112</v>
      </c>
      <c r="F296" s="215">
        <v>41604.0</v>
      </c>
      <c r="G296" s="161">
        <v>41579.0</v>
      </c>
      <c r="H296" s="20" t="str">
        <f t="shared" si="20"/>
        <v>2013</v>
      </c>
      <c r="I296" s="8" t="s">
        <v>186</v>
      </c>
      <c r="J296" s="158" t="s">
        <v>112</v>
      </c>
      <c r="K296" s="158" t="s">
        <v>112</v>
      </c>
      <c r="L296" s="158" t="s">
        <v>1336</v>
      </c>
      <c r="M296" s="211" t="s">
        <v>177</v>
      </c>
      <c r="N296" s="158" t="s">
        <v>1350</v>
      </c>
      <c r="O296" s="8" t="s">
        <v>1360</v>
      </c>
      <c r="P296" s="158" t="s">
        <v>106</v>
      </c>
      <c r="Q296" s="158" t="s">
        <v>112</v>
      </c>
      <c r="R296" s="158">
        <v>418452.0</v>
      </c>
      <c r="S296" s="158">
        <v>9649255.0</v>
      </c>
      <c r="T296" s="162">
        <v>-3.1730059</v>
      </c>
      <c r="U296" s="162">
        <v>-75.733948</v>
      </c>
      <c r="V296" s="158" t="s">
        <v>112</v>
      </c>
      <c r="W296" s="158" t="s">
        <v>112</v>
      </c>
      <c r="X296" s="158">
        <v>0.0</v>
      </c>
      <c r="Y296" s="158" t="s">
        <v>112</v>
      </c>
      <c r="Z296" s="8" t="s">
        <v>149</v>
      </c>
      <c r="AA296" s="23" t="s">
        <v>115</v>
      </c>
      <c r="AB296" s="8"/>
      <c r="AC296" s="70"/>
      <c r="AD296" s="70"/>
      <c r="AE296" s="24"/>
      <c r="AF296" s="70"/>
      <c r="AG296" s="70"/>
      <c r="AH296" s="70"/>
      <c r="AI296" s="70"/>
      <c r="AJ296" s="70"/>
      <c r="AK296" s="70"/>
      <c r="AL296" s="70"/>
      <c r="AM296" s="24"/>
      <c r="AN296" s="70"/>
      <c r="AO296" s="70"/>
      <c r="AP296" s="70"/>
      <c r="AQ296" s="70"/>
      <c r="AR296" s="70"/>
      <c r="AS296" s="70"/>
      <c r="AT296" s="70"/>
      <c r="AU296" s="70"/>
      <c r="AV296" s="70"/>
      <c r="AW296" s="70"/>
      <c r="AX296" s="70"/>
      <c r="AY296" s="70"/>
      <c r="AZ296" s="70"/>
      <c r="BA296" s="70"/>
      <c r="BB296" s="70"/>
      <c r="BC296" s="70"/>
      <c r="BD296" s="70"/>
      <c r="BE296" s="70"/>
      <c r="BF296" s="70"/>
      <c r="BG296" s="70"/>
      <c r="BH296" s="70"/>
      <c r="BI296" s="70"/>
      <c r="BJ296" s="70"/>
      <c r="BK296" s="70"/>
      <c r="BL296" s="70"/>
      <c r="BM296" s="70"/>
      <c r="BN296" s="70"/>
      <c r="BO296" s="70"/>
      <c r="BP296" s="70"/>
      <c r="BQ296" s="70"/>
      <c r="BR296" s="70"/>
      <c r="BS296" s="70"/>
      <c r="BT296" s="70"/>
      <c r="BU296" s="70"/>
      <c r="BV296" s="70"/>
      <c r="BW296" s="70"/>
      <c r="BX296" s="70"/>
      <c r="BY296" s="70"/>
    </row>
    <row r="297" ht="15.75" customHeight="1">
      <c r="A297" s="8">
        <v>471.0</v>
      </c>
      <c r="B297" s="157" t="s">
        <v>1361</v>
      </c>
      <c r="C297" s="158" t="s">
        <v>52</v>
      </c>
      <c r="D297" s="157" t="s">
        <v>941</v>
      </c>
      <c r="E297" s="158" t="s">
        <v>112</v>
      </c>
      <c r="F297" s="216" t="s">
        <v>1362</v>
      </c>
      <c r="G297" s="160">
        <v>40725.0</v>
      </c>
      <c r="H297" s="95" t="str">
        <f t="shared" si="20"/>
        <v>2011</v>
      </c>
      <c r="I297" s="8" t="s">
        <v>176</v>
      </c>
      <c r="J297" s="158" t="s">
        <v>112</v>
      </c>
      <c r="K297" s="158" t="s">
        <v>112</v>
      </c>
      <c r="L297" s="157" t="s">
        <v>1336</v>
      </c>
      <c r="M297" s="157" t="s">
        <v>177</v>
      </c>
      <c r="N297" s="157" t="s">
        <v>1363</v>
      </c>
      <c r="O297" s="8" t="s">
        <v>1364</v>
      </c>
      <c r="P297" s="158" t="s">
        <v>106</v>
      </c>
      <c r="Q297" s="158" t="s">
        <v>112</v>
      </c>
      <c r="R297" s="158">
        <v>418531.0</v>
      </c>
      <c r="S297" s="157">
        <v>9649224.0</v>
      </c>
      <c r="T297" s="217">
        <v>-3.1732868</v>
      </c>
      <c r="U297" s="217">
        <v>-75.733238</v>
      </c>
      <c r="V297" s="156" t="s">
        <v>480</v>
      </c>
      <c r="W297" s="158" t="s">
        <v>112</v>
      </c>
      <c r="X297" s="157">
        <v>1.0</v>
      </c>
      <c r="Y297" s="157" t="s">
        <v>1365</v>
      </c>
      <c r="Z297" s="8" t="s">
        <v>149</v>
      </c>
      <c r="AA297" s="23" t="s">
        <v>115</v>
      </c>
      <c r="AB297" s="8"/>
      <c r="AC297" s="70"/>
      <c r="AD297" s="70"/>
      <c r="AE297" s="24"/>
      <c r="AF297" s="70"/>
      <c r="AG297" s="70"/>
      <c r="AH297" s="70"/>
      <c r="AI297" s="70"/>
      <c r="AJ297" s="70"/>
      <c r="AK297" s="70"/>
      <c r="AL297" s="70"/>
      <c r="AM297" s="24"/>
      <c r="AN297" s="70"/>
      <c r="AO297" s="70"/>
      <c r="AP297" s="70"/>
      <c r="AQ297" s="70"/>
      <c r="AR297" s="70"/>
      <c r="AS297" s="70"/>
      <c r="AT297" s="70"/>
      <c r="AU297" s="70"/>
      <c r="AV297" s="70"/>
      <c r="AW297" s="70"/>
      <c r="AX297" s="70"/>
      <c r="AY297" s="70"/>
      <c r="AZ297" s="70"/>
      <c r="BA297" s="70"/>
      <c r="BB297" s="70"/>
      <c r="BC297" s="70"/>
      <c r="BD297" s="70"/>
      <c r="BE297" s="70"/>
      <c r="BF297" s="70"/>
      <c r="BG297" s="70"/>
      <c r="BH297" s="70"/>
      <c r="BI297" s="70"/>
      <c r="BJ297" s="70"/>
      <c r="BK297" s="70"/>
      <c r="BL297" s="70"/>
      <c r="BM297" s="70"/>
      <c r="BN297" s="70"/>
      <c r="BO297" s="70"/>
      <c r="BP297" s="70"/>
      <c r="BQ297" s="70"/>
      <c r="BR297" s="70"/>
      <c r="BS297" s="70"/>
      <c r="BT297" s="70"/>
      <c r="BU297" s="70"/>
      <c r="BV297" s="70"/>
      <c r="BW297" s="70"/>
      <c r="BX297" s="70"/>
      <c r="BY297" s="70"/>
    </row>
    <row r="298" ht="15.75" customHeight="1">
      <c r="A298" s="8">
        <v>517.0</v>
      </c>
      <c r="B298" s="158" t="s">
        <v>1366</v>
      </c>
      <c r="C298" s="156" t="s">
        <v>52</v>
      </c>
      <c r="D298" s="158" t="s">
        <v>1349</v>
      </c>
      <c r="E298" s="158" t="s">
        <v>112</v>
      </c>
      <c r="F298" s="215">
        <v>41604.0</v>
      </c>
      <c r="G298" s="161">
        <v>41579.0</v>
      </c>
      <c r="H298" s="20" t="str">
        <f t="shared" si="20"/>
        <v>2013</v>
      </c>
      <c r="I298" s="8" t="s">
        <v>186</v>
      </c>
      <c r="J298" s="158" t="s">
        <v>112</v>
      </c>
      <c r="K298" s="158" t="s">
        <v>112</v>
      </c>
      <c r="L298" s="158" t="s">
        <v>1336</v>
      </c>
      <c r="M298" s="211" t="s">
        <v>177</v>
      </c>
      <c r="N298" s="158" t="s">
        <v>1350</v>
      </c>
      <c r="O298" s="8" t="s">
        <v>1367</v>
      </c>
      <c r="P298" s="158" t="s">
        <v>106</v>
      </c>
      <c r="Q298" s="158" t="s">
        <v>112</v>
      </c>
      <c r="R298" s="158">
        <v>418550.0</v>
      </c>
      <c r="S298" s="158">
        <v>9649383.0</v>
      </c>
      <c r="T298" s="162">
        <v>-3.1718486</v>
      </c>
      <c r="U298" s="162">
        <v>-75.733066</v>
      </c>
      <c r="V298" s="158" t="s">
        <v>112</v>
      </c>
      <c r="W298" s="158" t="s">
        <v>112</v>
      </c>
      <c r="X298" s="158">
        <v>0.0</v>
      </c>
      <c r="Y298" s="158" t="s">
        <v>112</v>
      </c>
      <c r="Z298" s="8" t="s">
        <v>149</v>
      </c>
      <c r="AA298" s="23" t="s">
        <v>115</v>
      </c>
      <c r="AB298" s="8"/>
      <c r="AC298" s="70"/>
      <c r="AD298" s="70"/>
      <c r="AE298" s="24"/>
      <c r="AF298" s="70"/>
      <c r="AG298" s="70"/>
      <c r="AH298" s="70"/>
      <c r="AI298" s="70"/>
      <c r="AJ298" s="70"/>
      <c r="AK298" s="70"/>
      <c r="AL298" s="70"/>
      <c r="AM298" s="24"/>
      <c r="AN298" s="70"/>
      <c r="AO298" s="70"/>
      <c r="AP298" s="70"/>
      <c r="AQ298" s="70"/>
      <c r="AR298" s="70"/>
      <c r="AS298" s="70"/>
      <c r="AT298" s="70"/>
      <c r="AU298" s="70"/>
      <c r="AV298" s="70"/>
      <c r="AW298" s="70"/>
      <c r="AX298" s="70"/>
      <c r="AY298" s="70"/>
      <c r="AZ298" s="70"/>
      <c r="BA298" s="70"/>
      <c r="BB298" s="70"/>
      <c r="BC298" s="70"/>
      <c r="BD298" s="70"/>
      <c r="BE298" s="70"/>
      <c r="BF298" s="70"/>
      <c r="BG298" s="70"/>
      <c r="BH298" s="70"/>
      <c r="BI298" s="70"/>
      <c r="BJ298" s="70"/>
      <c r="BK298" s="70"/>
      <c r="BL298" s="70"/>
      <c r="BM298" s="70"/>
      <c r="BN298" s="70"/>
      <c r="BO298" s="70"/>
      <c r="BP298" s="70"/>
      <c r="BQ298" s="70"/>
      <c r="BR298" s="70"/>
      <c r="BS298" s="70"/>
      <c r="BT298" s="70"/>
      <c r="BU298" s="70"/>
      <c r="BV298" s="70"/>
      <c r="BW298" s="70"/>
      <c r="BX298" s="70"/>
      <c r="BY298" s="70"/>
    </row>
    <row r="299" ht="15.75" customHeight="1">
      <c r="A299" s="8">
        <v>116.0</v>
      </c>
      <c r="B299" s="146" t="s">
        <v>1368</v>
      </c>
      <c r="C299" s="128" t="s">
        <v>50</v>
      </c>
      <c r="D299" s="128" t="s">
        <v>89</v>
      </c>
      <c r="E299" s="128" t="s">
        <v>1369</v>
      </c>
      <c r="F299" s="146" t="s">
        <v>1370</v>
      </c>
      <c r="G299" s="146" t="s">
        <v>112</v>
      </c>
      <c r="H299" s="28" t="s">
        <v>112</v>
      </c>
      <c r="I299" s="8" t="s">
        <v>1371</v>
      </c>
      <c r="J299" s="128" t="s">
        <v>163</v>
      </c>
      <c r="K299" s="128" t="s">
        <v>99</v>
      </c>
      <c r="L299" s="146" t="s">
        <v>1336</v>
      </c>
      <c r="M299" s="128" t="s">
        <v>101</v>
      </c>
      <c r="N299" s="128" t="s">
        <v>1372</v>
      </c>
      <c r="O299" s="8" t="s">
        <v>1373</v>
      </c>
      <c r="P299" s="128" t="s">
        <v>106</v>
      </c>
      <c r="Q299" s="128" t="s">
        <v>1374</v>
      </c>
      <c r="R299" s="185">
        <v>418571.0</v>
      </c>
      <c r="S299" s="185">
        <v>9649260.0</v>
      </c>
      <c r="T299" s="128">
        <v>-3.1729548</v>
      </c>
      <c r="U299" s="128">
        <v>-75.7328734</v>
      </c>
      <c r="V299" s="128" t="s">
        <v>1375</v>
      </c>
      <c r="W299" s="128" t="s">
        <v>1376</v>
      </c>
      <c r="X299" s="128">
        <v>1.0</v>
      </c>
      <c r="Y299" s="128" t="s">
        <v>112</v>
      </c>
      <c r="Z299" s="23" t="s">
        <v>42</v>
      </c>
      <c r="AA299" s="23" t="s">
        <v>115</v>
      </c>
      <c r="AB299" s="8" t="s">
        <v>112</v>
      </c>
      <c r="AC299" s="70"/>
      <c r="AD299" s="70"/>
      <c r="AE299" s="24"/>
      <c r="AF299" s="70"/>
      <c r="AG299" s="70"/>
      <c r="AH299" s="70"/>
      <c r="AI299" s="70"/>
      <c r="AJ299" s="70"/>
      <c r="AK299" s="70"/>
      <c r="AL299" s="70"/>
      <c r="AM299" s="24"/>
      <c r="AN299" s="70"/>
      <c r="AO299" s="70"/>
      <c r="AP299" s="70"/>
      <c r="AQ299" s="70"/>
      <c r="AR299" s="70"/>
      <c r="AS299" s="70"/>
      <c r="AT299" s="70"/>
      <c r="AU299" s="70"/>
      <c r="AV299" s="70"/>
      <c r="AW299" s="70"/>
      <c r="AX299" s="70"/>
      <c r="AY299" s="70"/>
      <c r="AZ299" s="70"/>
      <c r="BA299" s="70"/>
      <c r="BB299" s="70"/>
      <c r="BC299" s="70"/>
      <c r="BD299" s="70"/>
      <c r="BE299" s="70"/>
      <c r="BF299" s="70"/>
      <c r="BG299" s="70"/>
      <c r="BH299" s="70"/>
      <c r="BI299" s="70"/>
      <c r="BJ299" s="70"/>
      <c r="BK299" s="70"/>
      <c r="BL299" s="70"/>
      <c r="BM299" s="70"/>
      <c r="BN299" s="70"/>
      <c r="BO299" s="70"/>
      <c r="BP299" s="70"/>
      <c r="BQ299" s="70"/>
      <c r="BR299" s="70"/>
      <c r="BS299" s="70"/>
      <c r="BT299" s="70"/>
      <c r="BU299" s="70"/>
      <c r="BV299" s="70"/>
      <c r="BW299" s="70"/>
      <c r="BX299" s="70"/>
      <c r="BY299" s="70"/>
    </row>
    <row r="300" ht="15.75" customHeight="1">
      <c r="A300" s="8">
        <v>27.0</v>
      </c>
      <c r="B300" s="146" t="s">
        <v>1377</v>
      </c>
      <c r="C300" s="128" t="s">
        <v>57</v>
      </c>
      <c r="D300" s="128" t="s">
        <v>1378</v>
      </c>
      <c r="E300" s="128" t="s">
        <v>1379</v>
      </c>
      <c r="F300" s="182">
        <v>43556.0</v>
      </c>
      <c r="G300" s="146" t="s">
        <v>112</v>
      </c>
      <c r="H300" s="28" t="s">
        <v>112</v>
      </c>
      <c r="I300" s="8" t="s">
        <v>63</v>
      </c>
      <c r="J300" s="128" t="s">
        <v>112</v>
      </c>
      <c r="K300" s="128" t="s">
        <v>99</v>
      </c>
      <c r="L300" s="146" t="s">
        <v>100</v>
      </c>
      <c r="M300" s="141" t="s">
        <v>150</v>
      </c>
      <c r="N300" s="128" t="s">
        <v>1380</v>
      </c>
      <c r="O300" s="8" t="s">
        <v>1381</v>
      </c>
      <c r="P300" s="128" t="s">
        <v>106</v>
      </c>
      <c r="Q300" s="128">
        <v>155.0</v>
      </c>
      <c r="R300" s="128">
        <v>419047.0</v>
      </c>
      <c r="S300" s="128">
        <v>9722127.0</v>
      </c>
      <c r="T300" s="128"/>
      <c r="U300" s="128"/>
      <c r="V300" s="128" t="s">
        <v>153</v>
      </c>
      <c r="W300" s="128" t="s">
        <v>154</v>
      </c>
      <c r="X300" s="128" t="s">
        <v>112</v>
      </c>
      <c r="Y300" s="128" t="s">
        <v>112</v>
      </c>
      <c r="Z300" s="23" t="s">
        <v>42</v>
      </c>
      <c r="AA300" s="23" t="s">
        <v>115</v>
      </c>
      <c r="AB300" s="8" t="s">
        <v>343</v>
      </c>
      <c r="AC300" s="70"/>
      <c r="AD300" s="70"/>
      <c r="AE300" s="24"/>
      <c r="AF300" s="70"/>
      <c r="AG300" s="70"/>
      <c r="AH300" s="70"/>
      <c r="AI300" s="70"/>
      <c r="AJ300" s="70"/>
      <c r="AK300" s="70"/>
      <c r="AL300" s="70"/>
      <c r="AM300" s="24"/>
      <c r="AN300" s="70"/>
      <c r="AO300" s="70"/>
      <c r="AP300" s="70"/>
      <c r="AQ300" s="70"/>
      <c r="AR300" s="70"/>
      <c r="AS300" s="70"/>
      <c r="AT300" s="70"/>
      <c r="AU300" s="70"/>
      <c r="AV300" s="70"/>
      <c r="AW300" s="70"/>
      <c r="AX300" s="70"/>
      <c r="AY300" s="70"/>
      <c r="AZ300" s="70"/>
      <c r="BA300" s="70"/>
      <c r="BB300" s="70"/>
      <c r="BC300" s="70"/>
      <c r="BD300" s="70"/>
      <c r="BE300" s="70"/>
      <c r="BF300" s="70"/>
      <c r="BG300" s="70"/>
      <c r="BH300" s="70"/>
      <c r="BI300" s="70"/>
      <c r="BJ300" s="70"/>
      <c r="BK300" s="70"/>
      <c r="BL300" s="70"/>
      <c r="BM300" s="70"/>
      <c r="BN300" s="70"/>
      <c r="BO300" s="70"/>
      <c r="BP300" s="70"/>
      <c r="BQ300" s="70"/>
      <c r="BR300" s="70"/>
      <c r="BS300" s="70"/>
      <c r="BT300" s="70"/>
      <c r="BU300" s="70"/>
      <c r="BV300" s="70"/>
      <c r="BW300" s="70"/>
      <c r="BX300" s="70"/>
      <c r="BY300" s="70"/>
    </row>
    <row r="301" ht="15.75" customHeight="1">
      <c r="A301" s="8">
        <v>26.0</v>
      </c>
      <c r="B301" s="146" t="s">
        <v>1382</v>
      </c>
      <c r="C301" s="128" t="s">
        <v>57</v>
      </c>
      <c r="D301" s="128" t="s">
        <v>1378</v>
      </c>
      <c r="E301" s="128" t="s">
        <v>1379</v>
      </c>
      <c r="F301" s="182">
        <v>43556.0</v>
      </c>
      <c r="G301" s="146" t="s">
        <v>112</v>
      </c>
      <c r="H301" s="28" t="s">
        <v>112</v>
      </c>
      <c r="I301" s="8" t="s">
        <v>63</v>
      </c>
      <c r="J301" s="128" t="s">
        <v>1383</v>
      </c>
      <c r="K301" s="128" t="s">
        <v>99</v>
      </c>
      <c r="L301" s="146" t="s">
        <v>100</v>
      </c>
      <c r="M301" s="141" t="s">
        <v>150</v>
      </c>
      <c r="N301" s="128" t="s">
        <v>1384</v>
      </c>
      <c r="O301" s="8" t="s">
        <v>1381</v>
      </c>
      <c r="P301" s="128" t="s">
        <v>106</v>
      </c>
      <c r="Q301" s="128">
        <v>152.0</v>
      </c>
      <c r="R301" s="128">
        <v>419076.0</v>
      </c>
      <c r="S301" s="128">
        <v>9722048.0</v>
      </c>
      <c r="T301" s="128"/>
      <c r="U301" s="128"/>
      <c r="V301" s="128" t="s">
        <v>153</v>
      </c>
      <c r="W301" s="128" t="s">
        <v>154</v>
      </c>
      <c r="X301" s="128" t="s">
        <v>112</v>
      </c>
      <c r="Y301" s="128" t="s">
        <v>112</v>
      </c>
      <c r="Z301" s="23" t="s">
        <v>42</v>
      </c>
      <c r="AA301" s="23" t="s">
        <v>115</v>
      </c>
      <c r="AB301" s="8" t="s">
        <v>343</v>
      </c>
      <c r="AC301" s="70"/>
      <c r="AD301" s="70"/>
      <c r="AE301" s="24"/>
      <c r="AF301" s="70"/>
      <c r="AG301" s="70"/>
      <c r="AH301" s="70"/>
      <c r="AI301" s="70"/>
      <c r="AJ301" s="70"/>
      <c r="AK301" s="70"/>
      <c r="AL301" s="70"/>
      <c r="AM301" s="24"/>
      <c r="AN301" s="70"/>
      <c r="AO301" s="70"/>
      <c r="AP301" s="70"/>
      <c r="AQ301" s="70"/>
      <c r="AR301" s="70"/>
      <c r="AS301" s="70"/>
      <c r="AT301" s="70"/>
      <c r="AU301" s="70"/>
      <c r="AV301" s="70"/>
      <c r="AW301" s="70"/>
      <c r="AX301" s="70"/>
      <c r="AY301" s="70"/>
      <c r="AZ301" s="70"/>
      <c r="BA301" s="70"/>
      <c r="BB301" s="70"/>
      <c r="BC301" s="70"/>
      <c r="BD301" s="70"/>
      <c r="BE301" s="70"/>
      <c r="BF301" s="70"/>
      <c r="BG301" s="70"/>
      <c r="BH301" s="70"/>
      <c r="BI301" s="70"/>
      <c r="BJ301" s="70"/>
      <c r="BK301" s="70"/>
      <c r="BL301" s="70"/>
      <c r="BM301" s="70"/>
      <c r="BN301" s="70"/>
      <c r="BO301" s="70"/>
      <c r="BP301" s="70"/>
      <c r="BQ301" s="70"/>
      <c r="BR301" s="70"/>
      <c r="BS301" s="70"/>
      <c r="BT301" s="70"/>
      <c r="BU301" s="70"/>
      <c r="BV301" s="70"/>
      <c r="BW301" s="70"/>
      <c r="BX301" s="70"/>
      <c r="BY301" s="70"/>
    </row>
    <row r="302" ht="15.75" customHeight="1">
      <c r="A302" s="8">
        <v>28.0</v>
      </c>
      <c r="B302" s="146" t="s">
        <v>1385</v>
      </c>
      <c r="C302" s="128" t="s">
        <v>57</v>
      </c>
      <c r="D302" s="128" t="s">
        <v>1378</v>
      </c>
      <c r="E302" s="128" t="s">
        <v>1379</v>
      </c>
      <c r="F302" s="182">
        <v>43556.0</v>
      </c>
      <c r="G302" s="146" t="s">
        <v>112</v>
      </c>
      <c r="H302" s="28" t="s">
        <v>112</v>
      </c>
      <c r="I302" s="8" t="s">
        <v>63</v>
      </c>
      <c r="J302" s="128" t="s">
        <v>112</v>
      </c>
      <c r="K302" s="128" t="s">
        <v>99</v>
      </c>
      <c r="L302" s="146" t="s">
        <v>100</v>
      </c>
      <c r="M302" s="141" t="s">
        <v>150</v>
      </c>
      <c r="N302" s="128" t="s">
        <v>1386</v>
      </c>
      <c r="O302" s="8" t="s">
        <v>1381</v>
      </c>
      <c r="P302" s="128" t="s">
        <v>106</v>
      </c>
      <c r="Q302" s="128">
        <v>149.0</v>
      </c>
      <c r="R302" s="128">
        <v>419148.0</v>
      </c>
      <c r="S302" s="128">
        <v>9722014.0</v>
      </c>
      <c r="T302" s="128"/>
      <c r="U302" s="128"/>
      <c r="V302" s="128" t="s">
        <v>153</v>
      </c>
      <c r="W302" s="128" t="s">
        <v>154</v>
      </c>
      <c r="X302" s="128" t="s">
        <v>112</v>
      </c>
      <c r="Y302" s="128" t="s">
        <v>112</v>
      </c>
      <c r="Z302" s="23" t="s">
        <v>42</v>
      </c>
      <c r="AA302" s="23" t="s">
        <v>115</v>
      </c>
      <c r="AB302" s="8" t="s">
        <v>343</v>
      </c>
      <c r="AC302" s="70"/>
      <c r="AD302" s="70"/>
      <c r="AE302" s="24"/>
      <c r="AF302" s="70"/>
      <c r="AG302" s="70"/>
      <c r="AH302" s="70"/>
      <c r="AI302" s="70"/>
      <c r="AJ302" s="70"/>
      <c r="AK302" s="70"/>
      <c r="AL302" s="70"/>
      <c r="AM302" s="24"/>
      <c r="AN302" s="70"/>
      <c r="AO302" s="70"/>
      <c r="AP302" s="70"/>
      <c r="AQ302" s="70"/>
      <c r="AR302" s="70"/>
      <c r="AS302" s="70"/>
      <c r="AT302" s="70"/>
      <c r="AU302" s="70"/>
      <c r="AV302" s="70"/>
      <c r="AW302" s="70"/>
      <c r="AX302" s="70"/>
      <c r="AY302" s="70"/>
      <c r="AZ302" s="70"/>
      <c r="BA302" s="70"/>
      <c r="BB302" s="70"/>
      <c r="BC302" s="70"/>
      <c r="BD302" s="70"/>
      <c r="BE302" s="70"/>
      <c r="BF302" s="70"/>
      <c r="BG302" s="70"/>
      <c r="BH302" s="70"/>
      <c r="BI302" s="70"/>
      <c r="BJ302" s="70"/>
      <c r="BK302" s="70"/>
      <c r="BL302" s="70"/>
      <c r="BM302" s="70"/>
      <c r="BN302" s="70"/>
      <c r="BO302" s="70"/>
      <c r="BP302" s="70"/>
      <c r="BQ302" s="70"/>
      <c r="BR302" s="70"/>
      <c r="BS302" s="70"/>
      <c r="BT302" s="70"/>
      <c r="BU302" s="70"/>
      <c r="BV302" s="70"/>
      <c r="BW302" s="70"/>
      <c r="BX302" s="70"/>
      <c r="BY302" s="70"/>
    </row>
    <row r="303" ht="15.75" customHeight="1">
      <c r="A303" s="8">
        <v>31.0</v>
      </c>
      <c r="B303" s="146" t="s">
        <v>1387</v>
      </c>
      <c r="C303" s="128" t="s">
        <v>57</v>
      </c>
      <c r="D303" s="128" t="s">
        <v>1378</v>
      </c>
      <c r="E303" s="128" t="s">
        <v>1379</v>
      </c>
      <c r="F303" s="182">
        <v>43556.0</v>
      </c>
      <c r="G303" s="146" t="s">
        <v>112</v>
      </c>
      <c r="H303" s="28" t="s">
        <v>112</v>
      </c>
      <c r="I303" s="8" t="s">
        <v>63</v>
      </c>
      <c r="J303" s="128" t="s">
        <v>112</v>
      </c>
      <c r="K303" s="128" t="s">
        <v>99</v>
      </c>
      <c r="L303" s="146" t="s">
        <v>100</v>
      </c>
      <c r="M303" s="141" t="s">
        <v>150</v>
      </c>
      <c r="N303" s="128" t="s">
        <v>1388</v>
      </c>
      <c r="O303" s="8" t="s">
        <v>1381</v>
      </c>
      <c r="P303" s="128" t="s">
        <v>106</v>
      </c>
      <c r="Q303" s="128">
        <v>149.0</v>
      </c>
      <c r="R303" s="128">
        <v>419181.0</v>
      </c>
      <c r="S303" s="128">
        <v>9721918.0</v>
      </c>
      <c r="T303" s="128"/>
      <c r="U303" s="128"/>
      <c r="V303" s="128" t="s">
        <v>153</v>
      </c>
      <c r="W303" s="128" t="s">
        <v>154</v>
      </c>
      <c r="X303" s="128" t="s">
        <v>112</v>
      </c>
      <c r="Y303" s="128" t="s">
        <v>112</v>
      </c>
      <c r="Z303" s="23" t="s">
        <v>42</v>
      </c>
      <c r="AA303" s="23" t="s">
        <v>115</v>
      </c>
      <c r="AB303" s="8" t="s">
        <v>343</v>
      </c>
      <c r="AC303" s="70"/>
      <c r="AD303" s="70"/>
      <c r="AE303" s="24"/>
      <c r="AF303" s="70"/>
      <c r="AG303" s="70"/>
      <c r="AH303" s="70"/>
      <c r="AI303" s="70"/>
      <c r="AJ303" s="70"/>
      <c r="AK303" s="70"/>
      <c r="AL303" s="70"/>
      <c r="AM303" s="24"/>
      <c r="AN303" s="70"/>
      <c r="AO303" s="70"/>
      <c r="AP303" s="70"/>
      <c r="AQ303" s="70"/>
      <c r="AR303" s="70"/>
      <c r="AS303" s="70"/>
      <c r="AT303" s="70"/>
      <c r="AU303" s="70"/>
      <c r="AV303" s="70"/>
      <c r="AW303" s="70"/>
      <c r="AX303" s="70"/>
      <c r="AY303" s="70"/>
      <c r="AZ303" s="70"/>
      <c r="BA303" s="70"/>
      <c r="BB303" s="70"/>
      <c r="BC303" s="70"/>
      <c r="BD303" s="70"/>
      <c r="BE303" s="70"/>
      <c r="BF303" s="70"/>
      <c r="BG303" s="70"/>
      <c r="BH303" s="70"/>
      <c r="BI303" s="70"/>
      <c r="BJ303" s="70"/>
      <c r="BK303" s="70"/>
      <c r="BL303" s="70"/>
      <c r="BM303" s="70"/>
      <c r="BN303" s="70"/>
      <c r="BO303" s="70"/>
      <c r="BP303" s="70"/>
      <c r="BQ303" s="70"/>
      <c r="BR303" s="70"/>
      <c r="BS303" s="70"/>
      <c r="BT303" s="70"/>
      <c r="BU303" s="70"/>
      <c r="BV303" s="70"/>
      <c r="BW303" s="70"/>
      <c r="BX303" s="70"/>
      <c r="BY303" s="70"/>
    </row>
    <row r="304" ht="15.75" customHeight="1">
      <c r="A304" s="8">
        <v>30.0</v>
      </c>
      <c r="B304" s="146" t="s">
        <v>1389</v>
      </c>
      <c r="C304" s="128" t="s">
        <v>57</v>
      </c>
      <c r="D304" s="128" t="s">
        <v>1378</v>
      </c>
      <c r="E304" s="128" t="s">
        <v>1379</v>
      </c>
      <c r="F304" s="182">
        <v>43556.0</v>
      </c>
      <c r="G304" s="146" t="s">
        <v>112</v>
      </c>
      <c r="H304" s="28" t="s">
        <v>112</v>
      </c>
      <c r="I304" s="8" t="s">
        <v>63</v>
      </c>
      <c r="J304" s="128" t="s">
        <v>112</v>
      </c>
      <c r="K304" s="128" t="s">
        <v>99</v>
      </c>
      <c r="L304" s="146" t="s">
        <v>100</v>
      </c>
      <c r="M304" s="141" t="s">
        <v>150</v>
      </c>
      <c r="N304" s="128" t="s">
        <v>1390</v>
      </c>
      <c r="O304" s="8" t="s">
        <v>1381</v>
      </c>
      <c r="P304" s="128" t="s">
        <v>106</v>
      </c>
      <c r="Q304" s="128">
        <v>155.0</v>
      </c>
      <c r="R304" s="128">
        <v>419382.0</v>
      </c>
      <c r="S304" s="128">
        <v>9722213.0</v>
      </c>
      <c r="T304" s="128"/>
      <c r="U304" s="128"/>
      <c r="V304" s="128" t="s">
        <v>153</v>
      </c>
      <c r="W304" s="128" t="s">
        <v>154</v>
      </c>
      <c r="X304" s="128" t="s">
        <v>112</v>
      </c>
      <c r="Y304" s="128" t="s">
        <v>112</v>
      </c>
      <c r="Z304" s="23" t="s">
        <v>42</v>
      </c>
      <c r="AA304" s="23" t="s">
        <v>115</v>
      </c>
      <c r="AB304" s="8" t="s">
        <v>343</v>
      </c>
      <c r="AC304" s="70"/>
      <c r="AD304" s="70"/>
      <c r="AE304" s="24"/>
      <c r="AF304" s="70"/>
      <c r="AG304" s="70"/>
      <c r="AH304" s="70"/>
      <c r="AI304" s="70"/>
      <c r="AJ304" s="70"/>
      <c r="AK304" s="70"/>
      <c r="AL304" s="70"/>
      <c r="AM304" s="24"/>
      <c r="AN304" s="70"/>
      <c r="AO304" s="70"/>
      <c r="AP304" s="70"/>
      <c r="AQ304" s="70"/>
      <c r="AR304" s="70"/>
      <c r="AS304" s="70"/>
      <c r="AT304" s="70"/>
      <c r="AU304" s="70"/>
      <c r="AV304" s="70"/>
      <c r="AW304" s="70"/>
      <c r="AX304" s="70"/>
      <c r="AY304" s="70"/>
      <c r="AZ304" s="70"/>
      <c r="BA304" s="70"/>
      <c r="BB304" s="70"/>
      <c r="BC304" s="70"/>
      <c r="BD304" s="70"/>
      <c r="BE304" s="70"/>
      <c r="BF304" s="70"/>
      <c r="BG304" s="70"/>
      <c r="BH304" s="70"/>
      <c r="BI304" s="70"/>
      <c r="BJ304" s="70"/>
      <c r="BK304" s="70"/>
      <c r="BL304" s="70"/>
      <c r="BM304" s="70"/>
      <c r="BN304" s="70"/>
      <c r="BO304" s="70"/>
      <c r="BP304" s="70"/>
      <c r="BQ304" s="70"/>
      <c r="BR304" s="70"/>
      <c r="BS304" s="70"/>
      <c r="BT304" s="70"/>
      <c r="BU304" s="70"/>
      <c r="BV304" s="70"/>
      <c r="BW304" s="70"/>
      <c r="BX304" s="70"/>
      <c r="BY304" s="70"/>
    </row>
    <row r="305" ht="15.75" customHeight="1">
      <c r="A305" s="8">
        <v>29.0</v>
      </c>
      <c r="B305" s="146" t="s">
        <v>1391</v>
      </c>
      <c r="C305" s="128" t="s">
        <v>57</v>
      </c>
      <c r="D305" s="128" t="s">
        <v>1378</v>
      </c>
      <c r="E305" s="128" t="s">
        <v>1379</v>
      </c>
      <c r="F305" s="182">
        <v>43556.0</v>
      </c>
      <c r="G305" s="146" t="s">
        <v>112</v>
      </c>
      <c r="H305" s="28" t="s">
        <v>112</v>
      </c>
      <c r="I305" s="8" t="s">
        <v>63</v>
      </c>
      <c r="J305" s="128" t="s">
        <v>112</v>
      </c>
      <c r="K305" s="128" t="s">
        <v>99</v>
      </c>
      <c r="L305" s="146" t="s">
        <v>100</v>
      </c>
      <c r="M305" s="141" t="s">
        <v>150</v>
      </c>
      <c r="N305" s="128" t="s">
        <v>1392</v>
      </c>
      <c r="O305" s="8" t="s">
        <v>1381</v>
      </c>
      <c r="P305" s="128" t="s">
        <v>106</v>
      </c>
      <c r="Q305" s="128">
        <v>154.0</v>
      </c>
      <c r="R305" s="128">
        <v>419529.0</v>
      </c>
      <c r="S305" s="128">
        <v>9722192.0</v>
      </c>
      <c r="T305" s="128"/>
      <c r="U305" s="128"/>
      <c r="V305" s="128" t="s">
        <v>153</v>
      </c>
      <c r="W305" s="128" t="s">
        <v>154</v>
      </c>
      <c r="X305" s="128" t="s">
        <v>112</v>
      </c>
      <c r="Y305" s="128" t="s">
        <v>112</v>
      </c>
      <c r="Z305" s="23" t="s">
        <v>42</v>
      </c>
      <c r="AA305" s="23" t="s">
        <v>115</v>
      </c>
      <c r="AB305" s="8" t="s">
        <v>343</v>
      </c>
      <c r="AC305" s="70"/>
      <c r="AD305" s="70"/>
      <c r="AE305" s="24"/>
      <c r="AF305" s="70"/>
      <c r="AG305" s="70"/>
      <c r="AH305" s="70"/>
      <c r="AI305" s="70"/>
      <c r="AJ305" s="70"/>
      <c r="AK305" s="70"/>
      <c r="AL305" s="70"/>
      <c r="AM305" s="24"/>
      <c r="AN305" s="70"/>
      <c r="AO305" s="70"/>
      <c r="AP305" s="70"/>
      <c r="AQ305" s="70"/>
      <c r="AR305" s="70"/>
      <c r="AS305" s="70"/>
      <c r="AT305" s="70"/>
      <c r="AU305" s="70"/>
      <c r="AV305" s="70"/>
      <c r="AW305" s="70"/>
      <c r="AX305" s="70"/>
      <c r="AY305" s="70"/>
      <c r="AZ305" s="70"/>
      <c r="BA305" s="70"/>
      <c r="BB305" s="70"/>
      <c r="BC305" s="70"/>
      <c r="BD305" s="70"/>
      <c r="BE305" s="70"/>
      <c r="BF305" s="70"/>
      <c r="BG305" s="70"/>
      <c r="BH305" s="70"/>
      <c r="BI305" s="70"/>
      <c r="BJ305" s="70"/>
      <c r="BK305" s="70"/>
      <c r="BL305" s="70"/>
      <c r="BM305" s="70"/>
      <c r="BN305" s="70"/>
      <c r="BO305" s="70"/>
      <c r="BP305" s="70"/>
      <c r="BQ305" s="70"/>
      <c r="BR305" s="70"/>
      <c r="BS305" s="70"/>
      <c r="BT305" s="70"/>
      <c r="BU305" s="70"/>
      <c r="BV305" s="70"/>
      <c r="BW305" s="70"/>
      <c r="BX305" s="70"/>
      <c r="BY305" s="70"/>
    </row>
    <row r="306" ht="15.75" customHeight="1">
      <c r="A306" s="8">
        <v>838.0</v>
      </c>
      <c r="B306" s="158" t="s">
        <v>1393</v>
      </c>
      <c r="C306" s="158" t="s">
        <v>57</v>
      </c>
      <c r="D306" s="158" t="s">
        <v>213</v>
      </c>
      <c r="E306" s="158" t="s">
        <v>112</v>
      </c>
      <c r="F306" s="205">
        <v>42875.0</v>
      </c>
      <c r="G306" s="164">
        <v>42856.0</v>
      </c>
      <c r="H306" s="20" t="str">
        <f>TEXT(G306, "yyyy")</f>
        <v>2017</v>
      </c>
      <c r="I306" s="8" t="s">
        <v>63</v>
      </c>
      <c r="J306" s="158" t="s">
        <v>112</v>
      </c>
      <c r="K306" s="158" t="s">
        <v>112</v>
      </c>
      <c r="L306" s="158" t="s">
        <v>100</v>
      </c>
      <c r="M306" s="206" t="s">
        <v>177</v>
      </c>
      <c r="N306" s="158" t="s">
        <v>112</v>
      </c>
      <c r="O306" s="8" t="s">
        <v>1394</v>
      </c>
      <c r="P306" s="158" t="s">
        <v>106</v>
      </c>
      <c r="Q306" s="158" t="s">
        <v>112</v>
      </c>
      <c r="R306" s="158">
        <v>419622.3</v>
      </c>
      <c r="S306" s="158">
        <v>9721181.4</v>
      </c>
      <c r="T306" s="158" t="s">
        <v>1395</v>
      </c>
      <c r="U306" s="158" t="s">
        <v>1396</v>
      </c>
      <c r="V306" s="158" t="s">
        <v>1397</v>
      </c>
      <c r="W306" s="158" t="s">
        <v>112</v>
      </c>
      <c r="X306" s="158" t="s">
        <v>112</v>
      </c>
      <c r="Y306" s="158" t="s">
        <v>112</v>
      </c>
      <c r="Z306" s="8" t="s">
        <v>148</v>
      </c>
      <c r="AA306" s="23" t="s">
        <v>144</v>
      </c>
      <c r="AB306" s="8"/>
      <c r="AC306" s="70"/>
      <c r="AD306" s="70"/>
      <c r="AE306" s="24"/>
      <c r="AF306" s="70"/>
      <c r="AG306" s="70"/>
      <c r="AH306" s="70"/>
      <c r="AI306" s="70"/>
      <c r="AJ306" s="70"/>
      <c r="AK306" s="70"/>
      <c r="AL306" s="70"/>
      <c r="AM306" s="24"/>
      <c r="AN306" s="70"/>
      <c r="AO306" s="70"/>
      <c r="AP306" s="70"/>
      <c r="AQ306" s="70"/>
      <c r="AR306" s="70"/>
      <c r="AS306" s="70"/>
      <c r="AT306" s="70"/>
      <c r="AU306" s="70"/>
      <c r="AV306" s="70"/>
      <c r="AW306" s="70"/>
      <c r="AX306" s="70"/>
      <c r="AY306" s="70"/>
      <c r="AZ306" s="70"/>
      <c r="BA306" s="70"/>
      <c r="BB306" s="70"/>
      <c r="BC306" s="70"/>
      <c r="BD306" s="70"/>
      <c r="BE306" s="70"/>
      <c r="BF306" s="70"/>
      <c r="BG306" s="70"/>
      <c r="BH306" s="70"/>
      <c r="BI306" s="70"/>
      <c r="BJ306" s="70"/>
      <c r="BK306" s="70"/>
      <c r="BL306" s="70"/>
      <c r="BM306" s="70"/>
      <c r="BN306" s="70"/>
      <c r="BO306" s="70"/>
      <c r="BP306" s="70"/>
      <c r="BQ306" s="70"/>
      <c r="BR306" s="70"/>
      <c r="BS306" s="70"/>
      <c r="BT306" s="70"/>
      <c r="BU306" s="70"/>
      <c r="BV306" s="70"/>
      <c r="BW306" s="70"/>
      <c r="BX306" s="70"/>
      <c r="BY306" s="70"/>
    </row>
    <row r="307" ht="15.75" customHeight="1">
      <c r="A307" s="8">
        <v>115.0</v>
      </c>
      <c r="B307" s="146" t="s">
        <v>1398</v>
      </c>
      <c r="C307" s="128" t="s">
        <v>50</v>
      </c>
      <c r="D307" s="128" t="s">
        <v>89</v>
      </c>
      <c r="E307" s="128" t="s">
        <v>1369</v>
      </c>
      <c r="F307" s="146" t="s">
        <v>1370</v>
      </c>
      <c r="G307" s="146" t="s">
        <v>112</v>
      </c>
      <c r="H307" s="28" t="s">
        <v>112</v>
      </c>
      <c r="I307" s="8" t="s">
        <v>97</v>
      </c>
      <c r="J307" s="128" t="s">
        <v>163</v>
      </c>
      <c r="K307" s="128" t="s">
        <v>99</v>
      </c>
      <c r="L307" s="146" t="s">
        <v>1336</v>
      </c>
      <c r="M307" s="128" t="s">
        <v>101</v>
      </c>
      <c r="N307" s="128" t="s">
        <v>1399</v>
      </c>
      <c r="O307" s="8" t="s">
        <v>1400</v>
      </c>
      <c r="P307" s="128" t="s">
        <v>106</v>
      </c>
      <c r="Q307" s="128" t="s">
        <v>1401</v>
      </c>
      <c r="R307" s="185">
        <v>420023.0</v>
      </c>
      <c r="S307" s="185">
        <v>9647376.0</v>
      </c>
      <c r="T307" s="128">
        <v>-3.1900055</v>
      </c>
      <c r="U307" s="128">
        <v>-75.7198161</v>
      </c>
      <c r="V307" s="128" t="s">
        <v>1375</v>
      </c>
      <c r="W307" s="128" t="s">
        <v>112</v>
      </c>
      <c r="X307" s="128" t="s">
        <v>112</v>
      </c>
      <c r="Y307" s="128" t="s">
        <v>112</v>
      </c>
      <c r="Z307" s="23" t="s">
        <v>42</v>
      </c>
      <c r="AA307" s="23" t="s">
        <v>115</v>
      </c>
      <c r="AB307" s="8" t="s">
        <v>112</v>
      </c>
      <c r="AE307" s="24"/>
      <c r="AM307" s="24"/>
    </row>
    <row r="308" ht="15.75" customHeight="1">
      <c r="A308" s="8">
        <v>515.0</v>
      </c>
      <c r="B308" s="158" t="s">
        <v>1402</v>
      </c>
      <c r="C308" s="156" t="s">
        <v>52</v>
      </c>
      <c r="D308" s="158" t="s">
        <v>1349</v>
      </c>
      <c r="E308" s="158" t="s">
        <v>112</v>
      </c>
      <c r="F308" s="215">
        <v>41604.0</v>
      </c>
      <c r="G308" s="161">
        <v>41579.0</v>
      </c>
      <c r="H308" s="20" t="str">
        <f t="shared" ref="H308:H309" si="21">TEXT(G308, "yyyy")</f>
        <v>2013</v>
      </c>
      <c r="I308" s="8" t="s">
        <v>186</v>
      </c>
      <c r="J308" s="158" t="s">
        <v>112</v>
      </c>
      <c r="K308" s="158" t="s">
        <v>112</v>
      </c>
      <c r="L308" s="158" t="s">
        <v>1336</v>
      </c>
      <c r="M308" s="211" t="s">
        <v>177</v>
      </c>
      <c r="N308" s="158" t="s">
        <v>1350</v>
      </c>
      <c r="O308" s="8" t="s">
        <v>1403</v>
      </c>
      <c r="P308" s="158" t="s">
        <v>106</v>
      </c>
      <c r="Q308" s="158" t="s">
        <v>112</v>
      </c>
      <c r="R308" s="158">
        <v>420060.0</v>
      </c>
      <c r="S308" s="158">
        <v>9647363.0</v>
      </c>
      <c r="T308" s="162">
        <v>-3.1901317</v>
      </c>
      <c r="U308" s="162">
        <v>-75.719489</v>
      </c>
      <c r="V308" s="158" t="s">
        <v>112</v>
      </c>
      <c r="W308" s="158" t="s">
        <v>112</v>
      </c>
      <c r="X308" s="158">
        <v>0.0</v>
      </c>
      <c r="Y308" s="158" t="s">
        <v>112</v>
      </c>
      <c r="Z308" s="8" t="s">
        <v>149</v>
      </c>
      <c r="AA308" s="23" t="s">
        <v>115</v>
      </c>
      <c r="AB308" s="8"/>
      <c r="AM308" s="24"/>
    </row>
    <row r="309" ht="15.75" customHeight="1">
      <c r="A309" s="8">
        <v>514.0</v>
      </c>
      <c r="B309" s="158" t="s">
        <v>1404</v>
      </c>
      <c r="C309" s="156" t="s">
        <v>52</v>
      </c>
      <c r="D309" s="158" t="s">
        <v>1349</v>
      </c>
      <c r="E309" s="158" t="s">
        <v>112</v>
      </c>
      <c r="F309" s="215">
        <v>41604.0</v>
      </c>
      <c r="G309" s="161">
        <v>41579.0</v>
      </c>
      <c r="H309" s="20" t="str">
        <f t="shared" si="21"/>
        <v>2013</v>
      </c>
      <c r="I309" s="8" t="s">
        <v>186</v>
      </c>
      <c r="J309" s="158" t="s">
        <v>112</v>
      </c>
      <c r="K309" s="158" t="s">
        <v>112</v>
      </c>
      <c r="L309" s="158" t="s">
        <v>1336</v>
      </c>
      <c r="M309" s="211" t="s">
        <v>177</v>
      </c>
      <c r="N309" s="158" t="s">
        <v>1350</v>
      </c>
      <c r="O309" s="8" t="s">
        <v>1405</v>
      </c>
      <c r="P309" s="158" t="s">
        <v>106</v>
      </c>
      <c r="Q309" s="158" t="s">
        <v>112</v>
      </c>
      <c r="R309" s="158">
        <v>420687.0</v>
      </c>
      <c r="S309" s="158">
        <v>9646469.0</v>
      </c>
      <c r="T309" s="162">
        <v>-3.1982231</v>
      </c>
      <c r="U309" s="162">
        <v>-75.713851</v>
      </c>
      <c r="V309" s="158" t="s">
        <v>112</v>
      </c>
      <c r="W309" s="158" t="s">
        <v>112</v>
      </c>
      <c r="X309" s="158">
        <v>0.0</v>
      </c>
      <c r="Y309" s="158" t="s">
        <v>112</v>
      </c>
      <c r="Z309" s="8" t="s">
        <v>149</v>
      </c>
      <c r="AA309" s="23" t="s">
        <v>115</v>
      </c>
      <c r="AB309" s="8"/>
      <c r="AC309" s="218"/>
      <c r="AD309" s="218"/>
      <c r="AE309" s="219"/>
      <c r="AF309" s="218"/>
      <c r="AG309" s="218"/>
      <c r="AH309" s="218"/>
      <c r="AI309" s="218"/>
      <c r="AJ309" s="218"/>
      <c r="AK309" s="218"/>
      <c r="AL309" s="218"/>
      <c r="AM309" s="24"/>
      <c r="AN309" s="218"/>
      <c r="AO309" s="218"/>
      <c r="AP309" s="218"/>
      <c r="AQ309" s="218" t="s">
        <v>112</v>
      </c>
      <c r="AR309" s="218"/>
      <c r="AS309" s="218"/>
      <c r="AT309" s="218"/>
      <c r="AU309" s="218"/>
      <c r="AV309" s="218"/>
      <c r="AW309" s="218" t="s">
        <v>112</v>
      </c>
      <c r="AX309" s="218" t="s">
        <v>112</v>
      </c>
      <c r="AY309" s="218" t="s">
        <v>112</v>
      </c>
      <c r="AZ309" s="218" t="s">
        <v>112</v>
      </c>
      <c r="BA309" s="218" t="s">
        <v>112</v>
      </c>
      <c r="BB309" s="218" t="s">
        <v>112</v>
      </c>
      <c r="BC309" s="218" t="s">
        <v>112</v>
      </c>
      <c r="BD309" s="218" t="s">
        <v>112</v>
      </c>
      <c r="BE309" s="218" t="s">
        <v>112</v>
      </c>
      <c r="BF309" s="218"/>
      <c r="BG309" s="218"/>
      <c r="BH309" s="218"/>
      <c r="BI309" s="218"/>
      <c r="BJ309" s="218"/>
      <c r="BK309" s="218"/>
      <c r="BL309" s="218"/>
      <c r="BM309" s="218"/>
      <c r="BN309" s="218"/>
      <c r="BO309" s="218"/>
      <c r="BP309" s="218"/>
      <c r="BQ309" s="218"/>
      <c r="BR309" s="218"/>
      <c r="BS309" s="218"/>
      <c r="BT309" s="218"/>
      <c r="BU309" s="218"/>
      <c r="BV309" s="218"/>
      <c r="BW309" s="218"/>
      <c r="BX309" s="218"/>
      <c r="BY309" s="218"/>
    </row>
    <row r="310" ht="15.75" customHeight="1">
      <c r="A310" s="8">
        <v>114.0</v>
      </c>
      <c r="B310" s="146" t="s">
        <v>1406</v>
      </c>
      <c r="C310" s="128" t="s">
        <v>50</v>
      </c>
      <c r="D310" s="128" t="s">
        <v>89</v>
      </c>
      <c r="E310" s="128" t="s">
        <v>1369</v>
      </c>
      <c r="F310" s="146" t="s">
        <v>1370</v>
      </c>
      <c r="G310" s="146" t="s">
        <v>112</v>
      </c>
      <c r="H310" s="28" t="s">
        <v>112</v>
      </c>
      <c r="I310" s="8" t="s">
        <v>97</v>
      </c>
      <c r="J310" s="128" t="s">
        <v>163</v>
      </c>
      <c r="K310" s="128" t="s">
        <v>99</v>
      </c>
      <c r="L310" s="146" t="s">
        <v>1336</v>
      </c>
      <c r="M310" s="128" t="s">
        <v>101</v>
      </c>
      <c r="N310" s="128" t="s">
        <v>1407</v>
      </c>
      <c r="O310" s="8" t="s">
        <v>1408</v>
      </c>
      <c r="P310" s="128" t="s">
        <v>106</v>
      </c>
      <c r="Q310" s="128" t="s">
        <v>1409</v>
      </c>
      <c r="R310" s="185">
        <v>420738.0</v>
      </c>
      <c r="S310" s="185">
        <v>9646474.0</v>
      </c>
      <c r="T310" s="128">
        <v>-3.1981751</v>
      </c>
      <c r="U310" s="128">
        <v>-75.713385</v>
      </c>
      <c r="V310" s="128" t="s">
        <v>1375</v>
      </c>
      <c r="W310" s="128" t="s">
        <v>112</v>
      </c>
      <c r="X310" s="128" t="s">
        <v>112</v>
      </c>
      <c r="Y310" s="128" t="s">
        <v>112</v>
      </c>
      <c r="Z310" s="23" t="s">
        <v>42</v>
      </c>
      <c r="AA310" s="23" t="s">
        <v>115</v>
      </c>
      <c r="AB310" s="8" t="s">
        <v>112</v>
      </c>
      <c r="AE310" s="24"/>
      <c r="AM310" s="24"/>
    </row>
    <row r="311" ht="15.75" customHeight="1">
      <c r="A311" s="8">
        <v>553.0</v>
      </c>
      <c r="B311" s="158" t="s">
        <v>1410</v>
      </c>
      <c r="C311" s="156" t="s">
        <v>48</v>
      </c>
      <c r="D311" s="158" t="s">
        <v>112</v>
      </c>
      <c r="E311" s="158" t="s">
        <v>112</v>
      </c>
      <c r="F311" s="215">
        <v>41640.0</v>
      </c>
      <c r="G311" s="164">
        <v>41640.0</v>
      </c>
      <c r="H311" s="20" t="str">
        <f t="shared" ref="H311:H314" si="22">TEXT(G311, "yyyy")</f>
        <v>2014</v>
      </c>
      <c r="I311" s="8" t="s">
        <v>176</v>
      </c>
      <c r="J311" s="158" t="s">
        <v>112</v>
      </c>
      <c r="K311" s="158" t="s">
        <v>112</v>
      </c>
      <c r="L311" s="156" t="s">
        <v>1336</v>
      </c>
      <c r="M311" s="190" t="s">
        <v>177</v>
      </c>
      <c r="N311" s="158" t="s">
        <v>112</v>
      </c>
      <c r="O311" s="8" t="s">
        <v>1411</v>
      </c>
      <c r="P311" s="158" t="s">
        <v>106</v>
      </c>
      <c r="Q311" s="158" t="s">
        <v>112</v>
      </c>
      <c r="R311" s="156">
        <v>420842.0</v>
      </c>
      <c r="S311" s="156">
        <v>9647061.0</v>
      </c>
      <c r="T311" s="217">
        <v>-3.1928686</v>
      </c>
      <c r="U311" s="217">
        <v>-75.712453</v>
      </c>
      <c r="V311" s="156" t="s">
        <v>480</v>
      </c>
      <c r="W311" s="158" t="s">
        <v>112</v>
      </c>
      <c r="X311" s="158" t="s">
        <v>112</v>
      </c>
      <c r="Y311" s="158" t="s">
        <v>112</v>
      </c>
      <c r="Z311" s="8" t="s">
        <v>149</v>
      </c>
      <c r="AA311" s="23" t="s">
        <v>115</v>
      </c>
      <c r="AB311" s="8"/>
      <c r="AE311" s="24"/>
      <c r="AM311" s="24"/>
    </row>
    <row r="312" ht="15.75" customHeight="1">
      <c r="A312" s="8">
        <v>563.0</v>
      </c>
      <c r="B312" s="188" t="s">
        <v>1412</v>
      </c>
      <c r="C312" s="156" t="s">
        <v>48</v>
      </c>
      <c r="D312" s="157" t="s">
        <v>112</v>
      </c>
      <c r="E312" s="158" t="s">
        <v>112</v>
      </c>
      <c r="F312" s="159">
        <v>41730.0</v>
      </c>
      <c r="G312" s="160">
        <v>41730.0</v>
      </c>
      <c r="H312" s="20" t="str">
        <f t="shared" si="22"/>
        <v>2014</v>
      </c>
      <c r="I312" s="8" t="s">
        <v>186</v>
      </c>
      <c r="J312" s="157" t="s">
        <v>112</v>
      </c>
      <c r="K312" s="157" t="s">
        <v>112</v>
      </c>
      <c r="L312" s="156" t="s">
        <v>1336</v>
      </c>
      <c r="M312" s="190" t="s">
        <v>177</v>
      </c>
      <c r="N312" s="158" t="s">
        <v>1413</v>
      </c>
      <c r="O312" s="8" t="s">
        <v>1414</v>
      </c>
      <c r="P312" s="158" t="s">
        <v>106</v>
      </c>
      <c r="Q312" s="157" t="s">
        <v>112</v>
      </c>
      <c r="R312" s="156">
        <v>420970.0</v>
      </c>
      <c r="S312" s="156">
        <v>9647293.0</v>
      </c>
      <c r="T312" s="162">
        <v>-3.1907707</v>
      </c>
      <c r="U312" s="162">
        <v>-75.711299</v>
      </c>
      <c r="V312" s="156" t="s">
        <v>1415</v>
      </c>
      <c r="W312" s="157" t="s">
        <v>112</v>
      </c>
      <c r="X312" s="157" t="s">
        <v>112</v>
      </c>
      <c r="Y312" s="157" t="s">
        <v>112</v>
      </c>
      <c r="Z312" s="8" t="s">
        <v>149</v>
      </c>
      <c r="AA312" s="23" t="s">
        <v>115</v>
      </c>
      <c r="AB312" s="8"/>
      <c r="AE312" s="24"/>
      <c r="AM312" s="24"/>
    </row>
    <row r="313" ht="15.75" customHeight="1">
      <c r="A313" s="8">
        <v>593.0</v>
      </c>
      <c r="B313" s="188" t="s">
        <v>1416</v>
      </c>
      <c r="C313" s="156" t="s">
        <v>57</v>
      </c>
      <c r="D313" s="158" t="s">
        <v>112</v>
      </c>
      <c r="E313" s="158" t="s">
        <v>112</v>
      </c>
      <c r="F313" s="159">
        <v>2015.0</v>
      </c>
      <c r="G313" s="161">
        <v>42248.0</v>
      </c>
      <c r="H313" s="20" t="str">
        <f t="shared" si="22"/>
        <v>2015</v>
      </c>
      <c r="I313" s="8" t="s">
        <v>63</v>
      </c>
      <c r="J313" s="158" t="s">
        <v>112</v>
      </c>
      <c r="K313" s="158" t="s">
        <v>112</v>
      </c>
      <c r="L313" s="158" t="s">
        <v>100</v>
      </c>
      <c r="M313" s="156" t="s">
        <v>187</v>
      </c>
      <c r="N313" s="158" t="s">
        <v>1417</v>
      </c>
      <c r="O313" s="8" t="s">
        <v>1418</v>
      </c>
      <c r="P313" s="158" t="s">
        <v>106</v>
      </c>
      <c r="Q313" s="158" t="s">
        <v>112</v>
      </c>
      <c r="R313" s="157">
        <v>421184.0</v>
      </c>
      <c r="S313" s="157">
        <v>9722885.0</v>
      </c>
      <c r="T313" s="162">
        <v>-2.5069373</v>
      </c>
      <c r="U313" s="162">
        <v>-75.708955</v>
      </c>
      <c r="V313" s="156" t="s">
        <v>480</v>
      </c>
      <c r="W313" s="158" t="s">
        <v>112</v>
      </c>
      <c r="X313" s="157" t="s">
        <v>112</v>
      </c>
      <c r="Y313" s="157" t="s">
        <v>112</v>
      </c>
      <c r="Z313" s="8" t="s">
        <v>149</v>
      </c>
      <c r="AA313" s="23" t="s">
        <v>115</v>
      </c>
      <c r="AB313" s="8"/>
      <c r="AE313" s="24"/>
      <c r="AM313" s="24"/>
    </row>
    <row r="314" ht="15.75" customHeight="1">
      <c r="A314" s="8">
        <v>875.0</v>
      </c>
      <c r="B314" s="158" t="s">
        <v>1419</v>
      </c>
      <c r="C314" s="156" t="s">
        <v>48</v>
      </c>
      <c r="D314" s="158" t="s">
        <v>112</v>
      </c>
      <c r="E314" s="158" t="s">
        <v>112</v>
      </c>
      <c r="F314" s="205">
        <v>43062.0</v>
      </c>
      <c r="G314" s="164">
        <v>43040.0</v>
      </c>
      <c r="H314" s="20" t="str">
        <f t="shared" si="22"/>
        <v>2017</v>
      </c>
      <c r="I314" s="8" t="s">
        <v>186</v>
      </c>
      <c r="J314" s="158" t="s">
        <v>112</v>
      </c>
      <c r="K314" s="220" t="s">
        <v>112</v>
      </c>
      <c r="L314" s="156" t="s">
        <v>1336</v>
      </c>
      <c r="M314" s="190" t="s">
        <v>1420</v>
      </c>
      <c r="N314" s="158" t="s">
        <v>1421</v>
      </c>
      <c r="O314" s="8" t="s">
        <v>1422</v>
      </c>
      <c r="P314" s="158" t="s">
        <v>106</v>
      </c>
      <c r="Q314" s="158" t="s">
        <v>112</v>
      </c>
      <c r="R314" s="158">
        <v>423431.0</v>
      </c>
      <c r="S314" s="158">
        <v>9635749.0</v>
      </c>
      <c r="T314" s="158">
        <v>-75.6892596</v>
      </c>
      <c r="U314" s="158">
        <v>-3.2951968</v>
      </c>
      <c r="V314" s="156" t="s">
        <v>1423</v>
      </c>
      <c r="W314" s="158" t="s">
        <v>112</v>
      </c>
      <c r="X314" s="158" t="s">
        <v>112</v>
      </c>
      <c r="Y314" s="158" t="s">
        <v>112</v>
      </c>
      <c r="Z314" s="8" t="s">
        <v>148</v>
      </c>
      <c r="AA314" s="23" t="s">
        <v>144</v>
      </c>
      <c r="AB314" s="8" t="s">
        <v>362</v>
      </c>
      <c r="AE314" s="24"/>
      <c r="AM314" s="24"/>
    </row>
    <row r="315" ht="15.75" customHeight="1">
      <c r="A315" s="8">
        <v>21.0</v>
      </c>
      <c r="B315" s="146" t="s">
        <v>1424</v>
      </c>
      <c r="C315" s="128" t="s">
        <v>57</v>
      </c>
      <c r="D315" s="128" t="s">
        <v>1378</v>
      </c>
      <c r="E315" s="128" t="s">
        <v>1379</v>
      </c>
      <c r="F315" s="182">
        <v>43556.0</v>
      </c>
      <c r="G315" s="146" t="s">
        <v>112</v>
      </c>
      <c r="H315" s="28" t="s">
        <v>112</v>
      </c>
      <c r="I315" s="8" t="s">
        <v>63</v>
      </c>
      <c r="J315" s="128" t="s">
        <v>112</v>
      </c>
      <c r="K315" s="221" t="s">
        <v>99</v>
      </c>
      <c r="L315" s="146" t="s">
        <v>100</v>
      </c>
      <c r="M315" s="141" t="s">
        <v>150</v>
      </c>
      <c r="N315" s="128" t="s">
        <v>1425</v>
      </c>
      <c r="O315" s="8" t="s">
        <v>1426</v>
      </c>
      <c r="P315" s="128" t="s">
        <v>106</v>
      </c>
      <c r="Q315" s="128">
        <v>174.0</v>
      </c>
      <c r="R315" s="128">
        <v>424288.0</v>
      </c>
      <c r="S315" s="128">
        <v>9727272.0</v>
      </c>
      <c r="T315" s="128"/>
      <c r="U315" s="128"/>
      <c r="V315" s="128" t="s">
        <v>153</v>
      </c>
      <c r="W315" s="128" t="s">
        <v>154</v>
      </c>
      <c r="X315" s="128" t="s">
        <v>112</v>
      </c>
      <c r="Y315" s="128" t="s">
        <v>112</v>
      </c>
      <c r="Z315" s="23" t="s">
        <v>42</v>
      </c>
      <c r="AA315" s="23" t="s">
        <v>115</v>
      </c>
      <c r="AB315" s="8" t="s">
        <v>343</v>
      </c>
      <c r="AE315" s="24"/>
      <c r="AM315" s="24"/>
    </row>
    <row r="316" ht="15.75" customHeight="1">
      <c r="A316" s="8">
        <v>590.0</v>
      </c>
      <c r="B316" s="188" t="s">
        <v>1427</v>
      </c>
      <c r="C316" s="156" t="s">
        <v>48</v>
      </c>
      <c r="D316" s="157" t="s">
        <v>112</v>
      </c>
      <c r="E316" s="158" t="s">
        <v>112</v>
      </c>
      <c r="F316" s="159">
        <v>41944.0</v>
      </c>
      <c r="G316" s="160">
        <v>41944.0</v>
      </c>
      <c r="H316" s="20" t="str">
        <f>TEXT(G316, "yyyy")</f>
        <v>2014</v>
      </c>
      <c r="I316" s="8" t="s">
        <v>186</v>
      </c>
      <c r="J316" s="157" t="s">
        <v>112</v>
      </c>
      <c r="K316" s="222" t="s">
        <v>112</v>
      </c>
      <c r="L316" s="156" t="s">
        <v>1336</v>
      </c>
      <c r="M316" s="190" t="s">
        <v>177</v>
      </c>
      <c r="N316" s="158" t="s">
        <v>1428</v>
      </c>
      <c r="O316" s="8" t="s">
        <v>1429</v>
      </c>
      <c r="P316" s="158" t="s">
        <v>106</v>
      </c>
      <c r="Q316" s="157" t="s">
        <v>112</v>
      </c>
      <c r="R316" s="156">
        <v>425113.0</v>
      </c>
      <c r="S316" s="156">
        <v>9645490.0</v>
      </c>
      <c r="T316" s="162">
        <v>-3.2071066</v>
      </c>
      <c r="U316" s="162">
        <v>-75.674023</v>
      </c>
      <c r="V316" s="158" t="s">
        <v>112</v>
      </c>
      <c r="W316" s="157" t="s">
        <v>112</v>
      </c>
      <c r="X316" s="157" t="s">
        <v>112</v>
      </c>
      <c r="Y316" s="157" t="s">
        <v>112</v>
      </c>
      <c r="Z316" s="8" t="s">
        <v>149</v>
      </c>
      <c r="AA316" s="23" t="s">
        <v>115</v>
      </c>
      <c r="AB316" s="8"/>
      <c r="AE316" s="24"/>
      <c r="AM316" s="24"/>
    </row>
    <row r="317" ht="15.75" customHeight="1">
      <c r="A317" s="8">
        <v>41.0</v>
      </c>
      <c r="B317" s="146" t="s">
        <v>1430</v>
      </c>
      <c r="C317" s="128" t="s">
        <v>57</v>
      </c>
      <c r="D317" s="128" t="s">
        <v>1378</v>
      </c>
      <c r="E317" s="128" t="s">
        <v>1379</v>
      </c>
      <c r="F317" s="182">
        <v>43556.0</v>
      </c>
      <c r="G317" s="146" t="s">
        <v>112</v>
      </c>
      <c r="H317" s="28" t="s">
        <v>112</v>
      </c>
      <c r="I317" s="8" t="s">
        <v>63</v>
      </c>
      <c r="J317" s="128" t="s">
        <v>112</v>
      </c>
      <c r="K317" s="221" t="s">
        <v>99</v>
      </c>
      <c r="L317" s="146" t="s">
        <v>100</v>
      </c>
      <c r="M317" s="141" t="s">
        <v>150</v>
      </c>
      <c r="N317" s="128" t="s">
        <v>1162</v>
      </c>
      <c r="O317" s="8" t="s">
        <v>1431</v>
      </c>
      <c r="P317" s="128" t="s">
        <v>106</v>
      </c>
      <c r="Q317" s="128">
        <v>194.0</v>
      </c>
      <c r="R317" s="128">
        <v>426705.0</v>
      </c>
      <c r="S317" s="128">
        <v>9726780.0</v>
      </c>
      <c r="T317" s="128"/>
      <c r="U317" s="128"/>
      <c r="V317" s="128" t="s">
        <v>153</v>
      </c>
      <c r="W317" s="128" t="s">
        <v>154</v>
      </c>
      <c r="X317" s="128" t="s">
        <v>112</v>
      </c>
      <c r="Y317" s="128" t="s">
        <v>112</v>
      </c>
      <c r="Z317" s="23" t="s">
        <v>42</v>
      </c>
      <c r="AA317" s="23" t="s">
        <v>115</v>
      </c>
      <c r="AB317" s="8" t="s">
        <v>343</v>
      </c>
      <c r="AE317" s="24"/>
      <c r="AM317" s="24"/>
    </row>
    <row r="318" ht="15.75" customHeight="1">
      <c r="A318" s="8">
        <v>562.0</v>
      </c>
      <c r="B318" s="188" t="s">
        <v>1432</v>
      </c>
      <c r="C318" s="156" t="s">
        <v>48</v>
      </c>
      <c r="D318" s="157" t="s">
        <v>112</v>
      </c>
      <c r="E318" s="158" t="s">
        <v>112</v>
      </c>
      <c r="F318" s="159">
        <v>41730.0</v>
      </c>
      <c r="G318" s="160">
        <v>41730.0</v>
      </c>
      <c r="H318" s="20" t="str">
        <f t="shared" ref="H318:H320" si="23">TEXT(G318, "yyyy")</f>
        <v>2014</v>
      </c>
      <c r="I318" s="8" t="s">
        <v>63</v>
      </c>
      <c r="J318" s="157" t="s">
        <v>112</v>
      </c>
      <c r="K318" s="222" t="s">
        <v>112</v>
      </c>
      <c r="L318" s="156" t="s">
        <v>1336</v>
      </c>
      <c r="M318" s="190" t="s">
        <v>177</v>
      </c>
      <c r="N318" s="158" t="s">
        <v>1433</v>
      </c>
      <c r="O318" s="8" t="s">
        <v>1434</v>
      </c>
      <c r="P318" s="158" t="s">
        <v>106</v>
      </c>
      <c r="Q318" s="157" t="s">
        <v>112</v>
      </c>
      <c r="R318" s="156">
        <v>426900.0</v>
      </c>
      <c r="S318" s="156">
        <v>9644018.0</v>
      </c>
      <c r="T318" s="162">
        <v>-3.2204334</v>
      </c>
      <c r="U318" s="162">
        <v>-75.657948</v>
      </c>
      <c r="V318" s="158" t="s">
        <v>112</v>
      </c>
      <c r="W318" s="157" t="s">
        <v>112</v>
      </c>
      <c r="X318" s="157" t="s">
        <v>112</v>
      </c>
      <c r="Y318" s="157" t="s">
        <v>112</v>
      </c>
      <c r="Z318" s="8" t="s">
        <v>149</v>
      </c>
      <c r="AA318" s="23" t="s">
        <v>115</v>
      </c>
      <c r="AB318" s="8"/>
      <c r="AE318" s="24"/>
      <c r="AM318" s="24"/>
    </row>
    <row r="319" ht="15.75" customHeight="1">
      <c r="A319" s="8">
        <v>893.0</v>
      </c>
      <c r="B319" s="158" t="s">
        <v>1435</v>
      </c>
      <c r="C319" s="156" t="s">
        <v>48</v>
      </c>
      <c r="D319" s="158" t="s">
        <v>112</v>
      </c>
      <c r="E319" s="158" t="s">
        <v>112</v>
      </c>
      <c r="F319" s="205">
        <v>43160.0</v>
      </c>
      <c r="G319" s="164">
        <v>43160.0</v>
      </c>
      <c r="H319" s="20" t="str">
        <f t="shared" si="23"/>
        <v>2018</v>
      </c>
      <c r="I319" s="8" t="s">
        <v>186</v>
      </c>
      <c r="J319" s="158" t="s">
        <v>112</v>
      </c>
      <c r="K319" s="220" t="s">
        <v>112</v>
      </c>
      <c r="L319" s="156" t="s">
        <v>1336</v>
      </c>
      <c r="M319" s="190" t="s">
        <v>177</v>
      </c>
      <c r="N319" s="158" t="s">
        <v>1436</v>
      </c>
      <c r="O319" s="8" t="s">
        <v>1437</v>
      </c>
      <c r="P319" s="158" t="s">
        <v>106</v>
      </c>
      <c r="Q319" s="158" t="s">
        <v>112</v>
      </c>
      <c r="R319" s="158">
        <v>427022.2</v>
      </c>
      <c r="S319" s="158">
        <v>9643133.6</v>
      </c>
      <c r="T319" s="158">
        <v>-75.6568545</v>
      </c>
      <c r="U319" s="158">
        <v>-3.2284345</v>
      </c>
      <c r="V319" s="156" t="s">
        <v>1423</v>
      </c>
      <c r="W319" s="158" t="s">
        <v>112</v>
      </c>
      <c r="X319" s="158" t="s">
        <v>112</v>
      </c>
      <c r="Y319" s="158" t="s">
        <v>112</v>
      </c>
      <c r="Z319" s="8" t="s">
        <v>148</v>
      </c>
      <c r="AA319" s="23" t="s">
        <v>144</v>
      </c>
      <c r="AB319" s="8" t="s">
        <v>361</v>
      </c>
      <c r="AE319" s="24"/>
      <c r="AM319" s="24"/>
    </row>
    <row r="320" ht="15.75" customHeight="1">
      <c r="A320" s="8">
        <v>881.0</v>
      </c>
      <c r="B320" s="158" t="s">
        <v>1438</v>
      </c>
      <c r="C320" s="158" t="s">
        <v>52</v>
      </c>
      <c r="D320" s="158" t="s">
        <v>1439</v>
      </c>
      <c r="E320" s="158" t="s">
        <v>112</v>
      </c>
      <c r="F320" s="190" t="s">
        <v>1440</v>
      </c>
      <c r="G320" s="164">
        <v>42767.0</v>
      </c>
      <c r="H320" s="20" t="str">
        <f t="shared" si="23"/>
        <v>2017</v>
      </c>
      <c r="I320" s="8" t="s">
        <v>1441</v>
      </c>
      <c r="J320" s="158" t="s">
        <v>112</v>
      </c>
      <c r="K320" s="220" t="s">
        <v>112</v>
      </c>
      <c r="L320" s="158" t="s">
        <v>1336</v>
      </c>
      <c r="M320" s="157" t="s">
        <v>177</v>
      </c>
      <c r="N320" s="223" t="s">
        <v>1442</v>
      </c>
      <c r="O320" s="8" t="s">
        <v>1443</v>
      </c>
      <c r="P320" s="158" t="s">
        <v>106</v>
      </c>
      <c r="Q320" s="158" t="s">
        <v>112</v>
      </c>
      <c r="R320" s="158">
        <v>427195.0</v>
      </c>
      <c r="S320" s="158">
        <v>9638539.0</v>
      </c>
      <c r="T320" s="158">
        <v>-75.6553625</v>
      </c>
      <c r="U320" s="158">
        <v>-3.2700532</v>
      </c>
      <c r="V320" s="156" t="s">
        <v>1423</v>
      </c>
      <c r="W320" s="158" t="s">
        <v>112</v>
      </c>
      <c r="X320" s="158">
        <v>0.0</v>
      </c>
      <c r="Y320" s="166" t="s">
        <v>1444</v>
      </c>
      <c r="Z320" s="8" t="s">
        <v>148</v>
      </c>
      <c r="AA320" s="23" t="s">
        <v>144</v>
      </c>
      <c r="AB320" s="8" t="s">
        <v>386</v>
      </c>
      <c r="AE320" s="24"/>
      <c r="AM320" s="24"/>
    </row>
    <row r="321" ht="15.75" customHeight="1">
      <c r="A321" s="8">
        <v>133.0</v>
      </c>
      <c r="B321" s="146" t="s">
        <v>1445</v>
      </c>
      <c r="C321" s="128" t="s">
        <v>50</v>
      </c>
      <c r="D321" s="128" t="s">
        <v>89</v>
      </c>
      <c r="E321" s="128" t="s">
        <v>1369</v>
      </c>
      <c r="F321" s="146" t="s">
        <v>1446</v>
      </c>
      <c r="G321" s="146" t="s">
        <v>112</v>
      </c>
      <c r="H321" s="28" t="s">
        <v>112</v>
      </c>
      <c r="I321" s="8" t="s">
        <v>97</v>
      </c>
      <c r="J321" s="128" t="s">
        <v>158</v>
      </c>
      <c r="K321" s="221" t="s">
        <v>99</v>
      </c>
      <c r="L321" s="146" t="s">
        <v>1336</v>
      </c>
      <c r="M321" s="128" t="s">
        <v>101</v>
      </c>
      <c r="N321" s="128" t="s">
        <v>1447</v>
      </c>
      <c r="O321" s="8" t="s">
        <v>1448</v>
      </c>
      <c r="P321" s="128" t="s">
        <v>106</v>
      </c>
      <c r="Q321" s="128">
        <v>181.0</v>
      </c>
      <c r="R321" s="185">
        <v>427228.0</v>
      </c>
      <c r="S321" s="185">
        <v>9635106.0</v>
      </c>
      <c r="T321" s="128">
        <v>-3.3010542</v>
      </c>
      <c r="U321" s="128">
        <v>-75.6550423</v>
      </c>
      <c r="V321" s="224" t="s">
        <v>1375</v>
      </c>
      <c r="W321" s="128" t="s">
        <v>112</v>
      </c>
      <c r="X321" s="128" t="s">
        <v>112</v>
      </c>
      <c r="Y321" s="128" t="s">
        <v>112</v>
      </c>
      <c r="Z321" s="23" t="s">
        <v>42</v>
      </c>
      <c r="AA321" s="23" t="s">
        <v>115</v>
      </c>
      <c r="AB321" s="31" t="s">
        <v>377</v>
      </c>
      <c r="AE321" s="24"/>
      <c r="AM321" s="24"/>
    </row>
    <row r="322" ht="15.75" customHeight="1">
      <c r="A322" s="8">
        <v>96.0</v>
      </c>
      <c r="B322" s="146" t="s">
        <v>1449</v>
      </c>
      <c r="C322" s="128" t="s">
        <v>57</v>
      </c>
      <c r="D322" s="128" t="s">
        <v>89</v>
      </c>
      <c r="E322" s="128" t="s">
        <v>1379</v>
      </c>
      <c r="F322" s="146" t="s">
        <v>1450</v>
      </c>
      <c r="G322" s="146" t="s">
        <v>112</v>
      </c>
      <c r="H322" s="28" t="s">
        <v>112</v>
      </c>
      <c r="I322" s="8" t="s">
        <v>63</v>
      </c>
      <c r="J322" s="128" t="s">
        <v>98</v>
      </c>
      <c r="K322" s="221" t="s">
        <v>99</v>
      </c>
      <c r="L322" s="146" t="s">
        <v>100</v>
      </c>
      <c r="M322" s="128" t="s">
        <v>101</v>
      </c>
      <c r="N322" s="128" t="s">
        <v>1451</v>
      </c>
      <c r="O322" s="8" t="s">
        <v>1452</v>
      </c>
      <c r="P322" s="128" t="s">
        <v>106</v>
      </c>
      <c r="Q322" s="128" t="s">
        <v>1453</v>
      </c>
      <c r="R322" s="185">
        <v>427248.0</v>
      </c>
      <c r="S322" s="185">
        <v>9729943.0</v>
      </c>
      <c r="T322" s="128">
        <v>-2.4431066</v>
      </c>
      <c r="U322" s="128">
        <v>-75.65437187</v>
      </c>
      <c r="V322" s="128" t="s">
        <v>1454</v>
      </c>
      <c r="W322" s="128" t="s">
        <v>1455</v>
      </c>
      <c r="X322" s="128" t="s">
        <v>112</v>
      </c>
      <c r="Y322" s="128" t="s">
        <v>112</v>
      </c>
      <c r="Z322" s="23" t="s">
        <v>42</v>
      </c>
      <c r="AA322" s="23" t="s">
        <v>115</v>
      </c>
      <c r="AB322" s="8" t="s">
        <v>112</v>
      </c>
      <c r="AE322" s="24"/>
      <c r="AM322" s="24"/>
    </row>
    <row r="323" ht="15.75" customHeight="1">
      <c r="A323" s="8">
        <v>97.0</v>
      </c>
      <c r="B323" s="146" t="s">
        <v>1456</v>
      </c>
      <c r="C323" s="128" t="s">
        <v>57</v>
      </c>
      <c r="D323" s="128" t="s">
        <v>89</v>
      </c>
      <c r="E323" s="128" t="s">
        <v>1379</v>
      </c>
      <c r="F323" s="146" t="s">
        <v>1450</v>
      </c>
      <c r="G323" s="146" t="s">
        <v>112</v>
      </c>
      <c r="H323" s="28" t="s">
        <v>112</v>
      </c>
      <c r="I323" s="8" t="s">
        <v>63</v>
      </c>
      <c r="J323" s="128" t="s">
        <v>98</v>
      </c>
      <c r="K323" s="221" t="s">
        <v>99</v>
      </c>
      <c r="L323" s="146" t="s">
        <v>100</v>
      </c>
      <c r="M323" s="128" t="s">
        <v>101</v>
      </c>
      <c r="N323" s="128" t="s">
        <v>1457</v>
      </c>
      <c r="O323" s="23" t="s">
        <v>1458</v>
      </c>
      <c r="P323" s="128" t="s">
        <v>106</v>
      </c>
      <c r="Q323" s="128" t="s">
        <v>1459</v>
      </c>
      <c r="R323" s="185">
        <v>427255.0</v>
      </c>
      <c r="S323" s="185">
        <v>9729917.0</v>
      </c>
      <c r="T323" s="128">
        <v>-2.44334801</v>
      </c>
      <c r="U323" s="128">
        <v>-75.65431237</v>
      </c>
      <c r="V323" s="128" t="s">
        <v>1454</v>
      </c>
      <c r="W323" s="128" t="s">
        <v>1460</v>
      </c>
      <c r="X323" s="128" t="s">
        <v>112</v>
      </c>
      <c r="Y323" s="128" t="s">
        <v>112</v>
      </c>
      <c r="Z323" s="23" t="s">
        <v>42</v>
      </c>
      <c r="AA323" s="23" t="s">
        <v>115</v>
      </c>
      <c r="AB323" s="8" t="s">
        <v>112</v>
      </c>
      <c r="AE323" s="24"/>
      <c r="AM323" s="24"/>
    </row>
    <row r="324" ht="15.75" customHeight="1">
      <c r="A324" s="8">
        <v>14.0</v>
      </c>
      <c r="B324" s="146" t="s">
        <v>1461</v>
      </c>
      <c r="C324" s="128" t="s">
        <v>57</v>
      </c>
      <c r="D324" s="128" t="s">
        <v>1378</v>
      </c>
      <c r="E324" s="128" t="s">
        <v>1379</v>
      </c>
      <c r="F324" s="182">
        <v>43556.0</v>
      </c>
      <c r="G324" s="146" t="s">
        <v>112</v>
      </c>
      <c r="H324" s="28" t="s">
        <v>112</v>
      </c>
      <c r="I324" s="8" t="s">
        <v>63</v>
      </c>
      <c r="J324" s="128" t="s">
        <v>112</v>
      </c>
      <c r="K324" s="221" t="s">
        <v>99</v>
      </c>
      <c r="L324" s="146" t="s">
        <v>100</v>
      </c>
      <c r="M324" s="141" t="s">
        <v>150</v>
      </c>
      <c r="N324" s="128" t="s">
        <v>63</v>
      </c>
      <c r="O324" s="8" t="s">
        <v>1462</v>
      </c>
      <c r="P324" s="128" t="s">
        <v>106</v>
      </c>
      <c r="Q324" s="128">
        <v>188.0</v>
      </c>
      <c r="R324" s="128">
        <v>427256.0</v>
      </c>
      <c r="S324" s="128">
        <v>9729919.0</v>
      </c>
      <c r="T324" s="128"/>
      <c r="U324" s="128"/>
      <c r="V324" s="128" t="s">
        <v>153</v>
      </c>
      <c r="W324" s="128" t="s">
        <v>154</v>
      </c>
      <c r="X324" s="128" t="s">
        <v>112</v>
      </c>
      <c r="Y324" s="128" t="s">
        <v>112</v>
      </c>
      <c r="Z324" s="23" t="s">
        <v>42</v>
      </c>
      <c r="AA324" s="23" t="s">
        <v>115</v>
      </c>
      <c r="AB324" s="8" t="s">
        <v>343</v>
      </c>
      <c r="AE324" s="24"/>
      <c r="AM324" s="24"/>
    </row>
    <row r="325" ht="15.75" customHeight="1">
      <c r="A325" s="8">
        <v>126.0</v>
      </c>
      <c r="B325" s="146" t="s">
        <v>1463</v>
      </c>
      <c r="C325" s="128" t="s">
        <v>57</v>
      </c>
      <c r="D325" s="128" t="s">
        <v>89</v>
      </c>
      <c r="E325" s="128" t="s">
        <v>1379</v>
      </c>
      <c r="F325" s="146" t="s">
        <v>1464</v>
      </c>
      <c r="G325" s="146" t="s">
        <v>112</v>
      </c>
      <c r="H325" s="28" t="s">
        <v>112</v>
      </c>
      <c r="I325" s="8" t="s">
        <v>63</v>
      </c>
      <c r="J325" s="128" t="s">
        <v>98</v>
      </c>
      <c r="K325" s="221" t="s">
        <v>99</v>
      </c>
      <c r="L325" s="146" t="s">
        <v>100</v>
      </c>
      <c r="M325" s="128" t="s">
        <v>101</v>
      </c>
      <c r="N325" s="128" t="s">
        <v>1465</v>
      </c>
      <c r="O325" s="8" t="s">
        <v>1466</v>
      </c>
      <c r="P325" s="128" t="s">
        <v>106</v>
      </c>
      <c r="Q325" s="128" t="s">
        <v>679</v>
      </c>
      <c r="R325" s="185">
        <v>427437.0</v>
      </c>
      <c r="S325" s="185">
        <v>9726958.0</v>
      </c>
      <c r="T325" s="128">
        <v>-2.47011935</v>
      </c>
      <c r="U325" s="128">
        <v>-75.65269113</v>
      </c>
      <c r="V325" s="128" t="s">
        <v>1454</v>
      </c>
      <c r="W325" s="128" t="s">
        <v>1467</v>
      </c>
      <c r="X325" s="128" t="s">
        <v>112</v>
      </c>
      <c r="Y325" s="128" t="s">
        <v>112</v>
      </c>
      <c r="Z325" s="23" t="s">
        <v>42</v>
      </c>
      <c r="AA325" s="23" t="s">
        <v>115</v>
      </c>
      <c r="AB325" s="8" t="s">
        <v>112</v>
      </c>
      <c r="AE325" s="24"/>
      <c r="AM325" s="24"/>
    </row>
    <row r="326" ht="15.75" customHeight="1">
      <c r="A326" s="8">
        <v>25.0</v>
      </c>
      <c r="B326" s="146" t="s">
        <v>1468</v>
      </c>
      <c r="C326" s="128" t="s">
        <v>57</v>
      </c>
      <c r="D326" s="128" t="s">
        <v>1378</v>
      </c>
      <c r="E326" s="128" t="s">
        <v>1379</v>
      </c>
      <c r="F326" s="182">
        <v>43556.0</v>
      </c>
      <c r="G326" s="146" t="s">
        <v>112</v>
      </c>
      <c r="H326" s="28" t="s">
        <v>112</v>
      </c>
      <c r="I326" s="8" t="s">
        <v>63</v>
      </c>
      <c r="J326" s="128" t="s">
        <v>112</v>
      </c>
      <c r="K326" s="221" t="s">
        <v>99</v>
      </c>
      <c r="L326" s="146" t="s">
        <v>100</v>
      </c>
      <c r="M326" s="141" t="s">
        <v>150</v>
      </c>
      <c r="N326" s="128" t="s">
        <v>1469</v>
      </c>
      <c r="O326" s="8" t="s">
        <v>1426</v>
      </c>
      <c r="P326" s="128" t="s">
        <v>106</v>
      </c>
      <c r="Q326" s="128">
        <v>190.0</v>
      </c>
      <c r="R326" s="128">
        <v>427444.0</v>
      </c>
      <c r="S326" s="128">
        <v>9726964.0</v>
      </c>
      <c r="T326" s="128"/>
      <c r="U326" s="128"/>
      <c r="V326" s="128" t="s">
        <v>153</v>
      </c>
      <c r="W326" s="128" t="s">
        <v>154</v>
      </c>
      <c r="X326" s="128" t="s">
        <v>112</v>
      </c>
      <c r="Y326" s="128" t="s">
        <v>112</v>
      </c>
      <c r="Z326" s="23" t="s">
        <v>42</v>
      </c>
      <c r="AA326" s="23" t="s">
        <v>115</v>
      </c>
      <c r="AB326" s="8" t="s">
        <v>343</v>
      </c>
      <c r="AE326" s="24"/>
      <c r="AM326" s="24"/>
    </row>
    <row r="327" ht="15.75" customHeight="1">
      <c r="A327" s="8">
        <v>94.0</v>
      </c>
      <c r="B327" s="146" t="s">
        <v>1470</v>
      </c>
      <c r="C327" s="128" t="s">
        <v>50</v>
      </c>
      <c r="D327" s="128" t="s">
        <v>694</v>
      </c>
      <c r="E327" s="128" t="s">
        <v>1369</v>
      </c>
      <c r="F327" s="146" t="s">
        <v>1471</v>
      </c>
      <c r="G327" s="146" t="s">
        <v>112</v>
      </c>
      <c r="H327" s="28" t="s">
        <v>112</v>
      </c>
      <c r="I327" s="8" t="s">
        <v>63</v>
      </c>
      <c r="J327" s="128" t="s">
        <v>112</v>
      </c>
      <c r="K327" s="221" t="s">
        <v>99</v>
      </c>
      <c r="L327" s="146" t="s">
        <v>1336</v>
      </c>
      <c r="M327" s="128" t="s">
        <v>101</v>
      </c>
      <c r="N327" s="128" t="s">
        <v>1138</v>
      </c>
      <c r="O327" s="8"/>
      <c r="P327" s="128" t="s">
        <v>106</v>
      </c>
      <c r="Q327" s="128"/>
      <c r="R327" s="128">
        <v>427445.0</v>
      </c>
      <c r="S327" s="128">
        <v>9641426.0</v>
      </c>
      <c r="T327" s="128"/>
      <c r="U327" s="128"/>
      <c r="V327" s="128" t="s">
        <v>1472</v>
      </c>
      <c r="W327" s="128" t="s">
        <v>112</v>
      </c>
      <c r="X327" s="128" t="s">
        <v>112</v>
      </c>
      <c r="Y327" s="128" t="s">
        <v>112</v>
      </c>
      <c r="Z327" s="23" t="s">
        <v>42</v>
      </c>
      <c r="AA327" s="23" t="s">
        <v>115</v>
      </c>
      <c r="AB327" s="8" t="s">
        <v>112</v>
      </c>
      <c r="AE327" s="24"/>
      <c r="AM327" s="24"/>
    </row>
    <row r="328" ht="15.75" customHeight="1">
      <c r="A328" s="8">
        <v>93.0</v>
      </c>
      <c r="B328" s="146" t="s">
        <v>1473</v>
      </c>
      <c r="C328" s="128" t="s">
        <v>50</v>
      </c>
      <c r="D328" s="128" t="s">
        <v>89</v>
      </c>
      <c r="E328" s="128" t="s">
        <v>1369</v>
      </c>
      <c r="F328" s="146" t="s">
        <v>1474</v>
      </c>
      <c r="G328" s="146" t="s">
        <v>112</v>
      </c>
      <c r="H328" s="28" t="s">
        <v>112</v>
      </c>
      <c r="I328" s="23" t="s">
        <v>1475</v>
      </c>
      <c r="J328" s="128" t="s">
        <v>63</v>
      </c>
      <c r="K328" s="221" t="s">
        <v>99</v>
      </c>
      <c r="L328" s="146" t="s">
        <v>1336</v>
      </c>
      <c r="M328" s="128" t="s">
        <v>101</v>
      </c>
      <c r="N328" s="128" t="s">
        <v>1476</v>
      </c>
      <c r="O328" s="23" t="s">
        <v>1477</v>
      </c>
      <c r="P328" s="128" t="s">
        <v>106</v>
      </c>
      <c r="Q328" s="128" t="s">
        <v>1478</v>
      </c>
      <c r="R328" s="185">
        <v>427509.0</v>
      </c>
      <c r="S328" s="185">
        <v>9641384.0</v>
      </c>
      <c r="T328" s="128">
        <v>-3.244259</v>
      </c>
      <c r="U328" s="128">
        <v>-75.6524784</v>
      </c>
      <c r="V328" s="128" t="s">
        <v>1375</v>
      </c>
      <c r="W328" s="128" t="s">
        <v>112</v>
      </c>
      <c r="X328" s="128" t="s">
        <v>112</v>
      </c>
      <c r="Y328" s="128" t="s">
        <v>112</v>
      </c>
      <c r="Z328" s="23" t="s">
        <v>42</v>
      </c>
      <c r="AA328" s="23" t="s">
        <v>115</v>
      </c>
      <c r="AB328" s="8" t="s">
        <v>269</v>
      </c>
      <c r="AE328" s="24"/>
      <c r="AM328" s="24"/>
    </row>
    <row r="329" ht="15.75" customHeight="1">
      <c r="A329" s="8">
        <v>85.0</v>
      </c>
      <c r="B329" s="146" t="s">
        <v>1479</v>
      </c>
      <c r="C329" s="128" t="s">
        <v>50</v>
      </c>
      <c r="D329" s="128" t="s">
        <v>694</v>
      </c>
      <c r="E329" s="128" t="s">
        <v>1369</v>
      </c>
      <c r="F329" s="182">
        <v>43621.0</v>
      </c>
      <c r="G329" s="146" t="s">
        <v>112</v>
      </c>
      <c r="H329" s="28" t="s">
        <v>112</v>
      </c>
      <c r="I329" s="8" t="s">
        <v>63</v>
      </c>
      <c r="J329" s="128" t="s">
        <v>112</v>
      </c>
      <c r="K329" s="221" t="s">
        <v>99</v>
      </c>
      <c r="L329" s="146" t="s">
        <v>1336</v>
      </c>
      <c r="M329" s="128" t="s">
        <v>101</v>
      </c>
      <c r="N329" s="128" t="s">
        <v>1138</v>
      </c>
      <c r="O329" s="8"/>
      <c r="P329" s="128" t="s">
        <v>106</v>
      </c>
      <c r="Q329" s="128"/>
      <c r="R329" s="128">
        <v>427569.0</v>
      </c>
      <c r="S329" s="128">
        <v>9641334.0</v>
      </c>
      <c r="T329" s="128"/>
      <c r="U329" s="128"/>
      <c r="V329" s="128" t="s">
        <v>1472</v>
      </c>
      <c r="W329" s="128" t="s">
        <v>112</v>
      </c>
      <c r="X329" s="128" t="s">
        <v>112</v>
      </c>
      <c r="Y329" s="128" t="s">
        <v>112</v>
      </c>
      <c r="Z329" s="23" t="s">
        <v>42</v>
      </c>
      <c r="AA329" s="23" t="s">
        <v>115</v>
      </c>
      <c r="AB329" s="8" t="s">
        <v>112</v>
      </c>
      <c r="AE329" s="24"/>
      <c r="AM329" s="24"/>
    </row>
    <row r="330" ht="15.75" customHeight="1">
      <c r="A330" s="8">
        <v>135.0</v>
      </c>
      <c r="B330" s="146" t="s">
        <v>1480</v>
      </c>
      <c r="C330" s="128" t="s">
        <v>50</v>
      </c>
      <c r="D330" s="128" t="s">
        <v>89</v>
      </c>
      <c r="E330" s="128" t="s">
        <v>1369</v>
      </c>
      <c r="F330" s="146" t="s">
        <v>1481</v>
      </c>
      <c r="G330" s="146" t="s">
        <v>112</v>
      </c>
      <c r="H330" s="28" t="s">
        <v>112</v>
      </c>
      <c r="I330" s="8" t="s">
        <v>97</v>
      </c>
      <c r="J330" s="128" t="s">
        <v>158</v>
      </c>
      <c r="K330" s="221" t="s">
        <v>99</v>
      </c>
      <c r="L330" s="146" t="s">
        <v>1336</v>
      </c>
      <c r="M330" s="128" t="s">
        <v>101</v>
      </c>
      <c r="N330" s="128" t="s">
        <v>1482</v>
      </c>
      <c r="O330" s="23" t="s">
        <v>1483</v>
      </c>
      <c r="P330" s="128" t="s">
        <v>106</v>
      </c>
      <c r="Q330" s="128" t="s">
        <v>1484</v>
      </c>
      <c r="R330" s="185">
        <v>427578.0</v>
      </c>
      <c r="S330" s="185">
        <v>9632862.0</v>
      </c>
      <c r="T330" s="128">
        <v>-3.3213535</v>
      </c>
      <c r="U330" s="128">
        <v>-75.6519113</v>
      </c>
      <c r="V330" s="224" t="s">
        <v>1375</v>
      </c>
      <c r="W330" s="128" t="s">
        <v>112</v>
      </c>
      <c r="X330" s="128">
        <v>1.0</v>
      </c>
      <c r="Y330" s="128" t="s">
        <v>112</v>
      </c>
      <c r="Z330" s="23" t="s">
        <v>42</v>
      </c>
      <c r="AA330" s="23" t="s">
        <v>115</v>
      </c>
      <c r="AB330" s="31" t="s">
        <v>377</v>
      </c>
      <c r="AE330" s="24"/>
      <c r="AM330" s="24"/>
    </row>
    <row r="331" ht="15.75" customHeight="1">
      <c r="A331" s="8">
        <v>40.0</v>
      </c>
      <c r="B331" s="146" t="s">
        <v>1485</v>
      </c>
      <c r="C331" s="128" t="s">
        <v>57</v>
      </c>
      <c r="D331" s="128" t="s">
        <v>1378</v>
      </c>
      <c r="E331" s="128" t="s">
        <v>1379</v>
      </c>
      <c r="F331" s="182">
        <v>43556.0</v>
      </c>
      <c r="G331" s="146" t="s">
        <v>112</v>
      </c>
      <c r="H331" s="28" t="s">
        <v>112</v>
      </c>
      <c r="I331" s="8" t="s">
        <v>63</v>
      </c>
      <c r="J331" s="128" t="s">
        <v>112</v>
      </c>
      <c r="K331" s="221" t="s">
        <v>99</v>
      </c>
      <c r="L331" s="146" t="s">
        <v>100</v>
      </c>
      <c r="M331" s="141" t="s">
        <v>150</v>
      </c>
      <c r="N331" s="128" t="s">
        <v>1486</v>
      </c>
      <c r="O331" s="8" t="s">
        <v>1431</v>
      </c>
      <c r="P331" s="128" t="s">
        <v>106</v>
      </c>
      <c r="Q331" s="128">
        <v>180.0</v>
      </c>
      <c r="R331" s="128">
        <v>427765.0</v>
      </c>
      <c r="S331" s="128">
        <v>9727249.0</v>
      </c>
      <c r="T331" s="128"/>
      <c r="U331" s="128"/>
      <c r="V331" s="128" t="s">
        <v>153</v>
      </c>
      <c r="W331" s="128" t="s">
        <v>154</v>
      </c>
      <c r="X331" s="128" t="s">
        <v>112</v>
      </c>
      <c r="Y331" s="128" t="s">
        <v>112</v>
      </c>
      <c r="Z331" s="23" t="s">
        <v>42</v>
      </c>
      <c r="AA331" s="23" t="s">
        <v>115</v>
      </c>
      <c r="AB331" s="8" t="s">
        <v>343</v>
      </c>
      <c r="AE331" s="24"/>
      <c r="AM331" s="24"/>
    </row>
    <row r="332" ht="15.75" customHeight="1">
      <c r="A332" s="8">
        <v>98.0</v>
      </c>
      <c r="B332" s="146" t="s">
        <v>1487</v>
      </c>
      <c r="C332" s="128" t="s">
        <v>57</v>
      </c>
      <c r="D332" s="128" t="s">
        <v>89</v>
      </c>
      <c r="E332" s="128" t="s">
        <v>1379</v>
      </c>
      <c r="F332" s="146" t="s">
        <v>1450</v>
      </c>
      <c r="G332" s="146" t="s">
        <v>112</v>
      </c>
      <c r="H332" s="28" t="s">
        <v>112</v>
      </c>
      <c r="I332" s="8" t="s">
        <v>63</v>
      </c>
      <c r="J332" s="128" t="s">
        <v>98</v>
      </c>
      <c r="K332" s="221" t="s">
        <v>99</v>
      </c>
      <c r="L332" s="146" t="s">
        <v>100</v>
      </c>
      <c r="M332" s="128" t="s">
        <v>101</v>
      </c>
      <c r="N332" s="128" t="s">
        <v>1488</v>
      </c>
      <c r="O332" s="8" t="s">
        <v>1489</v>
      </c>
      <c r="P332" s="128" t="s">
        <v>106</v>
      </c>
      <c r="Q332" s="128" t="s">
        <v>1490</v>
      </c>
      <c r="R332" s="185">
        <v>427816.0</v>
      </c>
      <c r="S332" s="185">
        <v>9729232.0</v>
      </c>
      <c r="T332" s="128">
        <v>-2.44954886</v>
      </c>
      <c r="U332" s="128">
        <v>-75.64927434</v>
      </c>
      <c r="V332" s="128" t="s">
        <v>1454</v>
      </c>
      <c r="W332" s="128" t="s">
        <v>1491</v>
      </c>
      <c r="X332" s="128" t="s">
        <v>112</v>
      </c>
      <c r="Y332" s="128" t="s">
        <v>112</v>
      </c>
      <c r="Z332" s="23" t="s">
        <v>42</v>
      </c>
      <c r="AA332" s="23" t="s">
        <v>115</v>
      </c>
      <c r="AB332" s="8" t="s">
        <v>112</v>
      </c>
      <c r="AE332" s="24"/>
      <c r="AM332" s="24"/>
    </row>
    <row r="333" ht="15.75" customHeight="1">
      <c r="A333" s="8">
        <v>845.0</v>
      </c>
      <c r="B333" s="158" t="s">
        <v>1492</v>
      </c>
      <c r="C333" s="158" t="s">
        <v>57</v>
      </c>
      <c r="D333" s="158" t="s">
        <v>213</v>
      </c>
      <c r="E333" s="158" t="s">
        <v>112</v>
      </c>
      <c r="F333" s="205">
        <v>42877.0</v>
      </c>
      <c r="G333" s="164">
        <v>42856.0</v>
      </c>
      <c r="H333" s="20" t="str">
        <f>TEXT(G333, "yyyy")</f>
        <v>2017</v>
      </c>
      <c r="I333" s="8" t="s">
        <v>63</v>
      </c>
      <c r="J333" s="158" t="s">
        <v>112</v>
      </c>
      <c r="K333" s="220" t="s">
        <v>112</v>
      </c>
      <c r="L333" s="158" t="s">
        <v>100</v>
      </c>
      <c r="M333" s="211" t="s">
        <v>177</v>
      </c>
      <c r="N333" s="158" t="s">
        <v>1493</v>
      </c>
      <c r="O333" s="8" t="s">
        <v>1494</v>
      </c>
      <c r="P333" s="158" t="s">
        <v>106</v>
      </c>
      <c r="Q333" s="158" t="s">
        <v>112</v>
      </c>
      <c r="R333" s="158">
        <v>427866.9</v>
      </c>
      <c r="S333" s="158">
        <v>9727239.7</v>
      </c>
      <c r="T333" s="158" t="s">
        <v>1495</v>
      </c>
      <c r="U333" s="158" t="s">
        <v>1496</v>
      </c>
      <c r="V333" s="158" t="s">
        <v>1454</v>
      </c>
      <c r="W333" s="158" t="s">
        <v>112</v>
      </c>
      <c r="X333" s="158" t="s">
        <v>112</v>
      </c>
      <c r="Y333" s="158" t="s">
        <v>112</v>
      </c>
      <c r="Z333" s="8" t="s">
        <v>148</v>
      </c>
      <c r="AA333" s="23" t="s">
        <v>144</v>
      </c>
      <c r="AB333" s="8" t="s">
        <v>350</v>
      </c>
      <c r="AE333" s="24"/>
      <c r="AM333" s="24"/>
    </row>
    <row r="334" ht="15.75" customHeight="1">
      <c r="A334" s="8">
        <v>99.0</v>
      </c>
      <c r="B334" s="146" t="s">
        <v>1497</v>
      </c>
      <c r="C334" s="128" t="s">
        <v>57</v>
      </c>
      <c r="D334" s="128" t="s">
        <v>89</v>
      </c>
      <c r="E334" s="128" t="s">
        <v>1379</v>
      </c>
      <c r="F334" s="146" t="s">
        <v>1450</v>
      </c>
      <c r="G334" s="146" t="s">
        <v>112</v>
      </c>
      <c r="H334" s="28" t="s">
        <v>112</v>
      </c>
      <c r="I334" s="8" t="s">
        <v>63</v>
      </c>
      <c r="J334" s="128" t="s">
        <v>98</v>
      </c>
      <c r="K334" s="221" t="s">
        <v>99</v>
      </c>
      <c r="L334" s="146" t="s">
        <v>100</v>
      </c>
      <c r="M334" s="128" t="s">
        <v>101</v>
      </c>
      <c r="N334" s="128" t="s">
        <v>1498</v>
      </c>
      <c r="O334" s="8" t="s">
        <v>1499</v>
      </c>
      <c r="P334" s="128" t="s">
        <v>106</v>
      </c>
      <c r="Q334" s="128" t="s">
        <v>1500</v>
      </c>
      <c r="R334" s="185">
        <v>427867.0</v>
      </c>
      <c r="S334" s="185">
        <v>9729164.0</v>
      </c>
      <c r="T334" s="128">
        <v>-2.4501616</v>
      </c>
      <c r="U334" s="128">
        <v>-75.64880942</v>
      </c>
      <c r="V334" s="128" t="s">
        <v>1454</v>
      </c>
      <c r="W334" s="128" t="s">
        <v>1501</v>
      </c>
      <c r="X334" s="128" t="s">
        <v>112</v>
      </c>
      <c r="Y334" s="128" t="s">
        <v>112</v>
      </c>
      <c r="Z334" s="23" t="s">
        <v>42</v>
      </c>
      <c r="AA334" s="23" t="s">
        <v>115</v>
      </c>
      <c r="AB334" s="8" t="s">
        <v>112</v>
      </c>
      <c r="AE334" s="24"/>
      <c r="AM334" s="24"/>
    </row>
    <row r="335" ht="15.75" customHeight="1">
      <c r="A335" s="8">
        <v>120.0</v>
      </c>
      <c r="B335" s="146" t="s">
        <v>1502</v>
      </c>
      <c r="C335" s="128" t="s">
        <v>57</v>
      </c>
      <c r="D335" s="128" t="s">
        <v>89</v>
      </c>
      <c r="E335" s="128" t="s">
        <v>1379</v>
      </c>
      <c r="F335" s="146" t="s">
        <v>1503</v>
      </c>
      <c r="G335" s="146" t="s">
        <v>112</v>
      </c>
      <c r="H335" s="28" t="s">
        <v>112</v>
      </c>
      <c r="I335" s="8" t="s">
        <v>63</v>
      </c>
      <c r="J335" s="128" t="s">
        <v>98</v>
      </c>
      <c r="K335" s="221" t="s">
        <v>99</v>
      </c>
      <c r="L335" s="146" t="s">
        <v>100</v>
      </c>
      <c r="M335" s="128" t="s">
        <v>101</v>
      </c>
      <c r="N335" s="128" t="s">
        <v>1504</v>
      </c>
      <c r="O335" s="8" t="s">
        <v>1505</v>
      </c>
      <c r="P335" s="128" t="s">
        <v>106</v>
      </c>
      <c r="Q335" s="128" t="s">
        <v>1506</v>
      </c>
      <c r="R335" s="185">
        <v>427946.0</v>
      </c>
      <c r="S335" s="185">
        <v>9727214.0</v>
      </c>
      <c r="T335" s="128">
        <v>-2.46780343</v>
      </c>
      <c r="U335" s="128">
        <v>-75.64810628</v>
      </c>
      <c r="V335" s="128" t="s">
        <v>1454</v>
      </c>
      <c r="W335" s="128" t="s">
        <v>1507</v>
      </c>
      <c r="X335" s="128" t="s">
        <v>112</v>
      </c>
      <c r="Y335" s="128" t="s">
        <v>112</v>
      </c>
      <c r="Z335" s="23" t="s">
        <v>42</v>
      </c>
      <c r="AA335" s="23" t="s">
        <v>115</v>
      </c>
      <c r="AB335" s="8" t="s">
        <v>112</v>
      </c>
      <c r="AE335" s="24"/>
      <c r="AM335" s="24"/>
    </row>
    <row r="336" ht="15.75" customHeight="1">
      <c r="A336" s="8">
        <v>125.0</v>
      </c>
      <c r="B336" s="146" t="s">
        <v>1508</v>
      </c>
      <c r="C336" s="128" t="s">
        <v>57</v>
      </c>
      <c r="D336" s="128" t="s">
        <v>89</v>
      </c>
      <c r="E336" s="128" t="s">
        <v>1379</v>
      </c>
      <c r="F336" s="146" t="s">
        <v>1464</v>
      </c>
      <c r="G336" s="146" t="s">
        <v>112</v>
      </c>
      <c r="H336" s="28" t="s">
        <v>112</v>
      </c>
      <c r="I336" s="8" t="s">
        <v>63</v>
      </c>
      <c r="J336" s="128" t="s">
        <v>98</v>
      </c>
      <c r="K336" s="221" t="s">
        <v>99</v>
      </c>
      <c r="L336" s="146" t="s">
        <v>100</v>
      </c>
      <c r="M336" s="128" t="s">
        <v>101</v>
      </c>
      <c r="N336" s="128" t="s">
        <v>1509</v>
      </c>
      <c r="O336" s="29" t="s">
        <v>1510</v>
      </c>
      <c r="P336" s="128" t="s">
        <v>106</v>
      </c>
      <c r="Q336" s="128" t="s">
        <v>1511</v>
      </c>
      <c r="R336" s="185">
        <v>427957.0</v>
      </c>
      <c r="S336" s="185">
        <v>9727210.0</v>
      </c>
      <c r="T336" s="128">
        <v>-2.46784067</v>
      </c>
      <c r="U336" s="128">
        <v>-75.64801086</v>
      </c>
      <c r="V336" s="128" t="s">
        <v>1454</v>
      </c>
      <c r="W336" s="128" t="s">
        <v>1512</v>
      </c>
      <c r="X336" s="128" t="s">
        <v>112</v>
      </c>
      <c r="Y336" s="128" t="s">
        <v>112</v>
      </c>
      <c r="Z336" s="23" t="s">
        <v>42</v>
      </c>
      <c r="AA336" s="23" t="s">
        <v>115</v>
      </c>
      <c r="AB336" s="8" t="s">
        <v>266</v>
      </c>
      <c r="AE336" s="24"/>
      <c r="AM336" s="24"/>
    </row>
    <row r="337" ht="15.75" customHeight="1">
      <c r="A337" s="8">
        <v>119.0</v>
      </c>
      <c r="B337" s="146" t="s">
        <v>1513</v>
      </c>
      <c r="C337" s="128" t="s">
        <v>57</v>
      </c>
      <c r="D337" s="128" t="s">
        <v>89</v>
      </c>
      <c r="E337" s="128" t="s">
        <v>1379</v>
      </c>
      <c r="F337" s="146" t="s">
        <v>1503</v>
      </c>
      <c r="G337" s="146" t="s">
        <v>112</v>
      </c>
      <c r="H337" s="28" t="s">
        <v>112</v>
      </c>
      <c r="I337" s="8" t="s">
        <v>97</v>
      </c>
      <c r="J337" s="128" t="s">
        <v>163</v>
      </c>
      <c r="K337" s="221" t="s">
        <v>99</v>
      </c>
      <c r="L337" s="146" t="s">
        <v>100</v>
      </c>
      <c r="M337" s="128" t="s">
        <v>101</v>
      </c>
      <c r="N337" s="128" t="s">
        <v>1514</v>
      </c>
      <c r="O337" s="8" t="s">
        <v>1515</v>
      </c>
      <c r="P337" s="128" t="s">
        <v>106</v>
      </c>
      <c r="Q337" s="128" t="s">
        <v>1516</v>
      </c>
      <c r="R337" s="185">
        <v>427963.0</v>
      </c>
      <c r="S337" s="185">
        <v>9726033.0</v>
      </c>
      <c r="T337" s="128">
        <v>-2.47836649</v>
      </c>
      <c r="U337" s="128">
        <v>-75.64796241</v>
      </c>
      <c r="V337" s="128" t="s">
        <v>1454</v>
      </c>
      <c r="W337" s="128" t="s">
        <v>1517</v>
      </c>
      <c r="X337" s="128" t="s">
        <v>112</v>
      </c>
      <c r="Y337" s="128" t="s">
        <v>112</v>
      </c>
      <c r="Z337" s="23" t="s">
        <v>42</v>
      </c>
      <c r="AA337" s="23" t="s">
        <v>115</v>
      </c>
      <c r="AB337" s="8" t="s">
        <v>112</v>
      </c>
      <c r="AE337" s="24"/>
      <c r="AM337" s="24"/>
    </row>
    <row r="338" ht="15.75" customHeight="1">
      <c r="A338" s="8">
        <v>161.0</v>
      </c>
      <c r="B338" s="146" t="s">
        <v>1518</v>
      </c>
      <c r="C338" s="128" t="s">
        <v>57</v>
      </c>
      <c r="D338" s="128" t="s">
        <v>89</v>
      </c>
      <c r="E338" s="128" t="s">
        <v>1379</v>
      </c>
      <c r="F338" s="146" t="s">
        <v>1519</v>
      </c>
      <c r="G338" s="225">
        <v>36708.0</v>
      </c>
      <c r="H338" s="50" t="str">
        <f>TEXT(G338, "yyyy")</f>
        <v>2000</v>
      </c>
      <c r="I338" s="8" t="s">
        <v>1371</v>
      </c>
      <c r="J338" s="128" t="s">
        <v>163</v>
      </c>
      <c r="K338" s="221" t="s">
        <v>99</v>
      </c>
      <c r="L338" s="146" t="s">
        <v>100</v>
      </c>
      <c r="M338" s="128" t="s">
        <v>101</v>
      </c>
      <c r="N338" s="226" t="s">
        <v>1520</v>
      </c>
      <c r="O338" s="45" t="s">
        <v>1521</v>
      </c>
      <c r="P338" s="128" t="s">
        <v>106</v>
      </c>
      <c r="Q338" s="128" t="s">
        <v>1522</v>
      </c>
      <c r="R338" s="128">
        <v>427965.0</v>
      </c>
      <c r="S338" s="128">
        <v>9726050.0</v>
      </c>
      <c r="T338" s="128">
        <v>-2.47833244</v>
      </c>
      <c r="U338" s="128">
        <v>-75.64794532</v>
      </c>
      <c r="V338" s="128" t="s">
        <v>1454</v>
      </c>
      <c r="W338" s="128" t="s">
        <v>1523</v>
      </c>
      <c r="X338" s="128">
        <v>0.0</v>
      </c>
      <c r="Y338" s="128" t="s">
        <v>112</v>
      </c>
      <c r="Z338" s="8" t="s">
        <v>36</v>
      </c>
      <c r="AA338" s="23" t="s">
        <v>144</v>
      </c>
      <c r="AB338" s="21"/>
      <c r="AE338" s="24"/>
      <c r="AM338" s="24"/>
    </row>
    <row r="339" ht="15.75" customHeight="1">
      <c r="A339" s="8">
        <v>23.0</v>
      </c>
      <c r="B339" s="146" t="s">
        <v>1524</v>
      </c>
      <c r="C339" s="128" t="s">
        <v>57</v>
      </c>
      <c r="D339" s="128" t="s">
        <v>1378</v>
      </c>
      <c r="E339" s="128" t="s">
        <v>1379</v>
      </c>
      <c r="F339" s="182">
        <v>43556.0</v>
      </c>
      <c r="G339" s="146" t="s">
        <v>112</v>
      </c>
      <c r="H339" s="28" t="s">
        <v>112</v>
      </c>
      <c r="I339" s="8" t="s">
        <v>63</v>
      </c>
      <c r="J339" s="128" t="s">
        <v>112</v>
      </c>
      <c r="K339" s="221" t="s">
        <v>99</v>
      </c>
      <c r="L339" s="146" t="s">
        <v>100</v>
      </c>
      <c r="M339" s="141" t="s">
        <v>150</v>
      </c>
      <c r="N339" s="128" t="s">
        <v>1525</v>
      </c>
      <c r="O339" s="8" t="s">
        <v>1426</v>
      </c>
      <c r="P339" s="128" t="s">
        <v>106</v>
      </c>
      <c r="Q339" s="128">
        <v>188.0</v>
      </c>
      <c r="R339" s="128">
        <v>428022.0</v>
      </c>
      <c r="S339" s="128">
        <v>9725902.0</v>
      </c>
      <c r="T339" s="128"/>
      <c r="U339" s="128"/>
      <c r="V339" s="128" t="s">
        <v>153</v>
      </c>
      <c r="W339" s="128" t="s">
        <v>154</v>
      </c>
      <c r="X339" s="128" t="s">
        <v>112</v>
      </c>
      <c r="Y339" s="128" t="s">
        <v>112</v>
      </c>
      <c r="Z339" s="23" t="s">
        <v>42</v>
      </c>
      <c r="AA339" s="23" t="s">
        <v>115</v>
      </c>
      <c r="AB339" s="8" t="s">
        <v>343</v>
      </c>
      <c r="AE339" s="24"/>
      <c r="AM339" s="24"/>
    </row>
    <row r="340" ht="15.75" customHeight="1">
      <c r="A340" s="8">
        <v>24.0</v>
      </c>
      <c r="B340" s="146" t="s">
        <v>1526</v>
      </c>
      <c r="C340" s="128" t="s">
        <v>57</v>
      </c>
      <c r="D340" s="128" t="s">
        <v>1378</v>
      </c>
      <c r="E340" s="128" t="s">
        <v>1379</v>
      </c>
      <c r="F340" s="182">
        <v>43556.0</v>
      </c>
      <c r="G340" s="146" t="s">
        <v>112</v>
      </c>
      <c r="H340" s="28" t="s">
        <v>112</v>
      </c>
      <c r="I340" s="8" t="s">
        <v>63</v>
      </c>
      <c r="J340" s="128" t="s">
        <v>112</v>
      </c>
      <c r="K340" s="221" t="s">
        <v>99</v>
      </c>
      <c r="L340" s="146" t="s">
        <v>100</v>
      </c>
      <c r="M340" s="141" t="s">
        <v>150</v>
      </c>
      <c r="N340" s="128" t="s">
        <v>1527</v>
      </c>
      <c r="O340" s="8" t="s">
        <v>1426</v>
      </c>
      <c r="P340" s="128" t="s">
        <v>106</v>
      </c>
      <c r="Q340" s="128">
        <v>180.0</v>
      </c>
      <c r="R340" s="128">
        <v>428026.0</v>
      </c>
      <c r="S340" s="128">
        <v>9726042.0</v>
      </c>
      <c r="T340" s="128"/>
      <c r="U340" s="128"/>
      <c r="V340" s="128" t="s">
        <v>153</v>
      </c>
      <c r="W340" s="128" t="s">
        <v>154</v>
      </c>
      <c r="X340" s="128" t="s">
        <v>112</v>
      </c>
      <c r="Y340" s="128" t="s">
        <v>112</v>
      </c>
      <c r="Z340" s="23" t="s">
        <v>42</v>
      </c>
      <c r="AA340" s="23" t="s">
        <v>115</v>
      </c>
      <c r="AB340" s="8" t="s">
        <v>343</v>
      </c>
      <c r="AE340" s="24"/>
      <c r="AM340" s="24"/>
    </row>
    <row r="341" ht="15.75" customHeight="1">
      <c r="A341" s="8">
        <v>124.0</v>
      </c>
      <c r="B341" s="146" t="s">
        <v>1528</v>
      </c>
      <c r="C341" s="128" t="s">
        <v>57</v>
      </c>
      <c r="D341" s="128" t="s">
        <v>89</v>
      </c>
      <c r="E341" s="128" t="s">
        <v>1379</v>
      </c>
      <c r="F341" s="146" t="s">
        <v>1529</v>
      </c>
      <c r="G341" s="146" t="s">
        <v>112</v>
      </c>
      <c r="H341" s="28" t="s">
        <v>112</v>
      </c>
      <c r="I341" s="8" t="s">
        <v>97</v>
      </c>
      <c r="J341" s="128" t="s">
        <v>163</v>
      </c>
      <c r="K341" s="221" t="s">
        <v>99</v>
      </c>
      <c r="L341" s="146" t="s">
        <v>100</v>
      </c>
      <c r="M341" s="128" t="s">
        <v>101</v>
      </c>
      <c r="N341" s="128" t="s">
        <v>1530</v>
      </c>
      <c r="O341" s="8" t="s">
        <v>1531</v>
      </c>
      <c r="P341" s="128" t="s">
        <v>106</v>
      </c>
      <c r="Q341" s="128" t="s">
        <v>1532</v>
      </c>
      <c r="R341" s="185">
        <v>428039.0</v>
      </c>
      <c r="S341" s="185">
        <v>9725901.0</v>
      </c>
      <c r="T341" s="128">
        <v>-2.47968082</v>
      </c>
      <c r="U341" s="128">
        <v>-75.64727963</v>
      </c>
      <c r="V341" s="128" t="s">
        <v>1533</v>
      </c>
      <c r="W341" s="128"/>
      <c r="X341" s="128" t="s">
        <v>112</v>
      </c>
      <c r="Y341" s="128" t="s">
        <v>112</v>
      </c>
      <c r="Z341" s="23" t="s">
        <v>42</v>
      </c>
      <c r="AA341" s="23" t="s">
        <v>115</v>
      </c>
      <c r="AB341" s="8" t="s">
        <v>112</v>
      </c>
      <c r="AE341" s="24"/>
      <c r="AM341" s="24"/>
    </row>
    <row r="342" ht="15.75" customHeight="1">
      <c r="A342" s="8">
        <v>13.0</v>
      </c>
      <c r="B342" s="146" t="s">
        <v>1534</v>
      </c>
      <c r="C342" s="128" t="s">
        <v>57</v>
      </c>
      <c r="D342" s="128" t="s">
        <v>1378</v>
      </c>
      <c r="E342" s="128" t="s">
        <v>1379</v>
      </c>
      <c r="F342" s="182">
        <v>43556.0</v>
      </c>
      <c r="G342" s="146" t="s">
        <v>112</v>
      </c>
      <c r="H342" s="28" t="s">
        <v>112</v>
      </c>
      <c r="I342" s="8" t="s">
        <v>97</v>
      </c>
      <c r="J342" s="128" t="s">
        <v>163</v>
      </c>
      <c r="K342" s="221" t="s">
        <v>99</v>
      </c>
      <c r="L342" s="146" t="s">
        <v>100</v>
      </c>
      <c r="M342" s="141" t="s">
        <v>150</v>
      </c>
      <c r="N342" s="128" t="s">
        <v>1535</v>
      </c>
      <c r="O342" s="8" t="s">
        <v>1536</v>
      </c>
      <c r="P342" s="128" t="s">
        <v>106</v>
      </c>
      <c r="Q342" s="128">
        <v>189.0</v>
      </c>
      <c r="R342" s="128">
        <v>428044.0</v>
      </c>
      <c r="S342" s="128">
        <v>9725901.0</v>
      </c>
      <c r="T342" s="128"/>
      <c r="U342" s="128"/>
      <c r="V342" s="128" t="s">
        <v>153</v>
      </c>
      <c r="W342" s="128" t="s">
        <v>154</v>
      </c>
      <c r="X342" s="128" t="s">
        <v>112</v>
      </c>
      <c r="Y342" s="128" t="s">
        <v>112</v>
      </c>
      <c r="Z342" s="23" t="s">
        <v>42</v>
      </c>
      <c r="AA342" s="23" t="s">
        <v>115</v>
      </c>
      <c r="AB342" s="8" t="s">
        <v>343</v>
      </c>
      <c r="AE342" s="24"/>
      <c r="AM342" s="24"/>
    </row>
    <row r="343" ht="15.75" customHeight="1">
      <c r="A343" s="8">
        <v>6.0</v>
      </c>
      <c r="B343" s="146" t="s">
        <v>1537</v>
      </c>
      <c r="C343" s="128" t="s">
        <v>57</v>
      </c>
      <c r="D343" s="128" t="s">
        <v>683</v>
      </c>
      <c r="E343" s="128" t="s">
        <v>1379</v>
      </c>
      <c r="F343" s="146" t="s">
        <v>1450</v>
      </c>
      <c r="G343" s="146" t="s">
        <v>112</v>
      </c>
      <c r="H343" s="28" t="s">
        <v>112</v>
      </c>
      <c r="I343" s="8" t="s">
        <v>63</v>
      </c>
      <c r="J343" s="128" t="s">
        <v>98</v>
      </c>
      <c r="K343" s="221" t="s">
        <v>99</v>
      </c>
      <c r="L343" s="146" t="s">
        <v>100</v>
      </c>
      <c r="M343" s="128" t="s">
        <v>101</v>
      </c>
      <c r="N343" s="128" t="s">
        <v>1538</v>
      </c>
      <c r="O343" s="8" t="s">
        <v>1539</v>
      </c>
      <c r="P343" s="128" t="s">
        <v>106</v>
      </c>
      <c r="Q343" s="128" t="s">
        <v>1540</v>
      </c>
      <c r="R343" s="185">
        <v>428062.0</v>
      </c>
      <c r="S343" s="185">
        <v>9728658.0</v>
      </c>
      <c r="T343" s="128">
        <v>-2.45474329</v>
      </c>
      <c r="U343" s="128">
        <v>-75.64705737</v>
      </c>
      <c r="V343" s="128" t="s">
        <v>1454</v>
      </c>
      <c r="W343" s="128" t="s">
        <v>1541</v>
      </c>
      <c r="X343" s="128" t="s">
        <v>112</v>
      </c>
      <c r="Y343" s="128" t="s">
        <v>112</v>
      </c>
      <c r="Z343" s="23" t="s">
        <v>42</v>
      </c>
      <c r="AA343" s="23" t="s">
        <v>115</v>
      </c>
      <c r="AB343" s="8" t="s">
        <v>259</v>
      </c>
      <c r="AE343" s="24"/>
      <c r="AM343" s="24"/>
    </row>
    <row r="344" ht="15.75" customHeight="1">
      <c r="A344" s="8">
        <v>594.0</v>
      </c>
      <c r="B344" s="188" t="s">
        <v>1542</v>
      </c>
      <c r="C344" s="156" t="s">
        <v>57</v>
      </c>
      <c r="D344" s="158" t="s">
        <v>112</v>
      </c>
      <c r="E344" s="158" t="s">
        <v>112</v>
      </c>
      <c r="F344" s="159">
        <v>2015.0</v>
      </c>
      <c r="G344" s="161">
        <v>42248.0</v>
      </c>
      <c r="H344" s="20" t="str">
        <f>TEXT(G344, "yyyy")</f>
        <v>2015</v>
      </c>
      <c r="I344" s="8" t="s">
        <v>63</v>
      </c>
      <c r="J344" s="158" t="s">
        <v>112</v>
      </c>
      <c r="K344" s="220" t="s">
        <v>112</v>
      </c>
      <c r="L344" s="158" t="s">
        <v>100</v>
      </c>
      <c r="M344" s="156" t="s">
        <v>187</v>
      </c>
      <c r="N344" s="158" t="s">
        <v>1543</v>
      </c>
      <c r="O344" s="23" t="s">
        <v>1544</v>
      </c>
      <c r="P344" s="158" t="s">
        <v>106</v>
      </c>
      <c r="Q344" s="158" t="s">
        <v>112</v>
      </c>
      <c r="R344" s="157">
        <v>428121.0</v>
      </c>
      <c r="S344" s="157">
        <v>9725297.0</v>
      </c>
      <c r="T344" s="162">
        <v>-2.4851494</v>
      </c>
      <c r="U344" s="162">
        <v>-75.646548</v>
      </c>
      <c r="V344" s="156" t="s">
        <v>480</v>
      </c>
      <c r="W344" s="158" t="s">
        <v>112</v>
      </c>
      <c r="X344" s="157" t="s">
        <v>112</v>
      </c>
      <c r="Y344" s="157" t="s">
        <v>112</v>
      </c>
      <c r="Z344" s="8" t="s">
        <v>149</v>
      </c>
      <c r="AA344" s="23" t="s">
        <v>115</v>
      </c>
      <c r="AB344" s="8"/>
      <c r="AE344" s="24"/>
      <c r="AM344" s="24"/>
    </row>
    <row r="345" ht="15.75" customHeight="1">
      <c r="A345" s="8">
        <v>39.0</v>
      </c>
      <c r="B345" s="146" t="s">
        <v>1545</v>
      </c>
      <c r="C345" s="128" t="s">
        <v>57</v>
      </c>
      <c r="D345" s="128" t="s">
        <v>1378</v>
      </c>
      <c r="E345" s="128" t="s">
        <v>1379</v>
      </c>
      <c r="F345" s="182">
        <v>43556.0</v>
      </c>
      <c r="G345" s="146" t="s">
        <v>112</v>
      </c>
      <c r="H345" s="28" t="s">
        <v>112</v>
      </c>
      <c r="I345" s="8" t="s">
        <v>63</v>
      </c>
      <c r="J345" s="128" t="s">
        <v>112</v>
      </c>
      <c r="K345" s="221" t="s">
        <v>99</v>
      </c>
      <c r="L345" s="146" t="s">
        <v>100</v>
      </c>
      <c r="M345" s="141" t="s">
        <v>150</v>
      </c>
      <c r="N345" s="128" t="s">
        <v>1546</v>
      </c>
      <c r="O345" s="8" t="s">
        <v>1431</v>
      </c>
      <c r="P345" s="128" t="s">
        <v>106</v>
      </c>
      <c r="Q345" s="128">
        <v>205.0</v>
      </c>
      <c r="R345" s="128">
        <v>428235.0</v>
      </c>
      <c r="S345" s="128">
        <v>9726505.0</v>
      </c>
      <c r="T345" s="128"/>
      <c r="U345" s="128"/>
      <c r="V345" s="128" t="s">
        <v>153</v>
      </c>
      <c r="W345" s="128" t="s">
        <v>154</v>
      </c>
      <c r="X345" s="128" t="s">
        <v>112</v>
      </c>
      <c r="Y345" s="128" t="s">
        <v>112</v>
      </c>
      <c r="Z345" s="23" t="s">
        <v>42</v>
      </c>
      <c r="AA345" s="23" t="s">
        <v>115</v>
      </c>
      <c r="AB345" s="8" t="s">
        <v>343</v>
      </c>
      <c r="AE345" s="24"/>
      <c r="AM345" s="24"/>
    </row>
    <row r="346" ht="15.75" customHeight="1">
      <c r="A346" s="8">
        <v>162.0</v>
      </c>
      <c r="B346" s="146" t="s">
        <v>1547</v>
      </c>
      <c r="C346" s="128" t="s">
        <v>57</v>
      </c>
      <c r="D346" s="128" t="s">
        <v>89</v>
      </c>
      <c r="E346" s="128" t="s">
        <v>1379</v>
      </c>
      <c r="F346" s="146" t="s">
        <v>1519</v>
      </c>
      <c r="G346" s="225">
        <v>36708.0</v>
      </c>
      <c r="H346" s="50" t="str">
        <f>TEXT(G346, "yyyy")</f>
        <v>2000</v>
      </c>
      <c r="I346" s="8" t="s">
        <v>1371</v>
      </c>
      <c r="J346" s="128" t="s">
        <v>112</v>
      </c>
      <c r="K346" s="221" t="s">
        <v>99</v>
      </c>
      <c r="L346" s="146" t="s">
        <v>100</v>
      </c>
      <c r="M346" s="128" t="s">
        <v>101</v>
      </c>
      <c r="N346" s="226" t="s">
        <v>1548</v>
      </c>
      <c r="O346" s="108" t="s">
        <v>1549</v>
      </c>
      <c r="P346" s="128" t="s">
        <v>106</v>
      </c>
      <c r="Q346" s="128" t="s">
        <v>1550</v>
      </c>
      <c r="R346" s="128">
        <v>428500.0</v>
      </c>
      <c r="S346" s="128">
        <v>9727114.0</v>
      </c>
      <c r="T346" s="128">
        <v>-2.46870856</v>
      </c>
      <c r="U346" s="128">
        <v>-75.64312437</v>
      </c>
      <c r="V346" s="128" t="s">
        <v>1454</v>
      </c>
      <c r="W346" s="128" t="s">
        <v>1551</v>
      </c>
      <c r="X346" s="128">
        <v>0.0</v>
      </c>
      <c r="Y346" s="128" t="s">
        <v>112</v>
      </c>
      <c r="Z346" s="8" t="s">
        <v>36</v>
      </c>
      <c r="AA346" s="23" t="s">
        <v>144</v>
      </c>
      <c r="AB346" s="21"/>
      <c r="AE346" s="24"/>
      <c r="AM346" s="24"/>
    </row>
    <row r="347" ht="15.75" customHeight="1">
      <c r="A347" s="8">
        <v>106.0</v>
      </c>
      <c r="B347" s="146" t="s">
        <v>1552</v>
      </c>
      <c r="C347" s="128" t="s">
        <v>57</v>
      </c>
      <c r="D347" s="128" t="s">
        <v>89</v>
      </c>
      <c r="E347" s="128" t="s">
        <v>1379</v>
      </c>
      <c r="F347" s="146" t="s">
        <v>1553</v>
      </c>
      <c r="G347" s="146" t="s">
        <v>112</v>
      </c>
      <c r="H347" s="28" t="s">
        <v>112</v>
      </c>
      <c r="I347" s="8" t="s">
        <v>63</v>
      </c>
      <c r="J347" s="128" t="s">
        <v>98</v>
      </c>
      <c r="K347" s="221" t="s">
        <v>99</v>
      </c>
      <c r="L347" s="146" t="s">
        <v>100</v>
      </c>
      <c r="M347" s="128" t="s">
        <v>101</v>
      </c>
      <c r="N347" s="128" t="s">
        <v>1554</v>
      </c>
      <c r="O347" s="8" t="s">
        <v>112</v>
      </c>
      <c r="P347" s="128" t="s">
        <v>106</v>
      </c>
      <c r="Q347" s="128" t="s">
        <v>1555</v>
      </c>
      <c r="R347" s="185">
        <v>428586.0</v>
      </c>
      <c r="S347" s="185">
        <v>9727762.0</v>
      </c>
      <c r="T347" s="128">
        <v>-2.46284505</v>
      </c>
      <c r="U347" s="128">
        <v>-75.64234964</v>
      </c>
      <c r="V347" s="128" t="s">
        <v>1454</v>
      </c>
      <c r="W347" s="128" t="s">
        <v>1556</v>
      </c>
      <c r="X347" s="128" t="s">
        <v>112</v>
      </c>
      <c r="Y347" s="128" t="s">
        <v>112</v>
      </c>
      <c r="Z347" s="23" t="s">
        <v>42</v>
      </c>
      <c r="AA347" s="23" t="s">
        <v>115</v>
      </c>
      <c r="AB347" s="8" t="s">
        <v>112</v>
      </c>
      <c r="AE347" s="24"/>
      <c r="AM347" s="24"/>
    </row>
    <row r="348" ht="15.75" customHeight="1">
      <c r="A348" s="8">
        <v>843.0</v>
      </c>
      <c r="B348" s="158" t="s">
        <v>1557</v>
      </c>
      <c r="C348" s="158" t="s">
        <v>57</v>
      </c>
      <c r="D348" s="158" t="s">
        <v>213</v>
      </c>
      <c r="E348" s="158" t="s">
        <v>112</v>
      </c>
      <c r="F348" s="205">
        <v>42877.0</v>
      </c>
      <c r="G348" s="164">
        <v>42856.0</v>
      </c>
      <c r="H348" s="20" t="str">
        <f>TEXT(G348, "yyyy")</f>
        <v>2017</v>
      </c>
      <c r="I348" s="8" t="s">
        <v>63</v>
      </c>
      <c r="J348" s="158" t="s">
        <v>112</v>
      </c>
      <c r="K348" s="220" t="s">
        <v>112</v>
      </c>
      <c r="L348" s="158" t="s">
        <v>100</v>
      </c>
      <c r="M348" s="211" t="s">
        <v>177</v>
      </c>
      <c r="N348" s="158" t="s">
        <v>1558</v>
      </c>
      <c r="O348" s="8" t="s">
        <v>1559</v>
      </c>
      <c r="P348" s="158" t="s">
        <v>106</v>
      </c>
      <c r="Q348" s="158" t="s">
        <v>112</v>
      </c>
      <c r="R348" s="158">
        <v>428614.3</v>
      </c>
      <c r="S348" s="158" t="s">
        <v>1560</v>
      </c>
      <c r="T348" s="158">
        <v>-75.64210076</v>
      </c>
      <c r="U348" s="158" t="s">
        <v>1561</v>
      </c>
      <c r="V348" s="158" t="s">
        <v>1454</v>
      </c>
      <c r="W348" s="158" t="s">
        <v>112</v>
      </c>
      <c r="X348" s="158" t="s">
        <v>112</v>
      </c>
      <c r="Y348" s="158" t="s">
        <v>112</v>
      </c>
      <c r="Z348" s="8" t="s">
        <v>148</v>
      </c>
      <c r="AA348" s="23" t="s">
        <v>144</v>
      </c>
      <c r="AB348" s="8" t="s">
        <v>349</v>
      </c>
      <c r="AE348" s="24"/>
      <c r="AM348" s="24"/>
    </row>
    <row r="349" ht="15.75" customHeight="1">
      <c r="A349" s="8">
        <v>108.0</v>
      </c>
      <c r="B349" s="146" t="s">
        <v>1562</v>
      </c>
      <c r="C349" s="128" t="s">
        <v>57</v>
      </c>
      <c r="D349" s="128" t="s">
        <v>89</v>
      </c>
      <c r="E349" s="128" t="s">
        <v>1379</v>
      </c>
      <c r="F349" s="146" t="s">
        <v>1553</v>
      </c>
      <c r="G349" s="146" t="s">
        <v>112</v>
      </c>
      <c r="H349" s="28" t="s">
        <v>112</v>
      </c>
      <c r="I349" s="8" t="s">
        <v>63</v>
      </c>
      <c r="J349" s="128" t="s">
        <v>98</v>
      </c>
      <c r="K349" s="221" t="s">
        <v>99</v>
      </c>
      <c r="L349" s="146" t="s">
        <v>100</v>
      </c>
      <c r="M349" s="128" t="s">
        <v>101</v>
      </c>
      <c r="N349" s="128" t="s">
        <v>1563</v>
      </c>
      <c r="O349" s="8" t="s">
        <v>1564</v>
      </c>
      <c r="P349" s="128" t="s">
        <v>106</v>
      </c>
      <c r="Q349" s="128" t="s">
        <v>1565</v>
      </c>
      <c r="R349" s="185">
        <v>428615.0</v>
      </c>
      <c r="S349" s="185">
        <v>9728175.0</v>
      </c>
      <c r="T349" s="128">
        <v>-2.45911197</v>
      </c>
      <c r="U349" s="128">
        <v>-75.64208775</v>
      </c>
      <c r="V349" s="128" t="s">
        <v>1454</v>
      </c>
      <c r="W349" s="128" t="s">
        <v>1566</v>
      </c>
      <c r="X349" s="128" t="s">
        <v>112</v>
      </c>
      <c r="Y349" s="128" t="s">
        <v>112</v>
      </c>
      <c r="Z349" s="23" t="s">
        <v>42</v>
      </c>
      <c r="AA349" s="23" t="s">
        <v>115</v>
      </c>
      <c r="AB349" s="8" t="s">
        <v>112</v>
      </c>
      <c r="AE349" s="24"/>
      <c r="AM349" s="24"/>
    </row>
    <row r="350" ht="15.75" customHeight="1">
      <c r="A350" s="8">
        <v>846.0</v>
      </c>
      <c r="B350" s="158" t="s">
        <v>1567</v>
      </c>
      <c r="C350" s="158" t="s">
        <v>57</v>
      </c>
      <c r="D350" s="158" t="s">
        <v>213</v>
      </c>
      <c r="E350" s="158" t="s">
        <v>112</v>
      </c>
      <c r="F350" s="205">
        <v>42877.0</v>
      </c>
      <c r="G350" s="164">
        <v>42856.0</v>
      </c>
      <c r="H350" s="20" t="str">
        <f>TEXT(G350, "yyyy")</f>
        <v>2017</v>
      </c>
      <c r="I350" s="8" t="s">
        <v>63</v>
      </c>
      <c r="J350" s="158" t="s">
        <v>112</v>
      </c>
      <c r="K350" s="220" t="s">
        <v>112</v>
      </c>
      <c r="L350" s="158" t="s">
        <v>100</v>
      </c>
      <c r="M350" s="206" t="s">
        <v>177</v>
      </c>
      <c r="N350" s="158" t="s">
        <v>1568</v>
      </c>
      <c r="O350" s="8" t="s">
        <v>1569</v>
      </c>
      <c r="P350" s="158" t="s">
        <v>106</v>
      </c>
      <c r="Q350" s="158" t="s">
        <v>112</v>
      </c>
      <c r="R350" s="158">
        <v>428622.8</v>
      </c>
      <c r="S350" s="158">
        <v>9728172.1</v>
      </c>
      <c r="T350" s="158" t="s">
        <v>1570</v>
      </c>
      <c r="U350" s="158" t="s">
        <v>1571</v>
      </c>
      <c r="V350" s="158" t="s">
        <v>1397</v>
      </c>
      <c r="W350" s="158" t="s">
        <v>112</v>
      </c>
      <c r="X350" s="158" t="s">
        <v>112</v>
      </c>
      <c r="Y350" s="158" t="s">
        <v>112</v>
      </c>
      <c r="Z350" s="8" t="s">
        <v>148</v>
      </c>
      <c r="AA350" s="23" t="s">
        <v>144</v>
      </c>
      <c r="AB350" s="8" t="s">
        <v>349</v>
      </c>
      <c r="AE350" s="24"/>
      <c r="AM350" s="24"/>
    </row>
    <row r="351" ht="15.75" customHeight="1">
      <c r="A351" s="8">
        <v>107.0</v>
      </c>
      <c r="B351" s="146" t="s">
        <v>1572</v>
      </c>
      <c r="C351" s="128" t="s">
        <v>57</v>
      </c>
      <c r="D351" s="128" t="s">
        <v>89</v>
      </c>
      <c r="E351" s="128" t="s">
        <v>1379</v>
      </c>
      <c r="F351" s="146" t="s">
        <v>1553</v>
      </c>
      <c r="G351" s="146" t="s">
        <v>112</v>
      </c>
      <c r="H351" s="28" t="s">
        <v>112</v>
      </c>
      <c r="I351" s="8" t="s">
        <v>97</v>
      </c>
      <c r="J351" s="128" t="s">
        <v>112</v>
      </c>
      <c r="K351" s="221" t="s">
        <v>99</v>
      </c>
      <c r="L351" s="146" t="s">
        <v>100</v>
      </c>
      <c r="M351" s="128" t="s">
        <v>101</v>
      </c>
      <c r="N351" s="128" t="s">
        <v>1573</v>
      </c>
      <c r="O351" s="8" t="s">
        <v>1574</v>
      </c>
      <c r="P351" s="128" t="s">
        <v>106</v>
      </c>
      <c r="Q351" s="128" t="s">
        <v>1575</v>
      </c>
      <c r="R351" s="185">
        <v>428632.0</v>
      </c>
      <c r="S351" s="185">
        <v>9727936.0</v>
      </c>
      <c r="T351" s="128">
        <v>-2.46127459</v>
      </c>
      <c r="U351" s="128">
        <v>-75.64194087</v>
      </c>
      <c r="V351" s="128" t="s">
        <v>1454</v>
      </c>
      <c r="W351" s="128" t="s">
        <v>1566</v>
      </c>
      <c r="X351" s="128" t="s">
        <v>112</v>
      </c>
      <c r="Y351" s="128" t="s">
        <v>112</v>
      </c>
      <c r="Z351" s="23" t="s">
        <v>42</v>
      </c>
      <c r="AA351" s="23" t="s">
        <v>115</v>
      </c>
      <c r="AB351" s="8" t="s">
        <v>112</v>
      </c>
      <c r="AE351" s="24"/>
      <c r="AM351" s="24"/>
    </row>
    <row r="352" ht="15.75" customHeight="1">
      <c r="A352" s="8">
        <v>844.0</v>
      </c>
      <c r="B352" s="158" t="s">
        <v>1576</v>
      </c>
      <c r="C352" s="158" t="s">
        <v>57</v>
      </c>
      <c r="D352" s="158" t="s">
        <v>213</v>
      </c>
      <c r="E352" s="158" t="s">
        <v>112</v>
      </c>
      <c r="F352" s="205">
        <v>42877.0</v>
      </c>
      <c r="G352" s="164">
        <v>42856.0</v>
      </c>
      <c r="H352" s="20" t="str">
        <f t="shared" ref="H352:H353" si="24">TEXT(G352, "yyyy")</f>
        <v>2017</v>
      </c>
      <c r="I352" s="8" t="s">
        <v>186</v>
      </c>
      <c r="J352" s="158" t="s">
        <v>112</v>
      </c>
      <c r="K352" s="220" t="s">
        <v>112</v>
      </c>
      <c r="L352" s="158" t="s">
        <v>100</v>
      </c>
      <c r="M352" s="206" t="s">
        <v>177</v>
      </c>
      <c r="N352" s="158" t="s">
        <v>1577</v>
      </c>
      <c r="O352" s="8" t="s">
        <v>1578</v>
      </c>
      <c r="P352" s="158" t="s">
        <v>106</v>
      </c>
      <c r="Q352" s="158" t="s">
        <v>112</v>
      </c>
      <c r="R352" s="158">
        <v>428645.6</v>
      </c>
      <c r="S352" s="158">
        <v>9727932.0</v>
      </c>
      <c r="T352" s="158">
        <v>-75.64181897</v>
      </c>
      <c r="U352" s="158">
        <v>-2.461314</v>
      </c>
      <c r="V352" s="158" t="s">
        <v>1454</v>
      </c>
      <c r="W352" s="158" t="s">
        <v>112</v>
      </c>
      <c r="X352" s="158" t="s">
        <v>112</v>
      </c>
      <c r="Y352" s="158" t="s">
        <v>112</v>
      </c>
      <c r="Z352" s="8" t="s">
        <v>148</v>
      </c>
      <c r="AA352" s="23" t="s">
        <v>115</v>
      </c>
      <c r="AB352" s="8" t="s">
        <v>351</v>
      </c>
      <c r="AE352" s="24"/>
      <c r="AM352" s="24"/>
    </row>
    <row r="353" ht="15.75" customHeight="1">
      <c r="A353" s="8">
        <v>160.0</v>
      </c>
      <c r="B353" s="146" t="s">
        <v>1579</v>
      </c>
      <c r="C353" s="128" t="s">
        <v>57</v>
      </c>
      <c r="D353" s="128" t="s">
        <v>89</v>
      </c>
      <c r="E353" s="128" t="s">
        <v>1379</v>
      </c>
      <c r="F353" s="146" t="s">
        <v>1519</v>
      </c>
      <c r="G353" s="225">
        <v>36708.0</v>
      </c>
      <c r="H353" s="50" t="str">
        <f t="shared" si="24"/>
        <v>2000</v>
      </c>
      <c r="I353" s="8" t="s">
        <v>1580</v>
      </c>
      <c r="J353" s="128" t="s">
        <v>310</v>
      </c>
      <c r="K353" s="221" t="s">
        <v>99</v>
      </c>
      <c r="L353" s="146" t="s">
        <v>100</v>
      </c>
      <c r="M353" s="128" t="s">
        <v>101</v>
      </c>
      <c r="N353" s="226" t="s">
        <v>1581</v>
      </c>
      <c r="O353" s="45" t="s">
        <v>1582</v>
      </c>
      <c r="P353" s="128" t="s">
        <v>106</v>
      </c>
      <c r="Q353" s="128" t="s">
        <v>1583</v>
      </c>
      <c r="R353" s="128">
        <v>428653.0</v>
      </c>
      <c r="S353" s="128">
        <v>9727542.0</v>
      </c>
      <c r="T353" s="128">
        <v>-2.46484135</v>
      </c>
      <c r="U353" s="128">
        <v>-75.64174779</v>
      </c>
      <c r="V353" s="128" t="s">
        <v>1454</v>
      </c>
      <c r="W353" s="128" t="s">
        <v>1551</v>
      </c>
      <c r="X353" s="128">
        <v>0.0</v>
      </c>
      <c r="Y353" s="128" t="s">
        <v>112</v>
      </c>
      <c r="Z353" s="8" t="s">
        <v>36</v>
      </c>
      <c r="AA353" s="23" t="s">
        <v>144</v>
      </c>
      <c r="AB353" s="21"/>
      <c r="AE353" s="24"/>
      <c r="AM353" s="24"/>
    </row>
    <row r="354" ht="15.75" customHeight="1">
      <c r="A354" s="8">
        <v>110.0</v>
      </c>
      <c r="B354" s="146" t="s">
        <v>1584</v>
      </c>
      <c r="C354" s="128" t="s">
        <v>57</v>
      </c>
      <c r="D354" s="128" t="s">
        <v>89</v>
      </c>
      <c r="E354" s="128" t="s">
        <v>1379</v>
      </c>
      <c r="F354" s="146" t="s">
        <v>1553</v>
      </c>
      <c r="G354" s="146" t="s">
        <v>112</v>
      </c>
      <c r="H354" s="28" t="s">
        <v>112</v>
      </c>
      <c r="I354" s="8" t="s">
        <v>97</v>
      </c>
      <c r="J354" s="128" t="s">
        <v>163</v>
      </c>
      <c r="K354" s="221" t="s">
        <v>99</v>
      </c>
      <c r="L354" s="146" t="s">
        <v>100</v>
      </c>
      <c r="M354" s="128" t="s">
        <v>101</v>
      </c>
      <c r="N354" s="128" t="s">
        <v>1585</v>
      </c>
      <c r="O354" s="8" t="s">
        <v>1586</v>
      </c>
      <c r="P354" s="128" t="s">
        <v>106</v>
      </c>
      <c r="Q354" s="128" t="s">
        <v>1587</v>
      </c>
      <c r="R354" s="185">
        <v>428659.0</v>
      </c>
      <c r="S354" s="185">
        <v>9728583.0</v>
      </c>
      <c r="T354" s="128">
        <v>-2.45541801</v>
      </c>
      <c r="U354" s="128">
        <v>-75.64168758</v>
      </c>
      <c r="V354" s="128" t="s">
        <v>1454</v>
      </c>
      <c r="W354" s="128" t="s">
        <v>1566</v>
      </c>
      <c r="X354" s="128" t="s">
        <v>112</v>
      </c>
      <c r="Y354" s="128" t="s">
        <v>112</v>
      </c>
      <c r="Z354" s="23" t="s">
        <v>42</v>
      </c>
      <c r="AA354" s="23" t="s">
        <v>115</v>
      </c>
      <c r="AB354" s="8" t="s">
        <v>112</v>
      </c>
      <c r="AE354" s="24"/>
      <c r="AM354" s="24"/>
    </row>
    <row r="355" ht="15.75" customHeight="1">
      <c r="A355" s="8">
        <v>16.0</v>
      </c>
      <c r="B355" s="146" t="s">
        <v>1588</v>
      </c>
      <c r="C355" s="128" t="s">
        <v>57</v>
      </c>
      <c r="D355" s="128" t="s">
        <v>1378</v>
      </c>
      <c r="E355" s="128" t="s">
        <v>1379</v>
      </c>
      <c r="F355" s="182">
        <v>43556.0</v>
      </c>
      <c r="G355" s="146" t="s">
        <v>112</v>
      </c>
      <c r="H355" s="28" t="s">
        <v>112</v>
      </c>
      <c r="I355" s="8" t="s">
        <v>63</v>
      </c>
      <c r="J355" s="128" t="s">
        <v>112</v>
      </c>
      <c r="K355" s="221" t="s">
        <v>99</v>
      </c>
      <c r="L355" s="146" t="s">
        <v>100</v>
      </c>
      <c r="M355" s="141" t="s">
        <v>150</v>
      </c>
      <c r="N355" s="128" t="s">
        <v>1589</v>
      </c>
      <c r="O355" s="8" t="s">
        <v>1426</v>
      </c>
      <c r="P355" s="128" t="s">
        <v>106</v>
      </c>
      <c r="Q355" s="128">
        <v>169.0</v>
      </c>
      <c r="R355" s="128">
        <v>428661.0</v>
      </c>
      <c r="S355" s="128">
        <v>9728519.0</v>
      </c>
      <c r="T355" s="128"/>
      <c r="U355" s="128"/>
      <c r="V355" s="128" t="s">
        <v>153</v>
      </c>
      <c r="W355" s="128" t="s">
        <v>154</v>
      </c>
      <c r="X355" s="128" t="s">
        <v>112</v>
      </c>
      <c r="Y355" s="128" t="s">
        <v>112</v>
      </c>
      <c r="Z355" s="23" t="s">
        <v>42</v>
      </c>
      <c r="AA355" s="23" t="s">
        <v>115</v>
      </c>
      <c r="AB355" s="8" t="s">
        <v>343</v>
      </c>
      <c r="AE355" s="24"/>
      <c r="AM355" s="24"/>
    </row>
    <row r="356" ht="15.75" customHeight="1">
      <c r="A356" s="8">
        <v>19.0</v>
      </c>
      <c r="B356" s="146" t="s">
        <v>1590</v>
      </c>
      <c r="C356" s="128" t="s">
        <v>57</v>
      </c>
      <c r="D356" s="128" t="s">
        <v>1378</v>
      </c>
      <c r="E356" s="128" t="s">
        <v>1379</v>
      </c>
      <c r="F356" s="227">
        <v>43556.0</v>
      </c>
      <c r="G356" s="146" t="s">
        <v>112</v>
      </c>
      <c r="H356" s="28" t="s">
        <v>112</v>
      </c>
      <c r="I356" s="8" t="s">
        <v>63</v>
      </c>
      <c r="J356" s="128" t="s">
        <v>112</v>
      </c>
      <c r="K356" s="221" t="s">
        <v>99</v>
      </c>
      <c r="L356" s="146" t="s">
        <v>100</v>
      </c>
      <c r="M356" s="141" t="s">
        <v>150</v>
      </c>
      <c r="N356" s="128" t="s">
        <v>1591</v>
      </c>
      <c r="O356" s="8" t="s">
        <v>1426</v>
      </c>
      <c r="P356" s="128" t="s">
        <v>106</v>
      </c>
      <c r="Q356" s="128">
        <v>170.0</v>
      </c>
      <c r="R356" s="128">
        <v>428666.0</v>
      </c>
      <c r="S356" s="128">
        <v>9727771.0</v>
      </c>
      <c r="T356" s="128"/>
      <c r="U356" s="128"/>
      <c r="V356" s="128" t="s">
        <v>153</v>
      </c>
      <c r="W356" s="128" t="s">
        <v>154</v>
      </c>
      <c r="X356" s="128" t="s">
        <v>112</v>
      </c>
      <c r="Y356" s="128" t="s">
        <v>112</v>
      </c>
      <c r="Z356" s="23" t="s">
        <v>42</v>
      </c>
      <c r="AA356" s="23" t="s">
        <v>115</v>
      </c>
      <c r="AB356" s="8" t="s">
        <v>343</v>
      </c>
      <c r="AE356" s="24"/>
      <c r="AM356" s="24"/>
    </row>
    <row r="357" ht="15.75" customHeight="1">
      <c r="A357" s="8">
        <v>163.0</v>
      </c>
      <c r="B357" s="146" t="s">
        <v>1592</v>
      </c>
      <c r="C357" s="128" t="s">
        <v>57</v>
      </c>
      <c r="D357" s="128" t="s">
        <v>89</v>
      </c>
      <c r="E357" s="128" t="s">
        <v>1379</v>
      </c>
      <c r="F357" s="228" t="s">
        <v>1519</v>
      </c>
      <c r="G357" s="225">
        <v>36708.0</v>
      </c>
      <c r="H357" s="50" t="str">
        <f>TEXT(G357, "yyyy")</f>
        <v>2000</v>
      </c>
      <c r="I357" s="8" t="s">
        <v>97</v>
      </c>
      <c r="J357" s="128" t="s">
        <v>163</v>
      </c>
      <c r="K357" s="221" t="s">
        <v>99</v>
      </c>
      <c r="L357" s="146" t="s">
        <v>100</v>
      </c>
      <c r="M357" s="128" t="s">
        <v>101</v>
      </c>
      <c r="N357" s="226" t="s">
        <v>1593</v>
      </c>
      <c r="O357" s="45" t="s">
        <v>1594</v>
      </c>
      <c r="P357" s="128" t="s">
        <v>106</v>
      </c>
      <c r="Q357" s="128" t="s">
        <v>1595</v>
      </c>
      <c r="R357" s="128">
        <v>428669.0</v>
      </c>
      <c r="S357" s="128">
        <v>9727646.0</v>
      </c>
      <c r="T357" s="128">
        <v>-2.46390009</v>
      </c>
      <c r="U357" s="128">
        <v>-75.64160869</v>
      </c>
      <c r="V357" s="128" t="s">
        <v>1454</v>
      </c>
      <c r="W357" s="128" t="s">
        <v>1596</v>
      </c>
      <c r="X357" s="128">
        <v>0.0</v>
      </c>
      <c r="Y357" s="128" t="s">
        <v>112</v>
      </c>
      <c r="Z357" s="8" t="s">
        <v>36</v>
      </c>
      <c r="AA357" s="23" t="s">
        <v>144</v>
      </c>
      <c r="AB357" s="21"/>
      <c r="AE357" s="24"/>
      <c r="AM357" s="24"/>
    </row>
    <row r="358" ht="15.75" customHeight="1">
      <c r="A358" s="8">
        <v>7.0</v>
      </c>
      <c r="B358" s="146" t="s">
        <v>1597</v>
      </c>
      <c r="C358" s="128" t="s">
        <v>57</v>
      </c>
      <c r="D358" s="128" t="s">
        <v>1378</v>
      </c>
      <c r="E358" s="128" t="s">
        <v>1379</v>
      </c>
      <c r="F358" s="229">
        <v>43556.0</v>
      </c>
      <c r="G358" s="146" t="s">
        <v>112</v>
      </c>
      <c r="H358" s="28" t="s">
        <v>112</v>
      </c>
      <c r="I358" s="8" t="s">
        <v>97</v>
      </c>
      <c r="J358" s="128" t="s">
        <v>163</v>
      </c>
      <c r="K358" s="221" t="s">
        <v>99</v>
      </c>
      <c r="L358" s="146" t="s">
        <v>100</v>
      </c>
      <c r="M358" s="141" t="s">
        <v>150</v>
      </c>
      <c r="N358" s="128" t="s">
        <v>1535</v>
      </c>
      <c r="O358" s="8" t="s">
        <v>1598</v>
      </c>
      <c r="P358" s="128" t="s">
        <v>106</v>
      </c>
      <c r="Q358" s="128">
        <v>183.0</v>
      </c>
      <c r="R358" s="128">
        <v>428706.0</v>
      </c>
      <c r="S358" s="128">
        <v>9730358.0</v>
      </c>
      <c r="T358" s="128"/>
      <c r="U358" s="128"/>
      <c r="V358" s="128" t="s">
        <v>153</v>
      </c>
      <c r="W358" s="128" t="s">
        <v>154</v>
      </c>
      <c r="X358" s="128" t="s">
        <v>112</v>
      </c>
      <c r="Y358" s="128" t="s">
        <v>112</v>
      </c>
      <c r="Z358" s="23" t="s">
        <v>42</v>
      </c>
      <c r="AA358" s="23" t="s">
        <v>115</v>
      </c>
      <c r="AB358" s="8" t="s">
        <v>343</v>
      </c>
      <c r="AE358" s="24"/>
      <c r="AM358" s="24"/>
    </row>
    <row r="359" ht="15.75" customHeight="1">
      <c r="A359" s="8">
        <v>159.0</v>
      </c>
      <c r="B359" s="146" t="s">
        <v>1599</v>
      </c>
      <c r="C359" s="128" t="s">
        <v>57</v>
      </c>
      <c r="D359" s="128" t="s">
        <v>89</v>
      </c>
      <c r="E359" s="128" t="s">
        <v>1379</v>
      </c>
      <c r="F359" s="146" t="s">
        <v>1519</v>
      </c>
      <c r="G359" s="225">
        <v>36708.0</v>
      </c>
      <c r="H359" s="50" t="str">
        <f>TEXT(G359, "yyyy")</f>
        <v>2000</v>
      </c>
      <c r="I359" s="8" t="s">
        <v>97</v>
      </c>
      <c r="J359" s="128" t="s">
        <v>163</v>
      </c>
      <c r="K359" s="221" t="s">
        <v>99</v>
      </c>
      <c r="L359" s="146" t="s">
        <v>100</v>
      </c>
      <c r="M359" s="128" t="s">
        <v>101</v>
      </c>
      <c r="N359" s="226" t="s">
        <v>1600</v>
      </c>
      <c r="O359" s="45" t="s">
        <v>1601</v>
      </c>
      <c r="P359" s="128" t="s">
        <v>106</v>
      </c>
      <c r="Q359" s="128" t="s">
        <v>1602</v>
      </c>
      <c r="R359" s="128">
        <v>428724.0</v>
      </c>
      <c r="S359" s="128">
        <v>9728397.0</v>
      </c>
      <c r="T359" s="128">
        <v>-2.45710083</v>
      </c>
      <c r="U359" s="128">
        <v>-75.6411092</v>
      </c>
      <c r="V359" s="128" t="s">
        <v>1454</v>
      </c>
      <c r="W359" s="128" t="s">
        <v>1603</v>
      </c>
      <c r="X359" s="128">
        <v>0.0</v>
      </c>
      <c r="Y359" s="128" t="s">
        <v>112</v>
      </c>
      <c r="Z359" s="8" t="s">
        <v>36</v>
      </c>
      <c r="AA359" s="23" t="s">
        <v>144</v>
      </c>
      <c r="AB359" s="21"/>
      <c r="AE359" s="24"/>
      <c r="AM359" s="24"/>
    </row>
    <row r="360" ht="15.75" customHeight="1">
      <c r="A360" s="8">
        <v>103.0</v>
      </c>
      <c r="B360" s="146" t="s">
        <v>1604</v>
      </c>
      <c r="C360" s="128" t="s">
        <v>57</v>
      </c>
      <c r="D360" s="128" t="s">
        <v>89</v>
      </c>
      <c r="E360" s="128" t="s">
        <v>1379</v>
      </c>
      <c r="F360" s="146" t="s">
        <v>1605</v>
      </c>
      <c r="G360" s="146" t="s">
        <v>112</v>
      </c>
      <c r="H360" s="28" t="s">
        <v>112</v>
      </c>
      <c r="I360" s="8" t="s">
        <v>1606</v>
      </c>
      <c r="J360" s="128" t="s">
        <v>163</v>
      </c>
      <c r="K360" s="221" t="s">
        <v>99</v>
      </c>
      <c r="L360" s="146" t="s">
        <v>100</v>
      </c>
      <c r="M360" s="128" t="s">
        <v>101</v>
      </c>
      <c r="N360" s="128" t="s">
        <v>1607</v>
      </c>
      <c r="O360" s="8" t="s">
        <v>1608</v>
      </c>
      <c r="P360" s="128" t="s">
        <v>106</v>
      </c>
      <c r="Q360" s="128" t="s">
        <v>1609</v>
      </c>
      <c r="R360" s="185">
        <v>428727.0</v>
      </c>
      <c r="S360" s="185">
        <v>9728318.0</v>
      </c>
      <c r="T360" s="128">
        <v>-2.4578145</v>
      </c>
      <c r="U360" s="128">
        <v>-75.64107755</v>
      </c>
      <c r="V360" s="128" t="s">
        <v>1454</v>
      </c>
      <c r="W360" s="128" t="s">
        <v>112</v>
      </c>
      <c r="X360" s="128" t="s">
        <v>112</v>
      </c>
      <c r="Y360" s="128" t="s">
        <v>112</v>
      </c>
      <c r="Z360" s="23" t="s">
        <v>42</v>
      </c>
      <c r="AA360" s="23" t="s">
        <v>115</v>
      </c>
      <c r="AB360" s="8" t="s">
        <v>112</v>
      </c>
      <c r="AE360" s="24"/>
      <c r="AM360" s="24"/>
    </row>
    <row r="361" ht="15.75" customHeight="1">
      <c r="A361" s="8">
        <v>22.0</v>
      </c>
      <c r="B361" s="146" t="s">
        <v>1610</v>
      </c>
      <c r="C361" s="128" t="s">
        <v>57</v>
      </c>
      <c r="D361" s="128" t="s">
        <v>1378</v>
      </c>
      <c r="E361" s="128" t="s">
        <v>1379</v>
      </c>
      <c r="F361" s="182">
        <v>43556.0</v>
      </c>
      <c r="G361" s="146" t="s">
        <v>112</v>
      </c>
      <c r="H361" s="28" t="s">
        <v>112</v>
      </c>
      <c r="I361" s="8" t="s">
        <v>63</v>
      </c>
      <c r="J361" s="128" t="s">
        <v>112</v>
      </c>
      <c r="K361" s="221" t="s">
        <v>99</v>
      </c>
      <c r="L361" s="146" t="s">
        <v>100</v>
      </c>
      <c r="M361" s="141" t="s">
        <v>150</v>
      </c>
      <c r="N361" s="128" t="s">
        <v>1589</v>
      </c>
      <c r="O361" s="8" t="s">
        <v>1426</v>
      </c>
      <c r="P361" s="128" t="s">
        <v>106</v>
      </c>
      <c r="Q361" s="128">
        <v>179.0</v>
      </c>
      <c r="R361" s="128">
        <v>428729.0</v>
      </c>
      <c r="S361" s="128">
        <v>9727598.0</v>
      </c>
      <c r="T361" s="128"/>
      <c r="U361" s="128"/>
      <c r="V361" s="128" t="s">
        <v>153</v>
      </c>
      <c r="W361" s="128" t="s">
        <v>154</v>
      </c>
      <c r="X361" s="128" t="s">
        <v>112</v>
      </c>
      <c r="Y361" s="128" t="s">
        <v>112</v>
      </c>
      <c r="Z361" s="23" t="s">
        <v>42</v>
      </c>
      <c r="AA361" s="23" t="s">
        <v>115</v>
      </c>
      <c r="AB361" s="8" t="s">
        <v>343</v>
      </c>
      <c r="AE361" s="24"/>
      <c r="AM361" s="24"/>
    </row>
    <row r="362" ht="15.75" customHeight="1">
      <c r="A362" s="8">
        <v>32.0</v>
      </c>
      <c r="B362" s="146" t="s">
        <v>1611</v>
      </c>
      <c r="C362" s="128" t="s">
        <v>57</v>
      </c>
      <c r="D362" s="128" t="s">
        <v>1378</v>
      </c>
      <c r="E362" s="128" t="s">
        <v>1379</v>
      </c>
      <c r="F362" s="182">
        <v>43556.0</v>
      </c>
      <c r="G362" s="146" t="s">
        <v>112</v>
      </c>
      <c r="H362" s="28" t="s">
        <v>112</v>
      </c>
      <c r="I362" s="8" t="s">
        <v>63</v>
      </c>
      <c r="J362" s="128" t="s">
        <v>112</v>
      </c>
      <c r="K362" s="221" t="s">
        <v>99</v>
      </c>
      <c r="L362" s="146" t="s">
        <v>100</v>
      </c>
      <c r="M362" s="141" t="s">
        <v>150</v>
      </c>
      <c r="N362" s="128" t="s">
        <v>1612</v>
      </c>
      <c r="O362" s="8" t="s">
        <v>1431</v>
      </c>
      <c r="P362" s="128" t="s">
        <v>106</v>
      </c>
      <c r="Q362" s="128">
        <v>172.0</v>
      </c>
      <c r="R362" s="128">
        <v>428745.0</v>
      </c>
      <c r="S362" s="128">
        <v>9728204.0</v>
      </c>
      <c r="T362" s="128"/>
      <c r="U362" s="128"/>
      <c r="V362" s="128" t="s">
        <v>153</v>
      </c>
      <c r="W362" s="128" t="s">
        <v>154</v>
      </c>
      <c r="X362" s="128" t="s">
        <v>112</v>
      </c>
      <c r="Y362" s="128" t="s">
        <v>112</v>
      </c>
      <c r="Z362" s="23" t="s">
        <v>42</v>
      </c>
      <c r="AA362" s="23" t="s">
        <v>115</v>
      </c>
      <c r="AB362" s="8" t="s">
        <v>343</v>
      </c>
      <c r="AE362" s="24"/>
      <c r="AM362" s="24"/>
    </row>
    <row r="363" ht="15.75" customHeight="1">
      <c r="A363" s="8">
        <v>15.0</v>
      </c>
      <c r="B363" s="146" t="s">
        <v>1613</v>
      </c>
      <c r="C363" s="128" t="s">
        <v>57</v>
      </c>
      <c r="D363" s="128" t="s">
        <v>1378</v>
      </c>
      <c r="E363" s="128" t="s">
        <v>1379</v>
      </c>
      <c r="F363" s="182">
        <v>43556.0</v>
      </c>
      <c r="G363" s="146" t="s">
        <v>112</v>
      </c>
      <c r="H363" s="28" t="s">
        <v>112</v>
      </c>
      <c r="I363" s="8" t="s">
        <v>63</v>
      </c>
      <c r="J363" s="128" t="s">
        <v>112</v>
      </c>
      <c r="K363" s="221" t="s">
        <v>99</v>
      </c>
      <c r="L363" s="146" t="s">
        <v>100</v>
      </c>
      <c r="M363" s="141" t="s">
        <v>150</v>
      </c>
      <c r="N363" s="128" t="s">
        <v>63</v>
      </c>
      <c r="O363" s="8" t="s">
        <v>1426</v>
      </c>
      <c r="P363" s="128" t="s">
        <v>106</v>
      </c>
      <c r="Q363" s="128">
        <v>166.0</v>
      </c>
      <c r="R363" s="128">
        <v>428746.0</v>
      </c>
      <c r="S363" s="128">
        <v>9728585.0</v>
      </c>
      <c r="T363" s="128"/>
      <c r="U363" s="128"/>
      <c r="V363" s="128" t="s">
        <v>153</v>
      </c>
      <c r="W363" s="128" t="s">
        <v>154</v>
      </c>
      <c r="X363" s="128" t="s">
        <v>112</v>
      </c>
      <c r="Y363" s="128" t="s">
        <v>112</v>
      </c>
      <c r="Z363" s="23" t="s">
        <v>42</v>
      </c>
      <c r="AA363" s="23" t="s">
        <v>115</v>
      </c>
      <c r="AB363" s="8" t="s">
        <v>343</v>
      </c>
      <c r="AE363" s="24"/>
      <c r="AM363" s="24"/>
    </row>
    <row r="364" ht="15.75" customHeight="1">
      <c r="A364" s="8">
        <v>8.0</v>
      </c>
      <c r="B364" s="146" t="s">
        <v>1614</v>
      </c>
      <c r="C364" s="128" t="s">
        <v>57</v>
      </c>
      <c r="D364" s="128" t="s">
        <v>1378</v>
      </c>
      <c r="E364" s="128" t="s">
        <v>1379</v>
      </c>
      <c r="F364" s="182">
        <v>43556.0</v>
      </c>
      <c r="G364" s="146" t="s">
        <v>112</v>
      </c>
      <c r="H364" s="28" t="s">
        <v>112</v>
      </c>
      <c r="I364" s="8" t="s">
        <v>97</v>
      </c>
      <c r="J364" s="128" t="s">
        <v>163</v>
      </c>
      <c r="K364" s="221" t="s">
        <v>99</v>
      </c>
      <c r="L364" s="146" t="s">
        <v>100</v>
      </c>
      <c r="M364" s="141" t="s">
        <v>150</v>
      </c>
      <c r="N364" s="128" t="s">
        <v>1535</v>
      </c>
      <c r="O364" s="8" t="s">
        <v>1598</v>
      </c>
      <c r="P364" s="128" t="s">
        <v>106</v>
      </c>
      <c r="Q364" s="128">
        <v>172.0</v>
      </c>
      <c r="R364" s="128">
        <v>428783.0</v>
      </c>
      <c r="S364" s="128">
        <v>9730172.0</v>
      </c>
      <c r="T364" s="128"/>
      <c r="U364" s="128"/>
      <c r="V364" s="128" t="s">
        <v>153</v>
      </c>
      <c r="W364" s="128" t="s">
        <v>154</v>
      </c>
      <c r="X364" s="128" t="s">
        <v>112</v>
      </c>
      <c r="Y364" s="128" t="s">
        <v>112</v>
      </c>
      <c r="Z364" s="23" t="s">
        <v>42</v>
      </c>
      <c r="AA364" s="23" t="s">
        <v>115</v>
      </c>
      <c r="AB364" s="8" t="s">
        <v>343</v>
      </c>
      <c r="AE364" s="24"/>
      <c r="AM364" s="24"/>
    </row>
    <row r="365" ht="15.75" customHeight="1">
      <c r="A365" s="8">
        <v>104.0</v>
      </c>
      <c r="B365" s="146" t="s">
        <v>1615</v>
      </c>
      <c r="C365" s="128" t="s">
        <v>57</v>
      </c>
      <c r="D365" s="128" t="s">
        <v>89</v>
      </c>
      <c r="E365" s="128" t="s">
        <v>1379</v>
      </c>
      <c r="F365" s="146" t="s">
        <v>1605</v>
      </c>
      <c r="G365" s="146" t="s">
        <v>112</v>
      </c>
      <c r="H365" s="28" t="s">
        <v>112</v>
      </c>
      <c r="I365" s="8" t="s">
        <v>1371</v>
      </c>
      <c r="J365" s="128" t="s">
        <v>163</v>
      </c>
      <c r="K365" s="221" t="s">
        <v>99</v>
      </c>
      <c r="L365" s="146" t="s">
        <v>100</v>
      </c>
      <c r="M365" s="128" t="s">
        <v>101</v>
      </c>
      <c r="N365" s="128" t="s">
        <v>1616</v>
      </c>
      <c r="O365" s="8" t="s">
        <v>1617</v>
      </c>
      <c r="P365" s="128" t="s">
        <v>106</v>
      </c>
      <c r="Q365" s="128" t="s">
        <v>1618</v>
      </c>
      <c r="R365" s="185">
        <v>428784.0</v>
      </c>
      <c r="S365" s="185">
        <v>9730338.0</v>
      </c>
      <c r="T365" s="128">
        <v>-2.4395439</v>
      </c>
      <c r="U365" s="128">
        <v>-75.64055849</v>
      </c>
      <c r="V365" s="128" t="s">
        <v>1454</v>
      </c>
      <c r="W365" s="128" t="s">
        <v>1619</v>
      </c>
      <c r="X365" s="128" t="s">
        <v>112</v>
      </c>
      <c r="Y365" s="128" t="s">
        <v>112</v>
      </c>
      <c r="Z365" s="23" t="s">
        <v>42</v>
      </c>
      <c r="AA365" s="23" t="s">
        <v>115</v>
      </c>
      <c r="AB365" s="8" t="s">
        <v>217</v>
      </c>
      <c r="AE365" s="24"/>
      <c r="AM365" s="24"/>
    </row>
    <row r="366" ht="15.75" customHeight="1">
      <c r="A366" s="8">
        <v>157.0</v>
      </c>
      <c r="B366" s="146" t="s">
        <v>1620</v>
      </c>
      <c r="C366" s="128" t="s">
        <v>57</v>
      </c>
      <c r="D366" s="128" t="s">
        <v>89</v>
      </c>
      <c r="E366" s="128" t="s">
        <v>1379</v>
      </c>
      <c r="F366" s="146" t="s">
        <v>1519</v>
      </c>
      <c r="G366" s="225">
        <v>36708.0</v>
      </c>
      <c r="H366" s="50" t="str">
        <f>TEXT(G366, "yyyy")</f>
        <v>2000</v>
      </c>
      <c r="I366" s="8" t="s">
        <v>97</v>
      </c>
      <c r="J366" s="128" t="s">
        <v>1621</v>
      </c>
      <c r="K366" s="221" t="s">
        <v>99</v>
      </c>
      <c r="L366" s="146" t="s">
        <v>100</v>
      </c>
      <c r="M366" s="128" t="s">
        <v>101</v>
      </c>
      <c r="N366" s="226" t="s">
        <v>1622</v>
      </c>
      <c r="O366" s="45" t="s">
        <v>1623</v>
      </c>
      <c r="P366" s="128" t="s">
        <v>106</v>
      </c>
      <c r="Q366" s="128" t="s">
        <v>1624</v>
      </c>
      <c r="R366" s="128">
        <v>428793.0</v>
      </c>
      <c r="S366" s="128">
        <v>9730166.0</v>
      </c>
      <c r="T366" s="128">
        <v>-2.44109755</v>
      </c>
      <c r="U366" s="128">
        <v>-75.64047686</v>
      </c>
      <c r="V366" s="128" t="s">
        <v>1454</v>
      </c>
      <c r="W366" s="128" t="s">
        <v>1625</v>
      </c>
      <c r="X366" s="128">
        <v>0.0</v>
      </c>
      <c r="Y366" s="128" t="s">
        <v>112</v>
      </c>
      <c r="Z366" s="8" t="s">
        <v>36</v>
      </c>
      <c r="AA366" s="23" t="s">
        <v>144</v>
      </c>
      <c r="AB366" s="21"/>
      <c r="AE366" s="24"/>
      <c r="AM366" s="24"/>
    </row>
    <row r="367" ht="15.75" customHeight="1">
      <c r="A367" s="8">
        <v>36.0</v>
      </c>
      <c r="B367" s="146" t="s">
        <v>1626</v>
      </c>
      <c r="C367" s="128" t="s">
        <v>57</v>
      </c>
      <c r="D367" s="128" t="s">
        <v>1378</v>
      </c>
      <c r="E367" s="128" t="s">
        <v>1379</v>
      </c>
      <c r="F367" s="182">
        <v>43556.0</v>
      </c>
      <c r="G367" s="146" t="s">
        <v>112</v>
      </c>
      <c r="H367" s="28" t="s">
        <v>112</v>
      </c>
      <c r="I367" s="8" t="s">
        <v>63</v>
      </c>
      <c r="J367" s="128" t="s">
        <v>112</v>
      </c>
      <c r="K367" s="221" t="s">
        <v>99</v>
      </c>
      <c r="L367" s="146" t="s">
        <v>100</v>
      </c>
      <c r="M367" s="141" t="s">
        <v>150</v>
      </c>
      <c r="N367" s="128" t="s">
        <v>1162</v>
      </c>
      <c r="O367" s="8" t="s">
        <v>1431</v>
      </c>
      <c r="P367" s="128" t="s">
        <v>106</v>
      </c>
      <c r="Q367" s="128">
        <v>180.0</v>
      </c>
      <c r="R367" s="128">
        <v>428809.0</v>
      </c>
      <c r="S367" s="128">
        <v>9730359.0</v>
      </c>
      <c r="T367" s="128"/>
      <c r="U367" s="128"/>
      <c r="V367" s="128" t="s">
        <v>153</v>
      </c>
      <c r="W367" s="128" t="s">
        <v>154</v>
      </c>
      <c r="X367" s="128" t="s">
        <v>112</v>
      </c>
      <c r="Y367" s="128" t="s">
        <v>112</v>
      </c>
      <c r="Z367" s="23" t="s">
        <v>42</v>
      </c>
      <c r="AA367" s="23" t="s">
        <v>115</v>
      </c>
      <c r="AB367" s="8" t="s">
        <v>343</v>
      </c>
      <c r="AE367" s="24"/>
      <c r="AM367" s="24"/>
    </row>
    <row r="368" ht="15.75" customHeight="1">
      <c r="A368" s="8">
        <v>11.0</v>
      </c>
      <c r="B368" s="146" t="s">
        <v>1627</v>
      </c>
      <c r="C368" s="128" t="s">
        <v>57</v>
      </c>
      <c r="D368" s="128" t="s">
        <v>1378</v>
      </c>
      <c r="E368" s="128" t="s">
        <v>1379</v>
      </c>
      <c r="F368" s="182">
        <v>43556.0</v>
      </c>
      <c r="G368" s="146" t="s">
        <v>112</v>
      </c>
      <c r="H368" s="28" t="s">
        <v>112</v>
      </c>
      <c r="I368" s="8" t="s">
        <v>97</v>
      </c>
      <c r="J368" s="128" t="s">
        <v>98</v>
      </c>
      <c r="K368" s="221" t="s">
        <v>99</v>
      </c>
      <c r="L368" s="146" t="s">
        <v>100</v>
      </c>
      <c r="M368" s="141" t="s">
        <v>150</v>
      </c>
      <c r="N368" s="128" t="s">
        <v>1535</v>
      </c>
      <c r="O368" s="8" t="s">
        <v>1431</v>
      </c>
      <c r="P368" s="128" t="s">
        <v>106</v>
      </c>
      <c r="Q368" s="128">
        <v>171.0</v>
      </c>
      <c r="R368" s="128">
        <v>428817.0</v>
      </c>
      <c r="S368" s="128">
        <v>9728078.0</v>
      </c>
      <c r="T368" s="128"/>
      <c r="U368" s="128"/>
      <c r="V368" s="128" t="s">
        <v>153</v>
      </c>
      <c r="W368" s="128" t="s">
        <v>154</v>
      </c>
      <c r="X368" s="128" t="s">
        <v>112</v>
      </c>
      <c r="Y368" s="128" t="s">
        <v>112</v>
      </c>
      <c r="Z368" s="23" t="s">
        <v>42</v>
      </c>
      <c r="AA368" s="23" t="s">
        <v>115</v>
      </c>
      <c r="AB368" s="8" t="s">
        <v>343</v>
      </c>
      <c r="AE368" s="24"/>
      <c r="AM368" s="24"/>
    </row>
    <row r="369" ht="15.75" customHeight="1">
      <c r="A369" s="8">
        <v>42.0</v>
      </c>
      <c r="B369" s="146" t="s">
        <v>1628</v>
      </c>
      <c r="C369" s="128" t="s">
        <v>57</v>
      </c>
      <c r="D369" s="128" t="s">
        <v>1378</v>
      </c>
      <c r="E369" s="128" t="s">
        <v>1379</v>
      </c>
      <c r="F369" s="182">
        <v>43556.0</v>
      </c>
      <c r="G369" s="146" t="s">
        <v>112</v>
      </c>
      <c r="H369" s="28" t="s">
        <v>112</v>
      </c>
      <c r="I369" s="8" t="s">
        <v>97</v>
      </c>
      <c r="J369" s="128" t="s">
        <v>112</v>
      </c>
      <c r="K369" s="221" t="s">
        <v>99</v>
      </c>
      <c r="L369" s="146" t="s">
        <v>100</v>
      </c>
      <c r="M369" s="141" t="s">
        <v>150</v>
      </c>
      <c r="N369" s="128" t="s">
        <v>1190</v>
      </c>
      <c r="O369" s="8" t="s">
        <v>1431</v>
      </c>
      <c r="P369" s="128" t="s">
        <v>106</v>
      </c>
      <c r="Q369" s="128">
        <v>171.0</v>
      </c>
      <c r="R369" s="128">
        <v>428817.0</v>
      </c>
      <c r="S369" s="128">
        <v>9728078.0</v>
      </c>
      <c r="T369" s="128"/>
      <c r="U369" s="128"/>
      <c r="V369" s="128" t="s">
        <v>153</v>
      </c>
      <c r="W369" s="128" t="s">
        <v>154</v>
      </c>
      <c r="X369" s="128" t="s">
        <v>112</v>
      </c>
      <c r="Y369" s="128" t="s">
        <v>112</v>
      </c>
      <c r="Z369" s="23" t="s">
        <v>42</v>
      </c>
      <c r="AA369" s="23" t="s">
        <v>115</v>
      </c>
      <c r="AB369" s="8" t="s">
        <v>343</v>
      </c>
      <c r="AE369" s="24"/>
      <c r="AM369" s="24"/>
    </row>
    <row r="370" ht="15.75" customHeight="1">
      <c r="A370" s="8">
        <v>33.0</v>
      </c>
      <c r="B370" s="146" t="s">
        <v>1629</v>
      </c>
      <c r="C370" s="128" t="s">
        <v>57</v>
      </c>
      <c r="D370" s="128" t="s">
        <v>1378</v>
      </c>
      <c r="E370" s="128" t="s">
        <v>1379</v>
      </c>
      <c r="F370" s="182">
        <v>43556.0</v>
      </c>
      <c r="G370" s="146" t="s">
        <v>112</v>
      </c>
      <c r="H370" s="28" t="s">
        <v>112</v>
      </c>
      <c r="I370" s="8" t="s">
        <v>63</v>
      </c>
      <c r="J370" s="128" t="s">
        <v>112</v>
      </c>
      <c r="K370" s="221" t="s">
        <v>99</v>
      </c>
      <c r="L370" s="146" t="s">
        <v>100</v>
      </c>
      <c r="M370" s="141" t="s">
        <v>150</v>
      </c>
      <c r="N370" s="128" t="s">
        <v>1486</v>
      </c>
      <c r="O370" s="8" t="s">
        <v>1431</v>
      </c>
      <c r="P370" s="128" t="s">
        <v>106</v>
      </c>
      <c r="Q370" s="128">
        <v>178.0</v>
      </c>
      <c r="R370" s="128">
        <v>428829.0</v>
      </c>
      <c r="S370" s="128">
        <v>9728266.0</v>
      </c>
      <c r="T370" s="128"/>
      <c r="U370" s="128"/>
      <c r="V370" s="128" t="s">
        <v>153</v>
      </c>
      <c r="W370" s="128" t="s">
        <v>154</v>
      </c>
      <c r="X370" s="128" t="s">
        <v>112</v>
      </c>
      <c r="Y370" s="128" t="s">
        <v>112</v>
      </c>
      <c r="Z370" s="23" t="s">
        <v>42</v>
      </c>
      <c r="AA370" s="23" t="s">
        <v>115</v>
      </c>
      <c r="AB370" s="8" t="s">
        <v>343</v>
      </c>
      <c r="AE370" s="24"/>
      <c r="AM370" s="24"/>
    </row>
    <row r="371" ht="15.75" customHeight="1">
      <c r="A371" s="8">
        <v>111.0</v>
      </c>
      <c r="B371" s="146" t="s">
        <v>1630</v>
      </c>
      <c r="C371" s="128" t="s">
        <v>57</v>
      </c>
      <c r="D371" s="128" t="s">
        <v>89</v>
      </c>
      <c r="E371" s="128" t="s">
        <v>1379</v>
      </c>
      <c r="F371" s="146" t="s">
        <v>1553</v>
      </c>
      <c r="G371" s="146" t="s">
        <v>112</v>
      </c>
      <c r="H371" s="28" t="s">
        <v>112</v>
      </c>
      <c r="I371" s="8" t="s">
        <v>97</v>
      </c>
      <c r="J371" s="128" t="s">
        <v>98</v>
      </c>
      <c r="K371" s="221" t="s">
        <v>99</v>
      </c>
      <c r="L371" s="146" t="s">
        <v>100</v>
      </c>
      <c r="M371" s="128" t="s">
        <v>101</v>
      </c>
      <c r="N371" s="128" t="s">
        <v>112</v>
      </c>
      <c r="O371" s="8" t="s">
        <v>1631</v>
      </c>
      <c r="P371" s="128" t="s">
        <v>106</v>
      </c>
      <c r="Q371" s="128" t="s">
        <v>1632</v>
      </c>
      <c r="R371" s="185">
        <v>428837.0</v>
      </c>
      <c r="S371" s="185">
        <v>9728009.0</v>
      </c>
      <c r="T371" s="128">
        <v>-2.46061501</v>
      </c>
      <c r="U371" s="128">
        <v>-75.64009543</v>
      </c>
      <c r="V371" s="128" t="s">
        <v>1454</v>
      </c>
      <c r="W371" s="128" t="s">
        <v>1566</v>
      </c>
      <c r="X371" s="128" t="s">
        <v>112</v>
      </c>
      <c r="Y371" s="128" t="s">
        <v>112</v>
      </c>
      <c r="Z371" s="23" t="s">
        <v>42</v>
      </c>
      <c r="AA371" s="23" t="s">
        <v>115</v>
      </c>
      <c r="AB371" s="8" t="s">
        <v>112</v>
      </c>
      <c r="AE371" s="24"/>
      <c r="AM371" s="24"/>
    </row>
    <row r="372" ht="15.75" customHeight="1">
      <c r="A372" s="8">
        <v>20.0</v>
      </c>
      <c r="B372" s="146" t="s">
        <v>1633</v>
      </c>
      <c r="C372" s="128" t="s">
        <v>57</v>
      </c>
      <c r="D372" s="128" t="s">
        <v>1378</v>
      </c>
      <c r="E372" s="128" t="s">
        <v>1379</v>
      </c>
      <c r="F372" s="182">
        <v>43556.0</v>
      </c>
      <c r="G372" s="146" t="s">
        <v>112</v>
      </c>
      <c r="H372" s="28" t="s">
        <v>112</v>
      </c>
      <c r="I372" s="8" t="s">
        <v>63</v>
      </c>
      <c r="J372" s="128" t="s">
        <v>112</v>
      </c>
      <c r="K372" s="221" t="s">
        <v>99</v>
      </c>
      <c r="L372" s="146" t="s">
        <v>100</v>
      </c>
      <c r="M372" s="141" t="s">
        <v>150</v>
      </c>
      <c r="N372" s="128" t="s">
        <v>1118</v>
      </c>
      <c r="O372" s="8" t="s">
        <v>1426</v>
      </c>
      <c r="P372" s="128" t="s">
        <v>106</v>
      </c>
      <c r="Q372" s="128">
        <v>173.0</v>
      </c>
      <c r="R372" s="128">
        <v>428846.0</v>
      </c>
      <c r="S372" s="128">
        <v>9727658.0</v>
      </c>
      <c r="T372" s="128"/>
      <c r="U372" s="128"/>
      <c r="V372" s="128" t="s">
        <v>153</v>
      </c>
      <c r="W372" s="128" t="s">
        <v>154</v>
      </c>
      <c r="X372" s="128" t="s">
        <v>112</v>
      </c>
      <c r="Y372" s="128" t="s">
        <v>112</v>
      </c>
      <c r="Z372" s="23" t="s">
        <v>42</v>
      </c>
      <c r="AA372" s="23" t="s">
        <v>115</v>
      </c>
      <c r="AB372" s="8" t="s">
        <v>343</v>
      </c>
      <c r="AE372" s="24"/>
      <c r="AM372" s="24"/>
    </row>
    <row r="373" ht="15.75" customHeight="1">
      <c r="A373" s="8">
        <v>109.0</v>
      </c>
      <c r="B373" s="146" t="s">
        <v>1634</v>
      </c>
      <c r="C373" s="128" t="s">
        <v>57</v>
      </c>
      <c r="D373" s="128" t="s">
        <v>89</v>
      </c>
      <c r="E373" s="128" t="s">
        <v>1379</v>
      </c>
      <c r="F373" s="146" t="s">
        <v>1553</v>
      </c>
      <c r="G373" s="146" t="s">
        <v>112</v>
      </c>
      <c r="H373" s="28" t="s">
        <v>112</v>
      </c>
      <c r="I373" s="8" t="s">
        <v>1580</v>
      </c>
      <c r="J373" s="128" t="s">
        <v>98</v>
      </c>
      <c r="K373" s="221" t="s">
        <v>99</v>
      </c>
      <c r="L373" s="146" t="s">
        <v>100</v>
      </c>
      <c r="M373" s="128" t="s">
        <v>101</v>
      </c>
      <c r="N373" s="128" t="s">
        <v>1635</v>
      </c>
      <c r="O373" s="8" t="s">
        <v>1564</v>
      </c>
      <c r="P373" s="128" t="s">
        <v>106</v>
      </c>
      <c r="Q373" s="128" t="s">
        <v>1609</v>
      </c>
      <c r="R373" s="185">
        <v>428868.0</v>
      </c>
      <c r="S373" s="185">
        <v>9728368.0</v>
      </c>
      <c r="T373" s="128">
        <v>-2.45736864</v>
      </c>
      <c r="U373" s="128">
        <v>-75.63980971</v>
      </c>
      <c r="V373" s="128" t="s">
        <v>1454</v>
      </c>
      <c r="W373" s="128" t="s">
        <v>1566</v>
      </c>
      <c r="X373" s="128" t="s">
        <v>112</v>
      </c>
      <c r="Y373" s="128" t="s">
        <v>112</v>
      </c>
      <c r="Z373" s="23" t="s">
        <v>42</v>
      </c>
      <c r="AA373" s="23" t="s">
        <v>115</v>
      </c>
      <c r="AB373" s="8" t="s">
        <v>112</v>
      </c>
      <c r="AE373" s="24"/>
      <c r="AM373" s="24"/>
    </row>
    <row r="374" ht="15.75" customHeight="1">
      <c r="A374" s="8">
        <v>37.0</v>
      </c>
      <c r="B374" s="146" t="s">
        <v>1636</v>
      </c>
      <c r="C374" s="128" t="s">
        <v>57</v>
      </c>
      <c r="D374" s="128" t="s">
        <v>1378</v>
      </c>
      <c r="E374" s="128" t="s">
        <v>1379</v>
      </c>
      <c r="F374" s="182">
        <v>43556.0</v>
      </c>
      <c r="G374" s="146" t="s">
        <v>112</v>
      </c>
      <c r="H374" s="28" t="s">
        <v>112</v>
      </c>
      <c r="I374" s="8" t="s">
        <v>63</v>
      </c>
      <c r="J374" s="128" t="s">
        <v>112</v>
      </c>
      <c r="K374" s="221" t="s">
        <v>99</v>
      </c>
      <c r="L374" s="146" t="s">
        <v>100</v>
      </c>
      <c r="M374" s="141" t="s">
        <v>150</v>
      </c>
      <c r="N374" s="128" t="s">
        <v>1162</v>
      </c>
      <c r="O374" s="8" t="s">
        <v>1431</v>
      </c>
      <c r="P374" s="128" t="s">
        <v>106</v>
      </c>
      <c r="Q374" s="128">
        <v>177.0</v>
      </c>
      <c r="R374" s="128">
        <v>428892.0</v>
      </c>
      <c r="S374" s="128">
        <v>9729985.0</v>
      </c>
      <c r="T374" s="128"/>
      <c r="U374" s="128"/>
      <c r="V374" s="128" t="s">
        <v>153</v>
      </c>
      <c r="W374" s="128" t="s">
        <v>154</v>
      </c>
      <c r="X374" s="128" t="s">
        <v>112</v>
      </c>
      <c r="Y374" s="128" t="s">
        <v>112</v>
      </c>
      <c r="Z374" s="23" t="s">
        <v>42</v>
      </c>
      <c r="AA374" s="23" t="s">
        <v>115</v>
      </c>
      <c r="AB374" s="8" t="s">
        <v>343</v>
      </c>
      <c r="AE374" s="24"/>
      <c r="AM374" s="24"/>
    </row>
    <row r="375" ht="15.75" customHeight="1">
      <c r="A375" s="8">
        <v>34.0</v>
      </c>
      <c r="B375" s="146" t="s">
        <v>1637</v>
      </c>
      <c r="C375" s="128" t="s">
        <v>57</v>
      </c>
      <c r="D375" s="128" t="s">
        <v>1378</v>
      </c>
      <c r="E375" s="128" t="s">
        <v>1379</v>
      </c>
      <c r="F375" s="182">
        <v>43556.0</v>
      </c>
      <c r="G375" s="146" t="s">
        <v>112</v>
      </c>
      <c r="H375" s="28" t="s">
        <v>112</v>
      </c>
      <c r="I375" s="8" t="s">
        <v>63</v>
      </c>
      <c r="J375" s="128" t="s">
        <v>112</v>
      </c>
      <c r="K375" s="221" t="s">
        <v>99</v>
      </c>
      <c r="L375" s="146" t="s">
        <v>100</v>
      </c>
      <c r="M375" s="141" t="s">
        <v>150</v>
      </c>
      <c r="N375" s="128" t="s">
        <v>1486</v>
      </c>
      <c r="O375" s="8" t="s">
        <v>1431</v>
      </c>
      <c r="P375" s="128" t="s">
        <v>106</v>
      </c>
      <c r="Q375" s="128">
        <v>176.0</v>
      </c>
      <c r="R375" s="128">
        <v>428935.0</v>
      </c>
      <c r="S375" s="128">
        <v>9728182.0</v>
      </c>
      <c r="T375" s="128"/>
      <c r="U375" s="128"/>
      <c r="V375" s="128" t="s">
        <v>153</v>
      </c>
      <c r="W375" s="128" t="s">
        <v>154</v>
      </c>
      <c r="X375" s="128" t="s">
        <v>112</v>
      </c>
      <c r="Y375" s="128" t="s">
        <v>112</v>
      </c>
      <c r="Z375" s="23" t="s">
        <v>42</v>
      </c>
      <c r="AA375" s="23" t="s">
        <v>115</v>
      </c>
      <c r="AB375" s="8" t="s">
        <v>343</v>
      </c>
      <c r="AE375" s="24"/>
      <c r="AM375" s="24"/>
    </row>
    <row r="376" ht="15.75" customHeight="1">
      <c r="A376" s="8">
        <v>17.0</v>
      </c>
      <c r="B376" s="146" t="s">
        <v>1638</v>
      </c>
      <c r="C376" s="128" t="s">
        <v>57</v>
      </c>
      <c r="D376" s="128" t="s">
        <v>1378</v>
      </c>
      <c r="E376" s="128" t="s">
        <v>1379</v>
      </c>
      <c r="F376" s="182">
        <v>43556.0</v>
      </c>
      <c r="G376" s="146" t="s">
        <v>112</v>
      </c>
      <c r="H376" s="28" t="s">
        <v>112</v>
      </c>
      <c r="I376" s="8" t="s">
        <v>63</v>
      </c>
      <c r="J376" s="128" t="s">
        <v>112</v>
      </c>
      <c r="K376" s="221" t="s">
        <v>99</v>
      </c>
      <c r="L376" s="146" t="s">
        <v>100</v>
      </c>
      <c r="M376" s="141" t="s">
        <v>150</v>
      </c>
      <c r="N376" s="128" t="s">
        <v>1639</v>
      </c>
      <c r="O376" s="8" t="s">
        <v>1426</v>
      </c>
      <c r="P376" s="128" t="s">
        <v>106</v>
      </c>
      <c r="Q376" s="128">
        <v>165.0</v>
      </c>
      <c r="R376" s="128">
        <v>428948.0</v>
      </c>
      <c r="S376" s="128">
        <v>9728289.0</v>
      </c>
      <c r="T376" s="128"/>
      <c r="U376" s="128"/>
      <c r="V376" s="128" t="s">
        <v>153</v>
      </c>
      <c r="W376" s="128" t="s">
        <v>154</v>
      </c>
      <c r="X376" s="128" t="s">
        <v>112</v>
      </c>
      <c r="Y376" s="128" t="s">
        <v>112</v>
      </c>
      <c r="Z376" s="23" t="s">
        <v>42</v>
      </c>
      <c r="AA376" s="23" t="s">
        <v>115</v>
      </c>
      <c r="AB376" s="8" t="s">
        <v>343</v>
      </c>
      <c r="AE376" s="24"/>
      <c r="AM376" s="24"/>
    </row>
    <row r="377" ht="15.75" customHeight="1">
      <c r="A377" s="8">
        <v>35.0</v>
      </c>
      <c r="B377" s="146" t="s">
        <v>1640</v>
      </c>
      <c r="C377" s="128" t="s">
        <v>57</v>
      </c>
      <c r="D377" s="128" t="s">
        <v>1378</v>
      </c>
      <c r="E377" s="128" t="s">
        <v>1379</v>
      </c>
      <c r="F377" s="182">
        <v>43556.0</v>
      </c>
      <c r="G377" s="146" t="s">
        <v>112</v>
      </c>
      <c r="H377" s="28" t="s">
        <v>112</v>
      </c>
      <c r="I377" s="8" t="s">
        <v>63</v>
      </c>
      <c r="J377" s="128" t="s">
        <v>112</v>
      </c>
      <c r="K377" s="221" t="s">
        <v>99</v>
      </c>
      <c r="L377" s="146" t="s">
        <v>100</v>
      </c>
      <c r="M377" s="141" t="s">
        <v>150</v>
      </c>
      <c r="N377" s="128" t="s">
        <v>1162</v>
      </c>
      <c r="O377" s="8" t="s">
        <v>1431</v>
      </c>
      <c r="P377" s="128" t="s">
        <v>106</v>
      </c>
      <c r="Q377" s="128">
        <v>177.0</v>
      </c>
      <c r="R377" s="128">
        <v>428954.0</v>
      </c>
      <c r="S377" s="128">
        <v>9728095.0</v>
      </c>
      <c r="T377" s="128"/>
      <c r="U377" s="128"/>
      <c r="V377" s="128" t="s">
        <v>153</v>
      </c>
      <c r="W377" s="128" t="s">
        <v>154</v>
      </c>
      <c r="X377" s="128" t="s">
        <v>112</v>
      </c>
      <c r="Y377" s="128" t="s">
        <v>112</v>
      </c>
      <c r="Z377" s="23" t="s">
        <v>42</v>
      </c>
      <c r="AA377" s="23" t="s">
        <v>115</v>
      </c>
      <c r="AB377" s="8" t="s">
        <v>343</v>
      </c>
      <c r="AE377" s="24"/>
      <c r="AM377" s="24"/>
    </row>
    <row r="378" ht="15.75" customHeight="1">
      <c r="A378" s="8">
        <v>18.0</v>
      </c>
      <c r="B378" s="146" t="s">
        <v>1641</v>
      </c>
      <c r="C378" s="128" t="s">
        <v>57</v>
      </c>
      <c r="D378" s="128" t="s">
        <v>1378</v>
      </c>
      <c r="E378" s="128" t="s">
        <v>1379</v>
      </c>
      <c r="F378" s="182">
        <v>43556.0</v>
      </c>
      <c r="G378" s="146" t="s">
        <v>112</v>
      </c>
      <c r="H378" s="28" t="s">
        <v>112</v>
      </c>
      <c r="I378" s="8" t="s">
        <v>63</v>
      </c>
      <c r="J378" s="128" t="s">
        <v>112</v>
      </c>
      <c r="K378" s="221" t="s">
        <v>99</v>
      </c>
      <c r="L378" s="146" t="s">
        <v>100</v>
      </c>
      <c r="M378" s="141" t="s">
        <v>150</v>
      </c>
      <c r="N378" s="128" t="s">
        <v>1118</v>
      </c>
      <c r="O378" s="8" t="s">
        <v>1426</v>
      </c>
      <c r="P378" s="128" t="s">
        <v>106</v>
      </c>
      <c r="Q378" s="128">
        <v>178.0</v>
      </c>
      <c r="R378" s="128">
        <v>428999.0</v>
      </c>
      <c r="S378" s="128">
        <v>9728088.0</v>
      </c>
      <c r="T378" s="128"/>
      <c r="U378" s="128"/>
      <c r="V378" s="128" t="s">
        <v>153</v>
      </c>
      <c r="W378" s="128" t="s">
        <v>154</v>
      </c>
      <c r="X378" s="128" t="s">
        <v>112</v>
      </c>
      <c r="Y378" s="128" t="s">
        <v>112</v>
      </c>
      <c r="Z378" s="23" t="s">
        <v>42</v>
      </c>
      <c r="AA378" s="23" t="s">
        <v>115</v>
      </c>
      <c r="AB378" s="8" t="s">
        <v>343</v>
      </c>
      <c r="AE378" s="24"/>
      <c r="AM378" s="24"/>
    </row>
    <row r="379" ht="15.75" customHeight="1">
      <c r="A379" s="8">
        <v>101.0</v>
      </c>
      <c r="B379" s="146" t="s">
        <v>1642</v>
      </c>
      <c r="C379" s="128" t="s">
        <v>57</v>
      </c>
      <c r="D379" s="128" t="s">
        <v>89</v>
      </c>
      <c r="E379" s="128" t="s">
        <v>1379</v>
      </c>
      <c r="F379" s="146" t="s">
        <v>1605</v>
      </c>
      <c r="G379" s="146" t="s">
        <v>112</v>
      </c>
      <c r="H379" s="28" t="s">
        <v>112</v>
      </c>
      <c r="I379" s="8" t="s">
        <v>97</v>
      </c>
      <c r="J379" s="128" t="s">
        <v>163</v>
      </c>
      <c r="K379" s="221" t="s">
        <v>99</v>
      </c>
      <c r="L379" s="146" t="s">
        <v>100</v>
      </c>
      <c r="M379" s="128" t="s">
        <v>101</v>
      </c>
      <c r="N379" s="128" t="s">
        <v>1643</v>
      </c>
      <c r="O379" s="8" t="s">
        <v>1644</v>
      </c>
      <c r="P379" s="128" t="s">
        <v>106</v>
      </c>
      <c r="Q379" s="128" t="s">
        <v>1645</v>
      </c>
      <c r="R379" s="185">
        <v>429142.0</v>
      </c>
      <c r="S379" s="185">
        <v>9729266.0</v>
      </c>
      <c r="T379" s="128">
        <v>-2.4492468</v>
      </c>
      <c r="U379" s="128">
        <v>-75.63734372</v>
      </c>
      <c r="V379" s="128" t="s">
        <v>1454</v>
      </c>
      <c r="W379" s="128" t="s">
        <v>112</v>
      </c>
      <c r="X379" s="128" t="s">
        <v>112</v>
      </c>
      <c r="Y379" s="128" t="s">
        <v>112</v>
      </c>
      <c r="Z379" s="23" t="s">
        <v>42</v>
      </c>
      <c r="AA379" s="23" t="s">
        <v>115</v>
      </c>
      <c r="AB379" s="8" t="s">
        <v>112</v>
      </c>
      <c r="AE379" s="24"/>
      <c r="AM379" s="24"/>
    </row>
    <row r="380" ht="15.75" customHeight="1">
      <c r="A380" s="8">
        <v>156.0</v>
      </c>
      <c r="B380" s="146" t="s">
        <v>1646</v>
      </c>
      <c r="C380" s="128" t="s">
        <v>57</v>
      </c>
      <c r="D380" s="128" t="s">
        <v>89</v>
      </c>
      <c r="E380" s="128" t="s">
        <v>1379</v>
      </c>
      <c r="F380" s="146" t="s">
        <v>1519</v>
      </c>
      <c r="G380" s="225">
        <v>36708.0</v>
      </c>
      <c r="H380" s="20" t="str">
        <f>TEXT(G380, "yyyy")</f>
        <v>2000</v>
      </c>
      <c r="I380" s="8" t="s">
        <v>97</v>
      </c>
      <c r="J380" s="128" t="s">
        <v>163</v>
      </c>
      <c r="K380" s="221" t="s">
        <v>99</v>
      </c>
      <c r="L380" s="146" t="s">
        <v>100</v>
      </c>
      <c r="M380" s="128" t="s">
        <v>101</v>
      </c>
      <c r="N380" s="224" t="s">
        <v>1647</v>
      </c>
      <c r="O380" s="21" t="s">
        <v>1648</v>
      </c>
      <c r="P380" s="128" t="s">
        <v>106</v>
      </c>
      <c r="Q380" s="128" t="s">
        <v>1649</v>
      </c>
      <c r="R380" s="128">
        <v>429154.0</v>
      </c>
      <c r="S380" s="128" t="s">
        <v>1650</v>
      </c>
      <c r="T380" s="128">
        <v>-2.44919891</v>
      </c>
      <c r="U380" s="128">
        <v>-75.63723848</v>
      </c>
      <c r="V380" s="128" t="s">
        <v>1454</v>
      </c>
      <c r="W380" s="128" t="s">
        <v>1651</v>
      </c>
      <c r="X380" s="128" t="s">
        <v>112</v>
      </c>
      <c r="Y380" s="128" t="s">
        <v>112</v>
      </c>
      <c r="Z380" s="23" t="s">
        <v>42</v>
      </c>
      <c r="AA380" s="23" t="s">
        <v>115</v>
      </c>
      <c r="AB380" s="8" t="s">
        <v>112</v>
      </c>
      <c r="AE380" s="24"/>
      <c r="AM380" s="24"/>
    </row>
    <row r="381" ht="15.75" customHeight="1">
      <c r="A381" s="8">
        <v>10.0</v>
      </c>
      <c r="B381" s="146" t="s">
        <v>1652</v>
      </c>
      <c r="C381" s="128" t="s">
        <v>57</v>
      </c>
      <c r="D381" s="128" t="s">
        <v>1378</v>
      </c>
      <c r="E381" s="128" t="s">
        <v>1379</v>
      </c>
      <c r="F381" s="182">
        <v>43556.0</v>
      </c>
      <c r="G381" s="146" t="s">
        <v>112</v>
      </c>
      <c r="H381" s="28" t="s">
        <v>112</v>
      </c>
      <c r="I381" s="8" t="s">
        <v>97</v>
      </c>
      <c r="J381" s="128" t="s">
        <v>163</v>
      </c>
      <c r="K381" s="221" t="s">
        <v>99</v>
      </c>
      <c r="L381" s="146" t="s">
        <v>100</v>
      </c>
      <c r="M381" s="141" t="s">
        <v>150</v>
      </c>
      <c r="N381" s="128" t="s">
        <v>1535</v>
      </c>
      <c r="O381" s="8" t="s">
        <v>1653</v>
      </c>
      <c r="P381" s="128" t="s">
        <v>106</v>
      </c>
      <c r="Q381" s="128">
        <v>166.0</v>
      </c>
      <c r="R381" s="128">
        <v>429171.0</v>
      </c>
      <c r="S381" s="128">
        <v>9729008.0</v>
      </c>
      <c r="T381" s="128"/>
      <c r="U381" s="128"/>
      <c r="V381" s="128" t="s">
        <v>153</v>
      </c>
      <c r="W381" s="128" t="s">
        <v>154</v>
      </c>
      <c r="X381" s="128" t="s">
        <v>112</v>
      </c>
      <c r="Y381" s="128" t="s">
        <v>112</v>
      </c>
      <c r="Z381" s="23" t="s">
        <v>42</v>
      </c>
      <c r="AA381" s="23" t="s">
        <v>115</v>
      </c>
      <c r="AB381" s="8" t="s">
        <v>343</v>
      </c>
      <c r="AE381" s="24"/>
      <c r="AM381" s="24"/>
    </row>
    <row r="382" ht="15.75" customHeight="1">
      <c r="A382" s="8">
        <v>112.0</v>
      </c>
      <c r="B382" s="146" t="s">
        <v>1654</v>
      </c>
      <c r="C382" s="128" t="s">
        <v>57</v>
      </c>
      <c r="D382" s="128" t="s">
        <v>89</v>
      </c>
      <c r="E382" s="128" t="s">
        <v>1379</v>
      </c>
      <c r="F382" s="146" t="s">
        <v>1553</v>
      </c>
      <c r="G382" s="146" t="s">
        <v>112</v>
      </c>
      <c r="H382" s="28" t="s">
        <v>112</v>
      </c>
      <c r="I382" s="8" t="s">
        <v>63</v>
      </c>
      <c r="J382" s="128" t="s">
        <v>98</v>
      </c>
      <c r="K382" s="221" t="s">
        <v>99</v>
      </c>
      <c r="L382" s="146" t="s">
        <v>100</v>
      </c>
      <c r="M382" s="128" t="s">
        <v>101</v>
      </c>
      <c r="N382" s="128" t="s">
        <v>1655</v>
      </c>
      <c r="O382" s="8" t="s">
        <v>1564</v>
      </c>
      <c r="P382" s="128" t="s">
        <v>106</v>
      </c>
      <c r="Q382" s="128" t="s">
        <v>1656</v>
      </c>
      <c r="R382" s="185">
        <v>429180.0</v>
      </c>
      <c r="S382" s="185">
        <v>9727290.0</v>
      </c>
      <c r="T382" s="128">
        <v>-2.4671164</v>
      </c>
      <c r="U382" s="128">
        <v>-75.6370132</v>
      </c>
      <c r="V382" s="128" t="s">
        <v>1454</v>
      </c>
      <c r="W382" s="128" t="s">
        <v>1517</v>
      </c>
      <c r="X382" s="128" t="s">
        <v>112</v>
      </c>
      <c r="Y382" s="128" t="s">
        <v>112</v>
      </c>
      <c r="Z382" s="23" t="s">
        <v>42</v>
      </c>
      <c r="AA382" s="23" t="s">
        <v>115</v>
      </c>
      <c r="AB382" s="8" t="s">
        <v>112</v>
      </c>
      <c r="AE382" s="24"/>
      <c r="AM382" s="24"/>
    </row>
    <row r="383" ht="15.75" customHeight="1">
      <c r="A383" s="8">
        <v>841.0</v>
      </c>
      <c r="B383" s="158" t="s">
        <v>1657</v>
      </c>
      <c r="C383" s="158" t="s">
        <v>57</v>
      </c>
      <c r="D383" s="158" t="s">
        <v>213</v>
      </c>
      <c r="E383" s="158" t="s">
        <v>112</v>
      </c>
      <c r="F383" s="205">
        <v>42877.0</v>
      </c>
      <c r="G383" s="164">
        <v>42856.0</v>
      </c>
      <c r="H383" s="20" t="str">
        <f>TEXT(G383, "yyyy")</f>
        <v>2017</v>
      </c>
      <c r="I383" s="8" t="s">
        <v>1658</v>
      </c>
      <c r="J383" s="158" t="s">
        <v>112</v>
      </c>
      <c r="K383" s="220" t="s">
        <v>112</v>
      </c>
      <c r="L383" s="158" t="s">
        <v>100</v>
      </c>
      <c r="M383" s="211" t="s">
        <v>177</v>
      </c>
      <c r="N383" s="158" t="s">
        <v>1659</v>
      </c>
      <c r="O383" s="8" t="s">
        <v>1660</v>
      </c>
      <c r="P383" s="158" t="s">
        <v>106</v>
      </c>
      <c r="Q383" s="158" t="s">
        <v>112</v>
      </c>
      <c r="R383" s="158">
        <v>429212.2</v>
      </c>
      <c r="S383" s="158">
        <v>9727275.0</v>
      </c>
      <c r="T383" s="158">
        <v>-75.63672511</v>
      </c>
      <c r="U383" s="158" t="s">
        <v>1661</v>
      </c>
      <c r="V383" s="158" t="s">
        <v>1454</v>
      </c>
      <c r="W383" s="158" t="s">
        <v>112</v>
      </c>
      <c r="X383" s="158" t="s">
        <v>112</v>
      </c>
      <c r="Y383" s="158" t="s">
        <v>112</v>
      </c>
      <c r="Z383" s="8" t="s">
        <v>148</v>
      </c>
      <c r="AA383" s="23" t="s">
        <v>144</v>
      </c>
      <c r="AB383" s="8"/>
      <c r="AE383" s="24"/>
      <c r="AM383" s="24"/>
    </row>
    <row r="384" ht="15.75" customHeight="1">
      <c r="A384" s="8">
        <v>113.0</v>
      </c>
      <c r="B384" s="146" t="s">
        <v>1662</v>
      </c>
      <c r="C384" s="128" t="s">
        <v>57</v>
      </c>
      <c r="D384" s="128" t="s">
        <v>89</v>
      </c>
      <c r="E384" s="128" t="s">
        <v>1379</v>
      </c>
      <c r="F384" s="146" t="s">
        <v>1553</v>
      </c>
      <c r="G384" s="146" t="s">
        <v>112</v>
      </c>
      <c r="H384" s="28" t="s">
        <v>112</v>
      </c>
      <c r="I384" s="8" t="s">
        <v>97</v>
      </c>
      <c r="J384" s="128" t="s">
        <v>163</v>
      </c>
      <c r="K384" s="221" t="s">
        <v>99</v>
      </c>
      <c r="L384" s="146" t="s">
        <v>100</v>
      </c>
      <c r="M384" s="128" t="s">
        <v>101</v>
      </c>
      <c r="N384" s="128" t="s">
        <v>1663</v>
      </c>
      <c r="O384" s="8" t="s">
        <v>1664</v>
      </c>
      <c r="P384" s="128" t="s">
        <v>106</v>
      </c>
      <c r="Q384" s="128" t="s">
        <v>1665</v>
      </c>
      <c r="R384" s="185">
        <v>429214.0</v>
      </c>
      <c r="S384" s="185">
        <v>9727276.0</v>
      </c>
      <c r="T384" s="128">
        <v>-2.46724925</v>
      </c>
      <c r="U384" s="128">
        <v>-75.63670495</v>
      </c>
      <c r="V384" s="128" t="s">
        <v>1454</v>
      </c>
      <c r="W384" s="128" t="s">
        <v>1517</v>
      </c>
      <c r="X384" s="128" t="s">
        <v>112</v>
      </c>
      <c r="Y384" s="128" t="s">
        <v>112</v>
      </c>
      <c r="Z384" s="23" t="s">
        <v>42</v>
      </c>
      <c r="AA384" s="23" t="s">
        <v>115</v>
      </c>
      <c r="AB384" s="8" t="s">
        <v>112</v>
      </c>
      <c r="AE384" s="24"/>
      <c r="AM384" s="24"/>
    </row>
    <row r="385" ht="15.75" customHeight="1">
      <c r="A385" s="8">
        <v>12.0</v>
      </c>
      <c r="B385" s="146" t="s">
        <v>1666</v>
      </c>
      <c r="C385" s="128" t="s">
        <v>57</v>
      </c>
      <c r="D385" s="128" t="s">
        <v>1378</v>
      </c>
      <c r="E385" s="128" t="s">
        <v>1379</v>
      </c>
      <c r="F385" s="182">
        <v>43556.0</v>
      </c>
      <c r="G385" s="146" t="s">
        <v>112</v>
      </c>
      <c r="H385" s="28" t="s">
        <v>112</v>
      </c>
      <c r="I385" s="8" t="s">
        <v>97</v>
      </c>
      <c r="J385" s="128" t="s">
        <v>163</v>
      </c>
      <c r="K385" s="221" t="s">
        <v>99</v>
      </c>
      <c r="L385" s="146" t="s">
        <v>100</v>
      </c>
      <c r="M385" s="141" t="s">
        <v>150</v>
      </c>
      <c r="N385" s="128" t="s">
        <v>1667</v>
      </c>
      <c r="O385" s="8" t="s">
        <v>1668</v>
      </c>
      <c r="P385" s="128" t="s">
        <v>106</v>
      </c>
      <c r="Q385" s="128">
        <v>182.0</v>
      </c>
      <c r="R385" s="128">
        <v>429235.0</v>
      </c>
      <c r="S385" s="128">
        <v>9727140.0</v>
      </c>
      <c r="T385" s="128"/>
      <c r="U385" s="128"/>
      <c r="V385" s="128" t="s">
        <v>153</v>
      </c>
      <c r="W385" s="128" t="s">
        <v>154</v>
      </c>
      <c r="X385" s="128" t="s">
        <v>112</v>
      </c>
      <c r="Y385" s="128" t="s">
        <v>112</v>
      </c>
      <c r="Z385" s="23" t="s">
        <v>42</v>
      </c>
      <c r="AA385" s="23" t="s">
        <v>115</v>
      </c>
      <c r="AB385" s="8" t="s">
        <v>343</v>
      </c>
      <c r="AE385" s="24"/>
      <c r="AM385" s="24"/>
    </row>
    <row r="386" ht="15.75" customHeight="1">
      <c r="A386" s="8">
        <v>740.0</v>
      </c>
      <c r="B386" s="188" t="s">
        <v>1669</v>
      </c>
      <c r="C386" s="167" t="s">
        <v>57</v>
      </c>
      <c r="D386" s="181" t="s">
        <v>112</v>
      </c>
      <c r="E386" s="163" t="s">
        <v>112</v>
      </c>
      <c r="F386" s="189" t="s">
        <v>1670</v>
      </c>
      <c r="G386" s="178">
        <v>42583.0</v>
      </c>
      <c r="H386" s="42" t="str">
        <f t="shared" ref="H386:H388" si="25">TEXT(G386, "yyyy")</f>
        <v>2016</v>
      </c>
      <c r="I386" s="8" t="s">
        <v>186</v>
      </c>
      <c r="J386" s="163" t="s">
        <v>112</v>
      </c>
      <c r="K386" s="230" t="s">
        <v>112</v>
      </c>
      <c r="L386" s="163" t="s">
        <v>100</v>
      </c>
      <c r="M386" s="167" t="s">
        <v>187</v>
      </c>
      <c r="N386" s="163" t="s">
        <v>1671</v>
      </c>
      <c r="O386" s="8" t="s">
        <v>1672</v>
      </c>
      <c r="P386" s="163" t="s">
        <v>106</v>
      </c>
      <c r="Q386" s="181" t="s">
        <v>112</v>
      </c>
      <c r="R386" s="181">
        <v>429253.0</v>
      </c>
      <c r="S386" s="181">
        <v>9727261.0</v>
      </c>
      <c r="T386" s="167" t="s">
        <v>112</v>
      </c>
      <c r="U386" s="167" t="s">
        <v>112</v>
      </c>
      <c r="V386" s="167" t="s">
        <v>1673</v>
      </c>
      <c r="W386" s="163" t="s">
        <v>112</v>
      </c>
      <c r="X386" s="181">
        <v>0.0</v>
      </c>
      <c r="Y386" s="181">
        <v>0.0</v>
      </c>
      <c r="Z386" s="8" t="s">
        <v>69</v>
      </c>
      <c r="AA386" s="23" t="s">
        <v>115</v>
      </c>
      <c r="AB386" s="8" t="s">
        <v>329</v>
      </c>
      <c r="AE386" s="24"/>
      <c r="AM386" s="24"/>
    </row>
    <row r="387" ht="15.75" customHeight="1">
      <c r="A387" s="8">
        <v>595.0</v>
      </c>
      <c r="B387" s="188" t="s">
        <v>1674</v>
      </c>
      <c r="C387" s="156" t="s">
        <v>57</v>
      </c>
      <c r="D387" s="158" t="s">
        <v>112</v>
      </c>
      <c r="E387" s="158" t="s">
        <v>112</v>
      </c>
      <c r="F387" s="215">
        <v>2015.0</v>
      </c>
      <c r="G387" s="161">
        <v>42248.0</v>
      </c>
      <c r="H387" s="20" t="str">
        <f t="shared" si="25"/>
        <v>2015</v>
      </c>
      <c r="I387" s="8" t="s">
        <v>63</v>
      </c>
      <c r="J387" s="158" t="s">
        <v>112</v>
      </c>
      <c r="K387" s="220" t="s">
        <v>112</v>
      </c>
      <c r="L387" s="158" t="s">
        <v>100</v>
      </c>
      <c r="M387" s="156" t="s">
        <v>187</v>
      </c>
      <c r="N387" s="158" t="s">
        <v>1675</v>
      </c>
      <c r="O387" s="8" t="s">
        <v>1676</v>
      </c>
      <c r="P387" s="158" t="s">
        <v>106</v>
      </c>
      <c r="Q387" s="158" t="s">
        <v>112</v>
      </c>
      <c r="R387" s="157">
        <v>429257.0</v>
      </c>
      <c r="S387" s="157">
        <v>9727250.0</v>
      </c>
      <c r="T387" s="162">
        <v>-2.4674864</v>
      </c>
      <c r="U387" s="162">
        <v>-75.636322</v>
      </c>
      <c r="V387" s="156" t="s">
        <v>480</v>
      </c>
      <c r="W387" s="158" t="s">
        <v>112</v>
      </c>
      <c r="X387" s="157" t="s">
        <v>112</v>
      </c>
      <c r="Y387" s="157" t="s">
        <v>112</v>
      </c>
      <c r="Z387" s="8" t="s">
        <v>149</v>
      </c>
      <c r="AA387" s="23" t="s">
        <v>115</v>
      </c>
      <c r="AB387" s="8"/>
      <c r="AE387" s="24"/>
      <c r="AM387" s="24"/>
    </row>
    <row r="388" ht="15.75" customHeight="1">
      <c r="A388" s="8">
        <v>883.0</v>
      </c>
      <c r="B388" s="158" t="s">
        <v>1677</v>
      </c>
      <c r="C388" s="158" t="s">
        <v>52</v>
      </c>
      <c r="D388" s="158" t="s">
        <v>1678</v>
      </c>
      <c r="E388" s="158" t="s">
        <v>112</v>
      </c>
      <c r="F388" s="165" t="s">
        <v>1679</v>
      </c>
      <c r="G388" s="164">
        <v>42767.0</v>
      </c>
      <c r="H388" s="95" t="str">
        <f t="shared" si="25"/>
        <v>2017</v>
      </c>
      <c r="I388" s="8" t="s">
        <v>176</v>
      </c>
      <c r="J388" s="158" t="s">
        <v>112</v>
      </c>
      <c r="K388" s="220" t="s">
        <v>112</v>
      </c>
      <c r="L388" s="158" t="s">
        <v>1336</v>
      </c>
      <c r="M388" s="157" t="s">
        <v>177</v>
      </c>
      <c r="N388" s="170" t="s">
        <v>1680</v>
      </c>
      <c r="O388" s="8" t="s">
        <v>1681</v>
      </c>
      <c r="P388" s="158" t="s">
        <v>106</v>
      </c>
      <c r="Q388" s="158" t="s">
        <v>112</v>
      </c>
      <c r="R388" s="158">
        <v>429296.0</v>
      </c>
      <c r="S388" s="158">
        <v>9630470.0</v>
      </c>
      <c r="T388" s="158">
        <v>-75.636489</v>
      </c>
      <c r="U388" s="158">
        <v>-3.3428946</v>
      </c>
      <c r="V388" s="156" t="s">
        <v>1423</v>
      </c>
      <c r="W388" s="158" t="s">
        <v>112</v>
      </c>
      <c r="X388" s="158">
        <v>0.0</v>
      </c>
      <c r="Y388" s="158" t="s">
        <v>112</v>
      </c>
      <c r="Z388" s="8" t="s">
        <v>148</v>
      </c>
      <c r="AA388" s="23" t="s">
        <v>144</v>
      </c>
      <c r="AB388" s="8" t="s">
        <v>368</v>
      </c>
      <c r="AE388" s="24"/>
      <c r="AM388" s="24"/>
    </row>
    <row r="389" ht="15.75" customHeight="1">
      <c r="A389" s="8">
        <v>102.0</v>
      </c>
      <c r="B389" s="146" t="s">
        <v>1682</v>
      </c>
      <c r="C389" s="128" t="s">
        <v>57</v>
      </c>
      <c r="D389" s="128" t="s">
        <v>89</v>
      </c>
      <c r="E389" s="128" t="s">
        <v>1379</v>
      </c>
      <c r="F389" s="146" t="s">
        <v>1605</v>
      </c>
      <c r="G389" s="146" t="s">
        <v>112</v>
      </c>
      <c r="H389" s="28" t="s">
        <v>112</v>
      </c>
      <c r="I389" s="8" t="s">
        <v>97</v>
      </c>
      <c r="J389" s="128" t="s">
        <v>163</v>
      </c>
      <c r="K389" s="221" t="s">
        <v>99</v>
      </c>
      <c r="L389" s="146" t="s">
        <v>100</v>
      </c>
      <c r="M389" s="128" t="s">
        <v>101</v>
      </c>
      <c r="N389" s="128" t="s">
        <v>1683</v>
      </c>
      <c r="O389" s="8" t="s">
        <v>1684</v>
      </c>
      <c r="P389" s="128" t="s">
        <v>106</v>
      </c>
      <c r="Q389" s="128" t="s">
        <v>1685</v>
      </c>
      <c r="R389" s="185">
        <v>429348.0</v>
      </c>
      <c r="S389" s="185">
        <v>9729177.0</v>
      </c>
      <c r="T389" s="128">
        <v>-2.45005204</v>
      </c>
      <c r="U389" s="128">
        <v>-75.63549099</v>
      </c>
      <c r="V389" s="128" t="s">
        <v>1454</v>
      </c>
      <c r="W389" s="128" t="s">
        <v>1517</v>
      </c>
      <c r="X389" s="128" t="s">
        <v>112</v>
      </c>
      <c r="Y389" s="128" t="s">
        <v>112</v>
      </c>
      <c r="Z389" s="23" t="s">
        <v>42</v>
      </c>
      <c r="AA389" s="23" t="s">
        <v>115</v>
      </c>
      <c r="AB389" s="8" t="s">
        <v>112</v>
      </c>
      <c r="AE389" s="24"/>
      <c r="AM389" s="24"/>
    </row>
    <row r="390" ht="15.75" customHeight="1">
      <c r="A390" s="8">
        <v>9.0</v>
      </c>
      <c r="B390" s="146" t="s">
        <v>1686</v>
      </c>
      <c r="C390" s="128" t="s">
        <v>57</v>
      </c>
      <c r="D390" s="128" t="s">
        <v>1378</v>
      </c>
      <c r="E390" s="128" t="s">
        <v>1379</v>
      </c>
      <c r="F390" s="182">
        <v>43556.0</v>
      </c>
      <c r="G390" s="146" t="s">
        <v>112</v>
      </c>
      <c r="H390" s="28" t="s">
        <v>112</v>
      </c>
      <c r="I390" s="8" t="s">
        <v>97</v>
      </c>
      <c r="J390" s="128" t="s">
        <v>163</v>
      </c>
      <c r="K390" s="221" t="s">
        <v>99</v>
      </c>
      <c r="L390" s="146" t="s">
        <v>100</v>
      </c>
      <c r="M390" s="141" t="s">
        <v>150</v>
      </c>
      <c r="N390" s="128" t="s">
        <v>1535</v>
      </c>
      <c r="O390" s="8" t="s">
        <v>1687</v>
      </c>
      <c r="P390" s="128" t="s">
        <v>106</v>
      </c>
      <c r="Q390" s="128">
        <v>178.0</v>
      </c>
      <c r="R390" s="128">
        <v>429445.0</v>
      </c>
      <c r="S390" s="128">
        <v>9729781.0</v>
      </c>
      <c r="T390" s="128"/>
      <c r="U390" s="128"/>
      <c r="V390" s="128" t="s">
        <v>153</v>
      </c>
      <c r="W390" s="128" t="s">
        <v>154</v>
      </c>
      <c r="X390" s="128" t="s">
        <v>112</v>
      </c>
      <c r="Y390" s="128" t="s">
        <v>112</v>
      </c>
      <c r="Z390" s="23" t="s">
        <v>42</v>
      </c>
      <c r="AA390" s="23" t="s">
        <v>115</v>
      </c>
      <c r="AB390" s="8" t="s">
        <v>343</v>
      </c>
      <c r="AE390" s="24"/>
      <c r="AM390" s="24"/>
    </row>
    <row r="391" ht="15.75" customHeight="1">
      <c r="A391" s="8">
        <v>100.0</v>
      </c>
      <c r="B391" s="231" t="s">
        <v>1688</v>
      </c>
      <c r="C391" s="128" t="s">
        <v>57</v>
      </c>
      <c r="D391" s="128" t="s">
        <v>89</v>
      </c>
      <c r="E391" s="128" t="s">
        <v>1379</v>
      </c>
      <c r="F391" s="146" t="s">
        <v>1605</v>
      </c>
      <c r="G391" s="146" t="s">
        <v>112</v>
      </c>
      <c r="H391" s="28" t="s">
        <v>112</v>
      </c>
      <c r="I391" s="8" t="s">
        <v>97</v>
      </c>
      <c r="J391" s="128" t="s">
        <v>158</v>
      </c>
      <c r="K391" s="221" t="s">
        <v>99</v>
      </c>
      <c r="L391" s="146" t="s">
        <v>100</v>
      </c>
      <c r="M391" s="128" t="s">
        <v>101</v>
      </c>
      <c r="N391" s="128" t="s">
        <v>1689</v>
      </c>
      <c r="O391" s="8" t="s">
        <v>1690</v>
      </c>
      <c r="P391" s="128" t="s">
        <v>106</v>
      </c>
      <c r="Q391" s="128" t="s">
        <v>1691</v>
      </c>
      <c r="R391" s="185">
        <v>429495.0</v>
      </c>
      <c r="S391" s="185">
        <v>9729584.0</v>
      </c>
      <c r="T391" s="128">
        <v>-2.44636804</v>
      </c>
      <c r="U391" s="128">
        <v>-75.63417095</v>
      </c>
      <c r="V391" s="128" t="s">
        <v>1454</v>
      </c>
      <c r="W391" s="128" t="s">
        <v>1692</v>
      </c>
      <c r="X391" s="128" t="s">
        <v>112</v>
      </c>
      <c r="Y391" s="128" t="s">
        <v>112</v>
      </c>
      <c r="Z391" s="23" t="s">
        <v>42</v>
      </c>
      <c r="AA391" s="23" t="s">
        <v>115</v>
      </c>
      <c r="AB391" s="8" t="s">
        <v>112</v>
      </c>
      <c r="AE391" s="24"/>
      <c r="AM391" s="24"/>
    </row>
    <row r="392" ht="15.75" customHeight="1">
      <c r="A392" s="8">
        <v>158.0</v>
      </c>
      <c r="B392" s="146" t="s">
        <v>1693</v>
      </c>
      <c r="C392" s="128" t="s">
        <v>57</v>
      </c>
      <c r="D392" s="128" t="s">
        <v>89</v>
      </c>
      <c r="E392" s="128" t="s">
        <v>1379</v>
      </c>
      <c r="F392" s="146" t="s">
        <v>1519</v>
      </c>
      <c r="G392" s="225">
        <v>36708.0</v>
      </c>
      <c r="H392" s="50" t="str">
        <f>TEXT(G392, "yyyy")</f>
        <v>2000</v>
      </c>
      <c r="I392" s="8" t="s">
        <v>97</v>
      </c>
      <c r="J392" s="128" t="s">
        <v>310</v>
      </c>
      <c r="K392" s="221" t="s">
        <v>99</v>
      </c>
      <c r="L392" s="146" t="s">
        <v>100</v>
      </c>
      <c r="M392" s="128" t="s">
        <v>101</v>
      </c>
      <c r="N392" s="226" t="s">
        <v>1694</v>
      </c>
      <c r="O392" s="45" t="s">
        <v>1695</v>
      </c>
      <c r="P392" s="128" t="s">
        <v>106</v>
      </c>
      <c r="Q392" s="128" t="s">
        <v>1506</v>
      </c>
      <c r="R392" s="128">
        <v>429501.0</v>
      </c>
      <c r="S392" s="128">
        <v>9729581.0</v>
      </c>
      <c r="T392" s="128">
        <v>-2.44639272</v>
      </c>
      <c r="U392" s="128">
        <v>-75.63411148</v>
      </c>
      <c r="V392" s="128" t="s">
        <v>1454</v>
      </c>
      <c r="W392" s="128" t="s">
        <v>1696</v>
      </c>
      <c r="X392" s="128">
        <v>0.0</v>
      </c>
      <c r="Y392" s="128" t="s">
        <v>112</v>
      </c>
      <c r="Z392" s="8" t="s">
        <v>36</v>
      </c>
      <c r="AA392" s="23" t="s">
        <v>144</v>
      </c>
      <c r="AB392" s="21"/>
      <c r="AE392" s="24"/>
      <c r="AM392" s="24"/>
    </row>
    <row r="393" ht="15.75" customHeight="1">
      <c r="A393" s="8">
        <v>38.0</v>
      </c>
      <c r="B393" s="146" t="s">
        <v>1697</v>
      </c>
      <c r="C393" s="128" t="s">
        <v>57</v>
      </c>
      <c r="D393" s="128" t="s">
        <v>1378</v>
      </c>
      <c r="E393" s="128" t="s">
        <v>1379</v>
      </c>
      <c r="F393" s="182">
        <v>43556.0</v>
      </c>
      <c r="G393" s="146" t="s">
        <v>112</v>
      </c>
      <c r="H393" s="28" t="s">
        <v>112</v>
      </c>
      <c r="I393" s="8" t="s">
        <v>63</v>
      </c>
      <c r="J393" s="128" t="s">
        <v>112</v>
      </c>
      <c r="K393" s="221" t="s">
        <v>99</v>
      </c>
      <c r="L393" s="146" t="s">
        <v>100</v>
      </c>
      <c r="M393" s="141" t="s">
        <v>150</v>
      </c>
      <c r="N393" s="128" t="s">
        <v>1162</v>
      </c>
      <c r="O393" s="8" t="s">
        <v>1431</v>
      </c>
      <c r="P393" s="128" t="s">
        <v>106</v>
      </c>
      <c r="Q393" s="128">
        <v>179.0</v>
      </c>
      <c r="R393" s="128">
        <v>429614.0</v>
      </c>
      <c r="S393" s="128">
        <v>9729694.0</v>
      </c>
      <c r="T393" s="128"/>
      <c r="U393" s="128"/>
      <c r="V393" s="128" t="s">
        <v>153</v>
      </c>
      <c r="W393" s="128" t="s">
        <v>154</v>
      </c>
      <c r="X393" s="128" t="s">
        <v>112</v>
      </c>
      <c r="Y393" s="128" t="s">
        <v>112</v>
      </c>
      <c r="Z393" s="23" t="s">
        <v>42</v>
      </c>
      <c r="AA393" s="23" t="s">
        <v>115</v>
      </c>
      <c r="AB393" s="8" t="s">
        <v>343</v>
      </c>
      <c r="AE393" s="24"/>
      <c r="AM393" s="24"/>
    </row>
    <row r="394" ht="15.75" customHeight="1">
      <c r="A394" s="8">
        <v>880.0</v>
      </c>
      <c r="B394" s="158" t="s">
        <v>1698</v>
      </c>
      <c r="C394" s="158" t="s">
        <v>52</v>
      </c>
      <c r="D394" s="158" t="s">
        <v>1699</v>
      </c>
      <c r="E394" s="158" t="s">
        <v>112</v>
      </c>
      <c r="F394" s="165" t="s">
        <v>1700</v>
      </c>
      <c r="G394" s="164">
        <v>42826.0</v>
      </c>
      <c r="H394" s="20" t="str">
        <f>TEXT(G394, "yyyy")</f>
        <v>2017</v>
      </c>
      <c r="I394" s="23" t="s">
        <v>1441</v>
      </c>
      <c r="J394" s="158" t="s">
        <v>112</v>
      </c>
      <c r="K394" s="220" t="s">
        <v>112</v>
      </c>
      <c r="L394" s="158" t="s">
        <v>1336</v>
      </c>
      <c r="M394" s="157" t="s">
        <v>177</v>
      </c>
      <c r="N394" s="158" t="s">
        <v>1701</v>
      </c>
      <c r="O394" s="8" t="s">
        <v>1702</v>
      </c>
      <c r="P394" s="158" t="s">
        <v>106</v>
      </c>
      <c r="Q394" s="158" t="s">
        <v>112</v>
      </c>
      <c r="R394" s="158">
        <v>429802.0</v>
      </c>
      <c r="S394" s="158">
        <v>9627448.0</v>
      </c>
      <c r="T394" s="158">
        <v>-75.6319136</v>
      </c>
      <c r="U394" s="158">
        <v>-3.3703376</v>
      </c>
      <c r="V394" s="156" t="s">
        <v>1423</v>
      </c>
      <c r="W394" s="158" t="s">
        <v>112</v>
      </c>
      <c r="X394" s="158">
        <v>0.0</v>
      </c>
      <c r="Y394" s="158" t="s">
        <v>112</v>
      </c>
      <c r="Z394" s="8" t="s">
        <v>148</v>
      </c>
      <c r="AA394" s="23" t="s">
        <v>144</v>
      </c>
      <c r="AB394" s="8" t="s">
        <v>367</v>
      </c>
      <c r="AE394" s="24"/>
      <c r="AM394" s="24"/>
    </row>
    <row r="395" ht="15.75" customHeight="1">
      <c r="A395" s="8">
        <v>134.0</v>
      </c>
      <c r="B395" s="146" t="s">
        <v>1703</v>
      </c>
      <c r="C395" s="128" t="s">
        <v>50</v>
      </c>
      <c r="D395" s="128" t="s">
        <v>89</v>
      </c>
      <c r="E395" s="128" t="s">
        <v>1369</v>
      </c>
      <c r="F395" s="146" t="s">
        <v>1704</v>
      </c>
      <c r="G395" s="146" t="s">
        <v>112</v>
      </c>
      <c r="H395" s="28" t="s">
        <v>112</v>
      </c>
      <c r="I395" s="8" t="s">
        <v>97</v>
      </c>
      <c r="J395" s="128" t="s">
        <v>158</v>
      </c>
      <c r="K395" s="221" t="s">
        <v>99</v>
      </c>
      <c r="L395" s="146" t="s">
        <v>1336</v>
      </c>
      <c r="M395" s="128" t="s">
        <v>101</v>
      </c>
      <c r="N395" s="128" t="s">
        <v>1705</v>
      </c>
      <c r="O395" s="8" t="s">
        <v>1706</v>
      </c>
      <c r="P395" s="128" t="s">
        <v>106</v>
      </c>
      <c r="Q395" s="128"/>
      <c r="R395" s="128">
        <v>429808.0</v>
      </c>
      <c r="S395" s="128">
        <v>9627450.0</v>
      </c>
      <c r="T395" s="128"/>
      <c r="U395" s="128"/>
      <c r="V395" s="224" t="s">
        <v>1472</v>
      </c>
      <c r="W395" s="128" t="s">
        <v>112</v>
      </c>
      <c r="X395" s="128" t="s">
        <v>112</v>
      </c>
      <c r="Y395" s="128" t="s">
        <v>112</v>
      </c>
      <c r="Z395" s="23" t="s">
        <v>42</v>
      </c>
      <c r="AA395" s="23" t="s">
        <v>115</v>
      </c>
      <c r="AB395" s="31" t="s">
        <v>377</v>
      </c>
      <c r="AE395" s="24"/>
      <c r="AM395" s="24"/>
    </row>
    <row r="396" ht="15.75" customHeight="1">
      <c r="A396" s="8">
        <v>367.0</v>
      </c>
      <c r="B396" s="163" t="s">
        <v>1707</v>
      </c>
      <c r="C396" s="167" t="s">
        <v>48</v>
      </c>
      <c r="D396" s="181" t="s">
        <v>112</v>
      </c>
      <c r="E396" s="163" t="s">
        <v>112</v>
      </c>
      <c r="F396" s="172">
        <v>39962.0</v>
      </c>
      <c r="G396" s="183">
        <v>39934.0</v>
      </c>
      <c r="H396" s="42" t="str">
        <f t="shared" ref="H396:H443" si="26">TEXT(G396, "yyyy")</f>
        <v>2009</v>
      </c>
      <c r="I396" s="8" t="s">
        <v>186</v>
      </c>
      <c r="J396" s="181" t="s">
        <v>112</v>
      </c>
      <c r="K396" s="232" t="s">
        <v>99</v>
      </c>
      <c r="L396" s="167" t="s">
        <v>1336</v>
      </c>
      <c r="M396" s="173" t="s">
        <v>112</v>
      </c>
      <c r="N396" s="174" t="s">
        <v>1708</v>
      </c>
      <c r="O396" s="45" t="s">
        <v>1709</v>
      </c>
      <c r="P396" s="163" t="s">
        <v>106</v>
      </c>
      <c r="Q396" s="181" t="s">
        <v>112</v>
      </c>
      <c r="R396" s="175">
        <v>445382.0</v>
      </c>
      <c r="S396" s="167">
        <v>9624095.0</v>
      </c>
      <c r="T396" s="207">
        <v>-3.4007646</v>
      </c>
      <c r="U396" s="207">
        <v>-75.491692</v>
      </c>
      <c r="V396" s="167" t="s">
        <v>1710</v>
      </c>
      <c r="W396" s="181" t="s">
        <v>112</v>
      </c>
      <c r="X396" s="181" t="s">
        <v>112</v>
      </c>
      <c r="Y396" s="181" t="s">
        <v>112</v>
      </c>
      <c r="Z396" s="47" t="s">
        <v>37</v>
      </c>
      <c r="AA396" s="23" t="s">
        <v>115</v>
      </c>
      <c r="AB396" s="8" t="s">
        <v>392</v>
      </c>
      <c r="AE396" s="24"/>
      <c r="AM396" s="24"/>
    </row>
    <row r="397" ht="15.75" customHeight="1">
      <c r="A397" s="8">
        <v>584.0</v>
      </c>
      <c r="B397" s="166" t="s">
        <v>1711</v>
      </c>
      <c r="C397" s="158" t="s">
        <v>52</v>
      </c>
      <c r="D397" s="157" t="s">
        <v>1712</v>
      </c>
      <c r="E397" s="158" t="s">
        <v>112</v>
      </c>
      <c r="F397" s="215">
        <v>41825.0</v>
      </c>
      <c r="G397" s="164">
        <v>41821.0</v>
      </c>
      <c r="H397" s="20" t="str">
        <f t="shared" si="26"/>
        <v>2014</v>
      </c>
      <c r="I397" s="23" t="s">
        <v>1441</v>
      </c>
      <c r="J397" s="158" t="s">
        <v>112</v>
      </c>
      <c r="K397" s="220" t="s">
        <v>112</v>
      </c>
      <c r="L397" s="158" t="s">
        <v>1336</v>
      </c>
      <c r="M397" s="157" t="s">
        <v>177</v>
      </c>
      <c r="N397" s="158" t="s">
        <v>1713</v>
      </c>
      <c r="O397" s="23" t="s">
        <v>1714</v>
      </c>
      <c r="P397" s="158" t="s">
        <v>106</v>
      </c>
      <c r="Q397" s="158" t="s">
        <v>112</v>
      </c>
      <c r="R397" s="158">
        <v>451297.0</v>
      </c>
      <c r="S397" s="158">
        <v>9615773.0</v>
      </c>
      <c r="T397" s="217">
        <v>-3.4760771</v>
      </c>
      <c r="U397" s="217">
        <v>-75.438478</v>
      </c>
      <c r="V397" s="157" t="s">
        <v>1715</v>
      </c>
      <c r="W397" s="158" t="s">
        <v>112</v>
      </c>
      <c r="X397" s="158">
        <v>1.0</v>
      </c>
      <c r="Y397" s="158" t="s">
        <v>666</v>
      </c>
      <c r="Z397" s="8" t="s">
        <v>149</v>
      </c>
      <c r="AA397" s="23" t="s">
        <v>115</v>
      </c>
      <c r="AB397" s="8" t="s">
        <v>273</v>
      </c>
      <c r="AE397" s="24"/>
      <c r="AM397" s="24"/>
    </row>
    <row r="398" ht="15.75" customHeight="1">
      <c r="A398" s="8">
        <v>533.0</v>
      </c>
      <c r="B398" s="158" t="s">
        <v>1716</v>
      </c>
      <c r="C398" s="156" t="s">
        <v>52</v>
      </c>
      <c r="D398" s="158" t="s">
        <v>1349</v>
      </c>
      <c r="E398" s="158" t="s">
        <v>112</v>
      </c>
      <c r="F398" s="215">
        <v>41604.0</v>
      </c>
      <c r="G398" s="161">
        <v>41579.0</v>
      </c>
      <c r="H398" s="20" t="str">
        <f t="shared" si="26"/>
        <v>2013</v>
      </c>
      <c r="I398" s="8" t="s">
        <v>186</v>
      </c>
      <c r="J398" s="158" t="s">
        <v>112</v>
      </c>
      <c r="K398" s="220" t="s">
        <v>112</v>
      </c>
      <c r="L398" s="158" t="s">
        <v>1336</v>
      </c>
      <c r="M398" s="211" t="s">
        <v>177</v>
      </c>
      <c r="N398" s="158" t="s">
        <v>1350</v>
      </c>
      <c r="O398" s="8" t="s">
        <v>1717</v>
      </c>
      <c r="P398" s="158" t="s">
        <v>106</v>
      </c>
      <c r="Q398" s="158" t="s">
        <v>112</v>
      </c>
      <c r="R398" s="158">
        <v>453282.0</v>
      </c>
      <c r="S398" s="158">
        <v>9609902.0</v>
      </c>
      <c r="T398" s="162">
        <v>-3.5291986</v>
      </c>
      <c r="U398" s="162">
        <v>-75.420631</v>
      </c>
      <c r="V398" s="158" t="s">
        <v>112</v>
      </c>
      <c r="W398" s="158" t="s">
        <v>112</v>
      </c>
      <c r="X398" s="158">
        <v>0.0</v>
      </c>
      <c r="Y398" s="158" t="s">
        <v>112</v>
      </c>
      <c r="Z398" s="8" t="s">
        <v>149</v>
      </c>
      <c r="AA398" s="23" t="s">
        <v>115</v>
      </c>
      <c r="AB398" s="8"/>
      <c r="AE398" s="24"/>
      <c r="AM398" s="24"/>
    </row>
    <row r="399" ht="15.75" customHeight="1">
      <c r="A399" s="8">
        <v>532.0</v>
      </c>
      <c r="B399" s="158" t="s">
        <v>1718</v>
      </c>
      <c r="C399" s="156" t="s">
        <v>52</v>
      </c>
      <c r="D399" s="158" t="s">
        <v>1349</v>
      </c>
      <c r="E399" s="158" t="s">
        <v>112</v>
      </c>
      <c r="F399" s="215">
        <v>41604.0</v>
      </c>
      <c r="G399" s="161">
        <v>41579.0</v>
      </c>
      <c r="H399" s="20" t="str">
        <f t="shared" si="26"/>
        <v>2013</v>
      </c>
      <c r="I399" s="8" t="s">
        <v>186</v>
      </c>
      <c r="J399" s="158" t="s">
        <v>112</v>
      </c>
      <c r="K399" s="220" t="s">
        <v>112</v>
      </c>
      <c r="L399" s="158" t="s">
        <v>1336</v>
      </c>
      <c r="M399" s="211" t="s">
        <v>177</v>
      </c>
      <c r="N399" s="158" t="s">
        <v>1350</v>
      </c>
      <c r="O399" s="8" t="s">
        <v>1719</v>
      </c>
      <c r="P399" s="158" t="s">
        <v>106</v>
      </c>
      <c r="Q399" s="158" t="s">
        <v>112</v>
      </c>
      <c r="R399" s="158">
        <v>453357.0</v>
      </c>
      <c r="S399" s="158">
        <v>9609912.0</v>
      </c>
      <c r="T399" s="162">
        <v>-3.5291085</v>
      </c>
      <c r="U399" s="162">
        <v>-75.419956</v>
      </c>
      <c r="V399" s="158" t="s">
        <v>112</v>
      </c>
      <c r="W399" s="158" t="s">
        <v>112</v>
      </c>
      <c r="X399" s="158">
        <v>0.0</v>
      </c>
      <c r="Y399" s="158" t="s">
        <v>112</v>
      </c>
      <c r="Z399" s="8" t="s">
        <v>149</v>
      </c>
      <c r="AA399" s="23" t="s">
        <v>115</v>
      </c>
      <c r="AB399" s="8"/>
      <c r="AE399" s="24"/>
      <c r="AM399" s="24"/>
    </row>
    <row r="400" ht="15.75" customHeight="1">
      <c r="A400" s="8">
        <v>531.0</v>
      </c>
      <c r="B400" s="158" t="s">
        <v>1720</v>
      </c>
      <c r="C400" s="156" t="s">
        <v>52</v>
      </c>
      <c r="D400" s="158" t="s">
        <v>1349</v>
      </c>
      <c r="E400" s="158" t="s">
        <v>112</v>
      </c>
      <c r="F400" s="215">
        <v>41604.0</v>
      </c>
      <c r="G400" s="161">
        <v>41579.0</v>
      </c>
      <c r="H400" s="20" t="str">
        <f t="shared" si="26"/>
        <v>2013</v>
      </c>
      <c r="I400" s="8" t="s">
        <v>186</v>
      </c>
      <c r="J400" s="158" t="s">
        <v>112</v>
      </c>
      <c r="K400" s="220" t="s">
        <v>112</v>
      </c>
      <c r="L400" s="158" t="s">
        <v>1336</v>
      </c>
      <c r="M400" s="211" t="s">
        <v>177</v>
      </c>
      <c r="N400" s="158" t="s">
        <v>1350</v>
      </c>
      <c r="O400" s="8" t="s">
        <v>1721</v>
      </c>
      <c r="P400" s="158" t="s">
        <v>106</v>
      </c>
      <c r="Q400" s="158" t="s">
        <v>112</v>
      </c>
      <c r="R400" s="158">
        <v>453734.0</v>
      </c>
      <c r="S400" s="158">
        <v>9610112.0</v>
      </c>
      <c r="T400" s="162">
        <v>-3.5273007</v>
      </c>
      <c r="U400" s="162">
        <v>-75.416561</v>
      </c>
      <c r="V400" s="158" t="s">
        <v>112</v>
      </c>
      <c r="W400" s="158" t="s">
        <v>112</v>
      </c>
      <c r="X400" s="158">
        <v>0.0</v>
      </c>
      <c r="Y400" s="158" t="s">
        <v>112</v>
      </c>
      <c r="Z400" s="8" t="s">
        <v>149</v>
      </c>
      <c r="AA400" s="23" t="s">
        <v>115</v>
      </c>
      <c r="AB400" s="8"/>
      <c r="AE400" s="24"/>
      <c r="AM400" s="24"/>
    </row>
    <row r="401" ht="15.75" customHeight="1">
      <c r="A401" s="8">
        <v>198.0</v>
      </c>
      <c r="B401" s="163" t="s">
        <v>1722</v>
      </c>
      <c r="C401" s="167" t="s">
        <v>48</v>
      </c>
      <c r="D401" s="163" t="s">
        <v>112</v>
      </c>
      <c r="E401" s="163" t="s">
        <v>112</v>
      </c>
      <c r="F401" s="168">
        <v>38769.0</v>
      </c>
      <c r="G401" s="169">
        <v>38749.0</v>
      </c>
      <c r="H401" s="42" t="str">
        <f t="shared" si="26"/>
        <v>2006</v>
      </c>
      <c r="I401" s="8" t="s">
        <v>176</v>
      </c>
      <c r="J401" s="163" t="s">
        <v>112</v>
      </c>
      <c r="K401" s="230" t="s">
        <v>112</v>
      </c>
      <c r="L401" s="167" t="s">
        <v>1336</v>
      </c>
      <c r="M401" s="168" t="s">
        <v>177</v>
      </c>
      <c r="N401" s="174" t="s">
        <v>1723</v>
      </c>
      <c r="O401" s="45" t="s">
        <v>1724</v>
      </c>
      <c r="P401" s="163" t="s">
        <v>106</v>
      </c>
      <c r="Q401" s="163" t="s">
        <v>112</v>
      </c>
      <c r="R401" s="233">
        <v>453763.0</v>
      </c>
      <c r="S401" s="181">
        <v>9610141.0</v>
      </c>
      <c r="T401" s="167" t="s">
        <v>112</v>
      </c>
      <c r="U401" s="167" t="s">
        <v>112</v>
      </c>
      <c r="V401" s="167" t="s">
        <v>1725</v>
      </c>
      <c r="W401" s="163" t="s">
        <v>112</v>
      </c>
      <c r="X401" s="163">
        <v>0.0</v>
      </c>
      <c r="Y401" s="163" t="s">
        <v>112</v>
      </c>
      <c r="Z401" s="8" t="s">
        <v>36</v>
      </c>
      <c r="AA401" s="23" t="s">
        <v>144</v>
      </c>
      <c r="AB401" s="21" t="s">
        <v>391</v>
      </c>
      <c r="AE401" s="24"/>
      <c r="AM401" s="24"/>
    </row>
    <row r="402" ht="15.75" customHeight="1">
      <c r="A402" s="8">
        <v>527.0</v>
      </c>
      <c r="B402" s="158" t="s">
        <v>1726</v>
      </c>
      <c r="C402" s="156" t="s">
        <v>52</v>
      </c>
      <c r="D402" s="158" t="s">
        <v>1349</v>
      </c>
      <c r="E402" s="158" t="s">
        <v>112</v>
      </c>
      <c r="F402" s="215">
        <v>41604.0</v>
      </c>
      <c r="G402" s="161">
        <v>41579.0</v>
      </c>
      <c r="H402" s="20" t="str">
        <f t="shared" si="26"/>
        <v>2013</v>
      </c>
      <c r="I402" s="8" t="s">
        <v>186</v>
      </c>
      <c r="J402" s="158" t="s">
        <v>112</v>
      </c>
      <c r="K402" s="220" t="s">
        <v>112</v>
      </c>
      <c r="L402" s="158" t="s">
        <v>1336</v>
      </c>
      <c r="M402" s="211" t="s">
        <v>177</v>
      </c>
      <c r="N402" s="158" t="s">
        <v>1350</v>
      </c>
      <c r="O402" s="8" t="s">
        <v>1727</v>
      </c>
      <c r="P402" s="158" t="s">
        <v>106</v>
      </c>
      <c r="Q402" s="158" t="s">
        <v>112</v>
      </c>
      <c r="R402" s="158">
        <v>454862.0</v>
      </c>
      <c r="S402" s="158">
        <v>9611942.0</v>
      </c>
      <c r="T402" s="162">
        <v>-3.5107496</v>
      </c>
      <c r="U402" s="162">
        <v>-75.406397</v>
      </c>
      <c r="V402" s="158" t="s">
        <v>112</v>
      </c>
      <c r="W402" s="158" t="s">
        <v>112</v>
      </c>
      <c r="X402" s="158">
        <v>0.0</v>
      </c>
      <c r="Y402" s="158" t="s">
        <v>112</v>
      </c>
      <c r="Z402" s="8" t="s">
        <v>149</v>
      </c>
      <c r="AA402" s="23" t="s">
        <v>115</v>
      </c>
      <c r="AB402" s="8"/>
      <c r="AE402" s="24"/>
      <c r="AM402" s="24"/>
    </row>
    <row r="403" ht="15.75" customHeight="1">
      <c r="A403" s="8">
        <v>599.0</v>
      </c>
      <c r="B403" s="188" t="s">
        <v>1728</v>
      </c>
      <c r="C403" s="156" t="s">
        <v>48</v>
      </c>
      <c r="D403" s="157" t="s">
        <v>112</v>
      </c>
      <c r="E403" s="158" t="s">
        <v>112</v>
      </c>
      <c r="F403" s="159">
        <v>42005.0</v>
      </c>
      <c r="G403" s="160">
        <v>42005.0</v>
      </c>
      <c r="H403" s="20" t="str">
        <f t="shared" si="26"/>
        <v>2015</v>
      </c>
      <c r="I403" s="8" t="s">
        <v>186</v>
      </c>
      <c r="J403" s="157" t="s">
        <v>112</v>
      </c>
      <c r="K403" s="222" t="s">
        <v>112</v>
      </c>
      <c r="L403" s="156" t="s">
        <v>1336</v>
      </c>
      <c r="M403" s="190" t="s">
        <v>177</v>
      </c>
      <c r="N403" s="158" t="s">
        <v>1729</v>
      </c>
      <c r="O403" s="8" t="s">
        <v>1730</v>
      </c>
      <c r="P403" s="158" t="s">
        <v>106</v>
      </c>
      <c r="Q403" s="157" t="s">
        <v>112</v>
      </c>
      <c r="R403" s="156">
        <v>454905.0</v>
      </c>
      <c r="S403" s="156">
        <v>9622046.0</v>
      </c>
      <c r="T403" s="162">
        <v>-3.4193414</v>
      </c>
      <c r="U403" s="162">
        <v>-75.405971</v>
      </c>
      <c r="V403" s="158" t="s">
        <v>112</v>
      </c>
      <c r="W403" s="157" t="s">
        <v>112</v>
      </c>
      <c r="X403" s="157" t="s">
        <v>112</v>
      </c>
      <c r="Y403" s="157" t="s">
        <v>112</v>
      </c>
      <c r="Z403" s="8" t="s">
        <v>149</v>
      </c>
      <c r="AA403" s="23" t="s">
        <v>115</v>
      </c>
      <c r="AB403" s="8"/>
      <c r="AE403" s="24"/>
      <c r="AM403" s="24"/>
    </row>
    <row r="404" ht="15.75" customHeight="1">
      <c r="A404" s="8">
        <v>526.0</v>
      </c>
      <c r="B404" s="158" t="s">
        <v>1731</v>
      </c>
      <c r="C404" s="156" t="s">
        <v>52</v>
      </c>
      <c r="D404" s="158" t="s">
        <v>1349</v>
      </c>
      <c r="E404" s="158" t="s">
        <v>112</v>
      </c>
      <c r="F404" s="215">
        <v>41604.0</v>
      </c>
      <c r="G404" s="161">
        <v>41579.0</v>
      </c>
      <c r="H404" s="20" t="str">
        <f t="shared" si="26"/>
        <v>2013</v>
      </c>
      <c r="I404" s="8" t="s">
        <v>186</v>
      </c>
      <c r="J404" s="158" t="s">
        <v>112</v>
      </c>
      <c r="K404" s="220" t="s">
        <v>112</v>
      </c>
      <c r="L404" s="158" t="s">
        <v>1336</v>
      </c>
      <c r="M404" s="211" t="s">
        <v>177</v>
      </c>
      <c r="N404" s="158" t="s">
        <v>1350</v>
      </c>
      <c r="O404" s="8" t="s">
        <v>1732</v>
      </c>
      <c r="P404" s="158" t="s">
        <v>106</v>
      </c>
      <c r="Q404" s="158" t="s">
        <v>112</v>
      </c>
      <c r="R404" s="158">
        <v>455073.0</v>
      </c>
      <c r="S404" s="158">
        <v>9611810.0</v>
      </c>
      <c r="T404" s="162">
        <v>-3.5119446</v>
      </c>
      <c r="U404" s="162">
        <v>-75.404498</v>
      </c>
      <c r="V404" s="158" t="s">
        <v>112</v>
      </c>
      <c r="W404" s="158" t="s">
        <v>112</v>
      </c>
      <c r="X404" s="158">
        <v>0.0</v>
      </c>
      <c r="Y404" s="158" t="s">
        <v>112</v>
      </c>
      <c r="Z404" s="8" t="s">
        <v>149</v>
      </c>
      <c r="AA404" s="23" t="s">
        <v>115</v>
      </c>
      <c r="AB404" s="8"/>
      <c r="AE404" s="24"/>
      <c r="AM404" s="24"/>
    </row>
    <row r="405" ht="15.75" customHeight="1">
      <c r="A405" s="8">
        <v>524.0</v>
      </c>
      <c r="B405" s="158" t="s">
        <v>1733</v>
      </c>
      <c r="C405" s="156" t="s">
        <v>52</v>
      </c>
      <c r="D405" s="158" t="s">
        <v>1349</v>
      </c>
      <c r="E405" s="158" t="s">
        <v>112</v>
      </c>
      <c r="F405" s="215">
        <v>41604.0</v>
      </c>
      <c r="G405" s="161">
        <v>41579.0</v>
      </c>
      <c r="H405" s="20" t="str">
        <f t="shared" si="26"/>
        <v>2013</v>
      </c>
      <c r="I405" s="8" t="s">
        <v>186</v>
      </c>
      <c r="J405" s="158" t="s">
        <v>112</v>
      </c>
      <c r="K405" s="220" t="s">
        <v>112</v>
      </c>
      <c r="L405" s="158" t="s">
        <v>1336</v>
      </c>
      <c r="M405" s="211" t="s">
        <v>177</v>
      </c>
      <c r="N405" s="158" t="s">
        <v>1350</v>
      </c>
      <c r="O405" s="8" t="s">
        <v>1734</v>
      </c>
      <c r="P405" s="158" t="s">
        <v>106</v>
      </c>
      <c r="Q405" s="158" t="s">
        <v>112</v>
      </c>
      <c r="R405" s="158">
        <v>455221.0</v>
      </c>
      <c r="S405" s="158">
        <v>9628419.0</v>
      </c>
      <c r="T405" s="162">
        <v>-3.3616875</v>
      </c>
      <c r="U405" s="162">
        <v>-75.403103</v>
      </c>
      <c r="V405" s="158" t="s">
        <v>112</v>
      </c>
      <c r="W405" s="158" t="s">
        <v>112</v>
      </c>
      <c r="X405" s="158">
        <v>0.0</v>
      </c>
      <c r="Y405" s="158" t="s">
        <v>112</v>
      </c>
      <c r="Z405" s="8" t="s">
        <v>149</v>
      </c>
      <c r="AA405" s="23" t="s">
        <v>115</v>
      </c>
      <c r="AB405" s="8"/>
      <c r="AE405" s="24"/>
      <c r="AM405" s="24"/>
    </row>
    <row r="406" ht="15.75" customHeight="1">
      <c r="A406" s="8">
        <v>525.0</v>
      </c>
      <c r="B406" s="158" t="s">
        <v>1735</v>
      </c>
      <c r="C406" s="156" t="s">
        <v>52</v>
      </c>
      <c r="D406" s="158" t="s">
        <v>1349</v>
      </c>
      <c r="E406" s="158" t="s">
        <v>112</v>
      </c>
      <c r="F406" s="215">
        <v>41604.0</v>
      </c>
      <c r="G406" s="161">
        <v>41579.0</v>
      </c>
      <c r="H406" s="20" t="str">
        <f t="shared" si="26"/>
        <v>2013</v>
      </c>
      <c r="I406" s="8" t="s">
        <v>186</v>
      </c>
      <c r="J406" s="158" t="s">
        <v>112</v>
      </c>
      <c r="K406" s="220" t="s">
        <v>112</v>
      </c>
      <c r="L406" s="158" t="s">
        <v>1336</v>
      </c>
      <c r="M406" s="211" t="s">
        <v>177</v>
      </c>
      <c r="N406" s="158" t="s">
        <v>1350</v>
      </c>
      <c r="O406" s="8" t="s">
        <v>1736</v>
      </c>
      <c r="P406" s="158" t="s">
        <v>106</v>
      </c>
      <c r="Q406" s="158" t="s">
        <v>112</v>
      </c>
      <c r="R406" s="158">
        <v>455270.0</v>
      </c>
      <c r="S406" s="158">
        <v>9628229.0</v>
      </c>
      <c r="T406" s="162">
        <v>-3.3634066</v>
      </c>
      <c r="U406" s="162">
        <v>-75.402662</v>
      </c>
      <c r="V406" s="158" t="s">
        <v>112</v>
      </c>
      <c r="W406" s="158" t="s">
        <v>112</v>
      </c>
      <c r="X406" s="158">
        <v>0.0</v>
      </c>
      <c r="Y406" s="158" t="s">
        <v>112</v>
      </c>
      <c r="Z406" s="8" t="s">
        <v>149</v>
      </c>
      <c r="AA406" s="23" t="s">
        <v>115</v>
      </c>
      <c r="AB406" s="8"/>
      <c r="AE406" s="24"/>
      <c r="AM406" s="24"/>
    </row>
    <row r="407" ht="15.75" customHeight="1">
      <c r="A407" s="8">
        <v>635.0</v>
      </c>
      <c r="B407" s="163" t="s">
        <v>1737</v>
      </c>
      <c r="C407" s="167" t="s">
        <v>48</v>
      </c>
      <c r="D407" s="163" t="s">
        <v>112</v>
      </c>
      <c r="E407" s="163" t="s">
        <v>112</v>
      </c>
      <c r="F407" s="177">
        <v>42309.0</v>
      </c>
      <c r="G407" s="169">
        <v>42309.0</v>
      </c>
      <c r="H407" s="42" t="str">
        <f t="shared" si="26"/>
        <v>2015</v>
      </c>
      <c r="I407" s="8" t="s">
        <v>186</v>
      </c>
      <c r="J407" s="163" t="s">
        <v>112</v>
      </c>
      <c r="K407" s="230" t="s">
        <v>112</v>
      </c>
      <c r="L407" s="167" t="s">
        <v>1336</v>
      </c>
      <c r="M407" s="168" t="s">
        <v>177</v>
      </c>
      <c r="N407" s="163" t="s">
        <v>1738</v>
      </c>
      <c r="O407" s="8" t="s">
        <v>1739</v>
      </c>
      <c r="P407" s="163" t="s">
        <v>106</v>
      </c>
      <c r="Q407" s="163" t="s">
        <v>112</v>
      </c>
      <c r="R407" s="181">
        <v>455682.0</v>
      </c>
      <c r="S407" s="181">
        <v>9610979.0</v>
      </c>
      <c r="T407" s="167" t="s">
        <v>112</v>
      </c>
      <c r="U407" s="167" t="s">
        <v>112</v>
      </c>
      <c r="V407" s="167" t="s">
        <v>1339</v>
      </c>
      <c r="W407" s="163" t="s">
        <v>112</v>
      </c>
      <c r="X407" s="163" t="s">
        <v>112</v>
      </c>
      <c r="Y407" s="163" t="s">
        <v>112</v>
      </c>
      <c r="Z407" s="8" t="s">
        <v>69</v>
      </c>
      <c r="AA407" s="23" t="s">
        <v>115</v>
      </c>
      <c r="AB407" s="8"/>
      <c r="AE407" s="24"/>
      <c r="AM407" s="24"/>
    </row>
    <row r="408" ht="15.75" customHeight="1">
      <c r="A408" s="8">
        <v>569.0</v>
      </c>
      <c r="B408" s="188" t="s">
        <v>1740</v>
      </c>
      <c r="C408" s="156" t="s">
        <v>48</v>
      </c>
      <c r="D408" s="157" t="s">
        <v>112</v>
      </c>
      <c r="E408" s="158" t="s">
        <v>112</v>
      </c>
      <c r="F408" s="159">
        <v>41760.0</v>
      </c>
      <c r="G408" s="160">
        <v>41760.0</v>
      </c>
      <c r="H408" s="20" t="str">
        <f t="shared" si="26"/>
        <v>2014</v>
      </c>
      <c r="I408" s="8" t="s">
        <v>176</v>
      </c>
      <c r="J408" s="157" t="s">
        <v>112</v>
      </c>
      <c r="K408" s="222" t="s">
        <v>112</v>
      </c>
      <c r="L408" s="156" t="s">
        <v>1336</v>
      </c>
      <c r="M408" s="190" t="s">
        <v>177</v>
      </c>
      <c r="N408" s="158" t="s">
        <v>1741</v>
      </c>
      <c r="O408" s="8" t="s">
        <v>1742</v>
      </c>
      <c r="P408" s="158" t="s">
        <v>106</v>
      </c>
      <c r="Q408" s="157" t="s">
        <v>112</v>
      </c>
      <c r="R408" s="156">
        <v>455927.0</v>
      </c>
      <c r="S408" s="156">
        <v>9626297.0</v>
      </c>
      <c r="T408" s="162">
        <v>-3.3808874</v>
      </c>
      <c r="U408" s="162">
        <v>-75.396755</v>
      </c>
      <c r="V408" s="156" t="s">
        <v>1743</v>
      </c>
      <c r="W408" s="157" t="s">
        <v>112</v>
      </c>
      <c r="X408" s="157" t="s">
        <v>112</v>
      </c>
      <c r="Y408" s="157" t="s">
        <v>112</v>
      </c>
      <c r="Z408" s="8" t="s">
        <v>149</v>
      </c>
      <c r="AA408" s="23" t="s">
        <v>115</v>
      </c>
      <c r="AB408" s="8"/>
      <c r="AE408" s="24"/>
      <c r="AM408" s="24"/>
    </row>
    <row r="409" ht="15.75" customHeight="1">
      <c r="A409" s="8">
        <v>737.0</v>
      </c>
      <c r="B409" s="163" t="s">
        <v>1744</v>
      </c>
      <c r="C409" s="163" t="s">
        <v>52</v>
      </c>
      <c r="D409" s="163" t="s">
        <v>941</v>
      </c>
      <c r="E409" s="163" t="s">
        <v>112</v>
      </c>
      <c r="F409" s="189" t="s">
        <v>1745</v>
      </c>
      <c r="G409" s="169">
        <v>42552.0</v>
      </c>
      <c r="H409" s="42" t="str">
        <f t="shared" si="26"/>
        <v>2016</v>
      </c>
      <c r="I409" s="8" t="s">
        <v>774</v>
      </c>
      <c r="J409" s="163" t="s">
        <v>112</v>
      </c>
      <c r="K409" s="230" t="s">
        <v>112</v>
      </c>
      <c r="L409" s="163" t="s">
        <v>1336</v>
      </c>
      <c r="M409" s="181" t="s">
        <v>177</v>
      </c>
      <c r="N409" s="167" t="s">
        <v>1746</v>
      </c>
      <c r="O409" s="8" t="s">
        <v>1747</v>
      </c>
      <c r="P409" s="163" t="s">
        <v>106</v>
      </c>
      <c r="Q409" s="163" t="s">
        <v>112</v>
      </c>
      <c r="R409" s="163">
        <v>456243.0</v>
      </c>
      <c r="S409" s="163">
        <v>9626303.0</v>
      </c>
      <c r="T409" s="163" t="s">
        <v>112</v>
      </c>
      <c r="U409" s="163" t="s">
        <v>112</v>
      </c>
      <c r="V409" s="167" t="s">
        <v>1748</v>
      </c>
      <c r="W409" s="163" t="s">
        <v>112</v>
      </c>
      <c r="X409" s="163">
        <v>1.0</v>
      </c>
      <c r="Y409" s="176" t="s">
        <v>1749</v>
      </c>
      <c r="Z409" s="8" t="s">
        <v>69</v>
      </c>
      <c r="AA409" s="23" t="s">
        <v>115</v>
      </c>
      <c r="AB409" s="8" t="s">
        <v>254</v>
      </c>
      <c r="AE409" s="24"/>
      <c r="AM409" s="24"/>
    </row>
    <row r="410" ht="15.75" customHeight="1">
      <c r="A410" s="8">
        <v>518.0</v>
      </c>
      <c r="B410" s="158" t="s">
        <v>1750</v>
      </c>
      <c r="C410" s="156" t="s">
        <v>52</v>
      </c>
      <c r="D410" s="158" t="s">
        <v>1349</v>
      </c>
      <c r="E410" s="158" t="s">
        <v>112</v>
      </c>
      <c r="F410" s="215">
        <v>41604.0</v>
      </c>
      <c r="G410" s="161">
        <v>41579.0</v>
      </c>
      <c r="H410" s="20" t="str">
        <f t="shared" si="26"/>
        <v>2013</v>
      </c>
      <c r="I410" s="8" t="s">
        <v>186</v>
      </c>
      <c r="J410" s="158" t="s">
        <v>112</v>
      </c>
      <c r="K410" s="220" t="s">
        <v>112</v>
      </c>
      <c r="L410" s="158" t="s">
        <v>1336</v>
      </c>
      <c r="M410" s="211" t="s">
        <v>177</v>
      </c>
      <c r="N410" s="158" t="s">
        <v>1350</v>
      </c>
      <c r="O410" s="8" t="s">
        <v>1751</v>
      </c>
      <c r="P410" s="158" t="s">
        <v>106</v>
      </c>
      <c r="Q410" s="158" t="s">
        <v>112</v>
      </c>
      <c r="R410" s="158">
        <v>456805.0</v>
      </c>
      <c r="S410" s="158">
        <v>9625514.0</v>
      </c>
      <c r="T410" s="162">
        <v>-3.3879743</v>
      </c>
      <c r="U410" s="162">
        <v>-75.388854</v>
      </c>
      <c r="V410" s="158" t="s">
        <v>112</v>
      </c>
      <c r="W410" s="158" t="s">
        <v>112</v>
      </c>
      <c r="X410" s="158">
        <v>0.0</v>
      </c>
      <c r="Y410" s="158" t="s">
        <v>112</v>
      </c>
      <c r="Z410" s="8" t="s">
        <v>149</v>
      </c>
      <c r="AA410" s="23" t="s">
        <v>115</v>
      </c>
      <c r="AB410" s="8"/>
      <c r="AE410" s="24"/>
      <c r="AM410" s="24"/>
    </row>
    <row r="411" ht="15.75" customHeight="1">
      <c r="A411" s="8">
        <v>520.0</v>
      </c>
      <c r="B411" s="158" t="s">
        <v>1752</v>
      </c>
      <c r="C411" s="156" t="s">
        <v>52</v>
      </c>
      <c r="D411" s="158" t="s">
        <v>1349</v>
      </c>
      <c r="E411" s="158" t="s">
        <v>112</v>
      </c>
      <c r="F411" s="215">
        <v>41604.0</v>
      </c>
      <c r="G411" s="161">
        <v>41579.0</v>
      </c>
      <c r="H411" s="20" t="str">
        <f t="shared" si="26"/>
        <v>2013</v>
      </c>
      <c r="I411" s="8" t="s">
        <v>186</v>
      </c>
      <c r="J411" s="158" t="s">
        <v>112</v>
      </c>
      <c r="K411" s="220" t="s">
        <v>112</v>
      </c>
      <c r="L411" s="158" t="s">
        <v>1336</v>
      </c>
      <c r="M411" s="211" t="s">
        <v>177</v>
      </c>
      <c r="N411" s="158" t="s">
        <v>1350</v>
      </c>
      <c r="O411" s="8" t="s">
        <v>1753</v>
      </c>
      <c r="P411" s="158" t="s">
        <v>106</v>
      </c>
      <c r="Q411" s="158" t="s">
        <v>112</v>
      </c>
      <c r="R411" s="158">
        <v>458047.0</v>
      </c>
      <c r="S411" s="158">
        <v>9625382.0</v>
      </c>
      <c r="T411" s="162">
        <v>-3.3891729</v>
      </c>
      <c r="U411" s="162">
        <v>-75.377674</v>
      </c>
      <c r="V411" s="158" t="s">
        <v>112</v>
      </c>
      <c r="W411" s="158" t="s">
        <v>112</v>
      </c>
      <c r="X411" s="158">
        <v>0.0</v>
      </c>
      <c r="Y411" s="158" t="s">
        <v>112</v>
      </c>
      <c r="Z411" s="8" t="s">
        <v>149</v>
      </c>
      <c r="AA411" s="23" t="s">
        <v>115</v>
      </c>
      <c r="AB411" s="8"/>
      <c r="AE411" s="24"/>
      <c r="AM411" s="24"/>
    </row>
    <row r="412" ht="15.75" customHeight="1">
      <c r="A412" s="8">
        <v>519.0</v>
      </c>
      <c r="B412" s="158" t="s">
        <v>1754</v>
      </c>
      <c r="C412" s="156" t="s">
        <v>52</v>
      </c>
      <c r="D412" s="158" t="s">
        <v>1349</v>
      </c>
      <c r="E412" s="158" t="s">
        <v>112</v>
      </c>
      <c r="F412" s="215">
        <v>41604.0</v>
      </c>
      <c r="G412" s="161">
        <v>41579.0</v>
      </c>
      <c r="H412" s="20" t="str">
        <f t="shared" si="26"/>
        <v>2013</v>
      </c>
      <c r="I412" s="8" t="s">
        <v>186</v>
      </c>
      <c r="J412" s="158" t="s">
        <v>112</v>
      </c>
      <c r="K412" s="220" t="s">
        <v>112</v>
      </c>
      <c r="L412" s="158" t="s">
        <v>1336</v>
      </c>
      <c r="M412" s="211" t="s">
        <v>177</v>
      </c>
      <c r="N412" s="158" t="s">
        <v>1350</v>
      </c>
      <c r="O412" s="8" t="s">
        <v>1755</v>
      </c>
      <c r="P412" s="158" t="s">
        <v>106</v>
      </c>
      <c r="Q412" s="158" t="s">
        <v>112</v>
      </c>
      <c r="R412" s="158">
        <v>458093.0</v>
      </c>
      <c r="S412" s="158">
        <v>9625386.0</v>
      </c>
      <c r="T412" s="162">
        <v>-3.3891369</v>
      </c>
      <c r="U412" s="162">
        <v>-75.37726</v>
      </c>
      <c r="V412" s="158" t="s">
        <v>112</v>
      </c>
      <c r="W412" s="158" t="s">
        <v>112</v>
      </c>
      <c r="X412" s="158">
        <v>0.0</v>
      </c>
      <c r="Y412" s="158" t="s">
        <v>112</v>
      </c>
      <c r="Z412" s="8" t="s">
        <v>149</v>
      </c>
      <c r="AA412" s="23" t="s">
        <v>115</v>
      </c>
      <c r="AB412" s="8"/>
      <c r="AE412" s="24"/>
      <c r="AM412" s="24"/>
    </row>
    <row r="413" ht="15.75" customHeight="1">
      <c r="A413" s="8">
        <v>521.0</v>
      </c>
      <c r="B413" s="158" t="s">
        <v>1756</v>
      </c>
      <c r="C413" s="156" t="s">
        <v>52</v>
      </c>
      <c r="D413" s="158" t="s">
        <v>1349</v>
      </c>
      <c r="E413" s="158" t="s">
        <v>112</v>
      </c>
      <c r="F413" s="215">
        <v>41604.0</v>
      </c>
      <c r="G413" s="161">
        <v>41579.0</v>
      </c>
      <c r="H413" s="20" t="str">
        <f t="shared" si="26"/>
        <v>2013</v>
      </c>
      <c r="I413" s="8" t="s">
        <v>186</v>
      </c>
      <c r="J413" s="158" t="s">
        <v>112</v>
      </c>
      <c r="K413" s="220" t="s">
        <v>112</v>
      </c>
      <c r="L413" s="158" t="s">
        <v>1336</v>
      </c>
      <c r="M413" s="211" t="s">
        <v>177</v>
      </c>
      <c r="N413" s="158" t="s">
        <v>1350</v>
      </c>
      <c r="O413" s="8" t="s">
        <v>1757</v>
      </c>
      <c r="P413" s="158" t="s">
        <v>106</v>
      </c>
      <c r="Q413" s="158" t="s">
        <v>112</v>
      </c>
      <c r="R413" s="158">
        <v>458714.0</v>
      </c>
      <c r="S413" s="158">
        <v>9625409.0</v>
      </c>
      <c r="T413" s="162">
        <v>-3.388931</v>
      </c>
      <c r="U413" s="162">
        <v>-75.371669</v>
      </c>
      <c r="V413" s="158" t="s">
        <v>112</v>
      </c>
      <c r="W413" s="158" t="s">
        <v>112</v>
      </c>
      <c r="X413" s="158">
        <v>0.0</v>
      </c>
      <c r="Y413" s="158" t="s">
        <v>112</v>
      </c>
      <c r="Z413" s="8" t="s">
        <v>149</v>
      </c>
      <c r="AA413" s="23" t="s">
        <v>115</v>
      </c>
      <c r="AB413" s="8"/>
      <c r="AE413" s="24"/>
      <c r="AM413" s="24"/>
    </row>
    <row r="414" ht="15.75" customHeight="1">
      <c r="A414" s="8">
        <v>522.0</v>
      </c>
      <c r="B414" s="158" t="s">
        <v>1758</v>
      </c>
      <c r="C414" s="156" t="s">
        <v>52</v>
      </c>
      <c r="D414" s="158" t="s">
        <v>1349</v>
      </c>
      <c r="E414" s="158" t="s">
        <v>112</v>
      </c>
      <c r="F414" s="215">
        <v>41604.0</v>
      </c>
      <c r="G414" s="161">
        <v>41579.0</v>
      </c>
      <c r="H414" s="20" t="str">
        <f t="shared" si="26"/>
        <v>2013</v>
      </c>
      <c r="I414" s="8" t="s">
        <v>186</v>
      </c>
      <c r="J414" s="158" t="s">
        <v>112</v>
      </c>
      <c r="K414" s="220" t="s">
        <v>112</v>
      </c>
      <c r="L414" s="158" t="s">
        <v>1336</v>
      </c>
      <c r="M414" s="211" t="s">
        <v>177</v>
      </c>
      <c r="N414" s="158" t="s">
        <v>1350</v>
      </c>
      <c r="O414" s="8" t="s">
        <v>1759</v>
      </c>
      <c r="P414" s="158" t="s">
        <v>106</v>
      </c>
      <c r="Q414" s="158" t="s">
        <v>112</v>
      </c>
      <c r="R414" s="158">
        <v>458948.0</v>
      </c>
      <c r="S414" s="158">
        <v>9625300.0</v>
      </c>
      <c r="T414" s="162">
        <v>-3.3899179</v>
      </c>
      <c r="U414" s="162">
        <v>-75.369563</v>
      </c>
      <c r="V414" s="158" t="s">
        <v>112</v>
      </c>
      <c r="W414" s="158" t="s">
        <v>112</v>
      </c>
      <c r="X414" s="158">
        <v>0.0</v>
      </c>
      <c r="Y414" s="158" t="s">
        <v>112</v>
      </c>
      <c r="Z414" s="8" t="s">
        <v>149</v>
      </c>
      <c r="AA414" s="23" t="s">
        <v>115</v>
      </c>
      <c r="AB414" s="8"/>
      <c r="AE414" s="24"/>
      <c r="AM414" s="24"/>
    </row>
    <row r="415" ht="15.75" customHeight="1">
      <c r="A415" s="8">
        <v>523.0</v>
      </c>
      <c r="B415" s="158" t="s">
        <v>1760</v>
      </c>
      <c r="C415" s="156" t="s">
        <v>52</v>
      </c>
      <c r="D415" s="158" t="s">
        <v>1349</v>
      </c>
      <c r="E415" s="158" t="s">
        <v>112</v>
      </c>
      <c r="F415" s="215">
        <v>41604.0</v>
      </c>
      <c r="G415" s="161">
        <v>41579.0</v>
      </c>
      <c r="H415" s="20" t="str">
        <f t="shared" si="26"/>
        <v>2013</v>
      </c>
      <c r="I415" s="8" t="s">
        <v>186</v>
      </c>
      <c r="J415" s="158" t="s">
        <v>112</v>
      </c>
      <c r="K415" s="220" t="s">
        <v>112</v>
      </c>
      <c r="L415" s="158" t="s">
        <v>1336</v>
      </c>
      <c r="M415" s="211" t="s">
        <v>177</v>
      </c>
      <c r="N415" s="158" t="s">
        <v>1350</v>
      </c>
      <c r="O415" s="8" t="s">
        <v>1761</v>
      </c>
      <c r="P415" s="158" t="s">
        <v>106</v>
      </c>
      <c r="Q415" s="158" t="s">
        <v>112</v>
      </c>
      <c r="R415" s="158">
        <v>459173.0</v>
      </c>
      <c r="S415" s="158">
        <v>9625177.0</v>
      </c>
      <c r="T415" s="162">
        <v>-3.3910314</v>
      </c>
      <c r="U415" s="162">
        <v>-75.367538</v>
      </c>
      <c r="V415" s="158" t="s">
        <v>112</v>
      </c>
      <c r="W415" s="158" t="s">
        <v>112</v>
      </c>
      <c r="X415" s="158">
        <v>0.0</v>
      </c>
      <c r="Y415" s="158" t="s">
        <v>112</v>
      </c>
      <c r="Z415" s="8" t="s">
        <v>149</v>
      </c>
      <c r="AA415" s="23" t="s">
        <v>115</v>
      </c>
      <c r="AB415" s="8"/>
      <c r="AE415" s="24"/>
      <c r="AM415" s="24"/>
    </row>
    <row r="416" ht="15.75" customHeight="1">
      <c r="A416" s="8">
        <v>530.0</v>
      </c>
      <c r="B416" s="158" t="s">
        <v>1762</v>
      </c>
      <c r="C416" s="156" t="s">
        <v>52</v>
      </c>
      <c r="D416" s="158" t="s">
        <v>1349</v>
      </c>
      <c r="E416" s="158" t="s">
        <v>112</v>
      </c>
      <c r="F416" s="215">
        <v>41604.0</v>
      </c>
      <c r="G416" s="161">
        <v>41579.0</v>
      </c>
      <c r="H416" s="20" t="str">
        <f t="shared" si="26"/>
        <v>2013</v>
      </c>
      <c r="I416" s="8" t="s">
        <v>186</v>
      </c>
      <c r="J416" s="158" t="s">
        <v>112</v>
      </c>
      <c r="K416" s="220" t="s">
        <v>112</v>
      </c>
      <c r="L416" s="158" t="s">
        <v>1336</v>
      </c>
      <c r="M416" s="211" t="s">
        <v>177</v>
      </c>
      <c r="N416" s="158" t="s">
        <v>1350</v>
      </c>
      <c r="O416" s="8" t="s">
        <v>1763</v>
      </c>
      <c r="P416" s="158" t="s">
        <v>106</v>
      </c>
      <c r="Q416" s="158" t="s">
        <v>112</v>
      </c>
      <c r="R416" s="158">
        <v>459521.0</v>
      </c>
      <c r="S416" s="158">
        <v>9624908.0</v>
      </c>
      <c r="T416" s="162">
        <v>-3.3934662</v>
      </c>
      <c r="U416" s="162">
        <v>-75.364406</v>
      </c>
      <c r="V416" s="158" t="s">
        <v>112</v>
      </c>
      <c r="W416" s="158" t="s">
        <v>112</v>
      </c>
      <c r="X416" s="158">
        <v>0.0</v>
      </c>
      <c r="Y416" s="158" t="s">
        <v>112</v>
      </c>
      <c r="Z416" s="8" t="s">
        <v>149</v>
      </c>
      <c r="AA416" s="23" t="s">
        <v>115</v>
      </c>
      <c r="AB416" s="8"/>
      <c r="AE416" s="24"/>
      <c r="AM416" s="24"/>
    </row>
    <row r="417" ht="15.75" customHeight="1">
      <c r="A417" s="8">
        <v>529.0</v>
      </c>
      <c r="B417" s="158" t="s">
        <v>1764</v>
      </c>
      <c r="C417" s="156" t="s">
        <v>52</v>
      </c>
      <c r="D417" s="158" t="s">
        <v>1349</v>
      </c>
      <c r="E417" s="158" t="s">
        <v>112</v>
      </c>
      <c r="F417" s="215">
        <v>41604.0</v>
      </c>
      <c r="G417" s="161">
        <v>41579.0</v>
      </c>
      <c r="H417" s="20" t="str">
        <f t="shared" si="26"/>
        <v>2013</v>
      </c>
      <c r="I417" s="8" t="s">
        <v>186</v>
      </c>
      <c r="J417" s="158" t="s">
        <v>112</v>
      </c>
      <c r="K417" s="220" t="s">
        <v>112</v>
      </c>
      <c r="L417" s="158" t="s">
        <v>1336</v>
      </c>
      <c r="M417" s="211" t="s">
        <v>177</v>
      </c>
      <c r="N417" s="158" t="s">
        <v>1350</v>
      </c>
      <c r="O417" s="8" t="s">
        <v>1765</v>
      </c>
      <c r="P417" s="158" t="s">
        <v>106</v>
      </c>
      <c r="Q417" s="158" t="s">
        <v>112</v>
      </c>
      <c r="R417" s="158">
        <v>459676.0</v>
      </c>
      <c r="S417" s="158">
        <v>9624931.0</v>
      </c>
      <c r="T417" s="162">
        <v>-3.3932586</v>
      </c>
      <c r="U417" s="162">
        <v>-75.363011</v>
      </c>
      <c r="V417" s="158" t="s">
        <v>112</v>
      </c>
      <c r="W417" s="158" t="s">
        <v>112</v>
      </c>
      <c r="X417" s="158">
        <v>0.0</v>
      </c>
      <c r="Y417" s="158" t="s">
        <v>112</v>
      </c>
      <c r="Z417" s="8" t="s">
        <v>149</v>
      </c>
      <c r="AA417" s="23" t="s">
        <v>115</v>
      </c>
      <c r="AB417" s="8"/>
      <c r="AE417" s="24"/>
      <c r="AM417" s="24"/>
    </row>
    <row r="418" ht="15.75" customHeight="1">
      <c r="A418" s="8">
        <v>528.0</v>
      </c>
      <c r="B418" s="158" t="s">
        <v>1766</v>
      </c>
      <c r="C418" s="156" t="s">
        <v>52</v>
      </c>
      <c r="D418" s="158" t="s">
        <v>1349</v>
      </c>
      <c r="E418" s="158" t="s">
        <v>112</v>
      </c>
      <c r="F418" s="215">
        <v>41604.0</v>
      </c>
      <c r="G418" s="161">
        <v>41579.0</v>
      </c>
      <c r="H418" s="20" t="str">
        <f t="shared" si="26"/>
        <v>2013</v>
      </c>
      <c r="I418" s="8" t="s">
        <v>186</v>
      </c>
      <c r="J418" s="158" t="s">
        <v>112</v>
      </c>
      <c r="K418" s="220" t="s">
        <v>112</v>
      </c>
      <c r="L418" s="158" t="s">
        <v>1336</v>
      </c>
      <c r="M418" s="211" t="s">
        <v>177</v>
      </c>
      <c r="N418" s="158" t="s">
        <v>1350</v>
      </c>
      <c r="O418" s="8" t="s">
        <v>1767</v>
      </c>
      <c r="P418" s="158" t="s">
        <v>106</v>
      </c>
      <c r="Q418" s="158" t="s">
        <v>112</v>
      </c>
      <c r="R418" s="158">
        <v>459855.0</v>
      </c>
      <c r="S418" s="158">
        <v>9624972.0</v>
      </c>
      <c r="T418" s="162">
        <v>-3.3928883</v>
      </c>
      <c r="U418" s="162">
        <v>-75.361399</v>
      </c>
      <c r="V418" s="158" t="s">
        <v>112</v>
      </c>
      <c r="W418" s="158" t="s">
        <v>112</v>
      </c>
      <c r="X418" s="158">
        <v>0.0</v>
      </c>
      <c r="Y418" s="158" t="s">
        <v>112</v>
      </c>
      <c r="Z418" s="8" t="s">
        <v>149</v>
      </c>
      <c r="AA418" s="23" t="s">
        <v>115</v>
      </c>
      <c r="AB418" s="8"/>
      <c r="AE418" s="24"/>
      <c r="AM418" s="24"/>
    </row>
    <row r="419" ht="15.75" customHeight="1">
      <c r="A419" s="8">
        <v>556.0</v>
      </c>
      <c r="B419" s="188" t="s">
        <v>1768</v>
      </c>
      <c r="C419" s="156" t="s">
        <v>48</v>
      </c>
      <c r="D419" s="157" t="s">
        <v>112</v>
      </c>
      <c r="E419" s="158" t="s">
        <v>112</v>
      </c>
      <c r="F419" s="159">
        <v>41671.0</v>
      </c>
      <c r="G419" s="160">
        <v>41671.0</v>
      </c>
      <c r="H419" s="20" t="str">
        <f t="shared" si="26"/>
        <v>2014</v>
      </c>
      <c r="I419" s="8" t="s">
        <v>172</v>
      </c>
      <c r="J419" s="157" t="s">
        <v>112</v>
      </c>
      <c r="K419" s="222" t="s">
        <v>112</v>
      </c>
      <c r="L419" s="156" t="s">
        <v>1336</v>
      </c>
      <c r="M419" s="190" t="s">
        <v>177</v>
      </c>
      <c r="N419" s="158" t="s">
        <v>1769</v>
      </c>
      <c r="O419" s="8" t="s">
        <v>1770</v>
      </c>
      <c r="P419" s="158" t="s">
        <v>106</v>
      </c>
      <c r="Q419" s="157" t="s">
        <v>112</v>
      </c>
      <c r="R419" s="156">
        <v>460680.0</v>
      </c>
      <c r="S419" s="156">
        <v>9607910.0</v>
      </c>
      <c r="T419" s="162">
        <v>-3.5472477</v>
      </c>
      <c r="U419" s="162">
        <v>-75.35403</v>
      </c>
      <c r="V419" s="156" t="s">
        <v>1771</v>
      </c>
      <c r="W419" s="157" t="s">
        <v>112</v>
      </c>
      <c r="X419" s="157" t="s">
        <v>112</v>
      </c>
      <c r="Y419" s="157" t="s">
        <v>112</v>
      </c>
      <c r="Z419" s="8" t="s">
        <v>149</v>
      </c>
      <c r="AA419" s="23" t="s">
        <v>115</v>
      </c>
      <c r="AB419" s="8"/>
      <c r="AE419" s="24"/>
      <c r="AM419" s="24"/>
    </row>
    <row r="420" ht="15.75" customHeight="1">
      <c r="A420" s="8">
        <v>202.0</v>
      </c>
      <c r="B420" s="163" t="s">
        <v>1772</v>
      </c>
      <c r="C420" s="167" t="s">
        <v>48</v>
      </c>
      <c r="D420" s="163" t="s">
        <v>112</v>
      </c>
      <c r="E420" s="163" t="s">
        <v>112</v>
      </c>
      <c r="F420" s="173">
        <v>38856.0</v>
      </c>
      <c r="G420" s="169">
        <v>38838.0</v>
      </c>
      <c r="H420" s="42" t="str">
        <f t="shared" si="26"/>
        <v>2006</v>
      </c>
      <c r="I420" s="8" t="s">
        <v>176</v>
      </c>
      <c r="J420" s="163" t="s">
        <v>112</v>
      </c>
      <c r="K420" s="230" t="s">
        <v>112</v>
      </c>
      <c r="L420" s="167" t="s">
        <v>1336</v>
      </c>
      <c r="M420" s="168" t="s">
        <v>177</v>
      </c>
      <c r="N420" s="174" t="s">
        <v>112</v>
      </c>
      <c r="O420" s="45" t="s">
        <v>1773</v>
      </c>
      <c r="P420" s="163" t="s">
        <v>106</v>
      </c>
      <c r="Q420" s="163" t="s">
        <v>112</v>
      </c>
      <c r="R420" s="171">
        <v>462187.0</v>
      </c>
      <c r="S420" s="167">
        <v>9607463.0</v>
      </c>
      <c r="T420" s="167" t="s">
        <v>112</v>
      </c>
      <c r="U420" s="167" t="s">
        <v>112</v>
      </c>
      <c r="V420" s="167" t="s">
        <v>1725</v>
      </c>
      <c r="W420" s="163" t="s">
        <v>112</v>
      </c>
      <c r="X420" s="163" t="s">
        <v>112</v>
      </c>
      <c r="Y420" s="163" t="s">
        <v>112</v>
      </c>
      <c r="Z420" s="8" t="s">
        <v>36</v>
      </c>
      <c r="AA420" s="23" t="s">
        <v>144</v>
      </c>
      <c r="AB420" s="21" t="s">
        <v>391</v>
      </c>
      <c r="AE420" s="24"/>
      <c r="AM420" s="24"/>
    </row>
    <row r="421" ht="15.75" customHeight="1">
      <c r="A421" s="8">
        <v>200.0</v>
      </c>
      <c r="B421" s="163" t="s">
        <v>1774</v>
      </c>
      <c r="C421" s="167" t="s">
        <v>48</v>
      </c>
      <c r="D421" s="163" t="s">
        <v>112</v>
      </c>
      <c r="E421" s="163" t="s">
        <v>112</v>
      </c>
      <c r="F421" s="173">
        <v>38806.0</v>
      </c>
      <c r="G421" s="169">
        <v>38777.0</v>
      </c>
      <c r="H421" s="42" t="str">
        <f t="shared" si="26"/>
        <v>2006</v>
      </c>
      <c r="I421" s="8" t="s">
        <v>176</v>
      </c>
      <c r="J421" s="163" t="s">
        <v>112</v>
      </c>
      <c r="K421" s="230" t="s">
        <v>112</v>
      </c>
      <c r="L421" s="167" t="s">
        <v>1336</v>
      </c>
      <c r="M421" s="168" t="s">
        <v>177</v>
      </c>
      <c r="N421" s="174" t="s">
        <v>1775</v>
      </c>
      <c r="O421" s="45" t="s">
        <v>1773</v>
      </c>
      <c r="P421" s="163" t="s">
        <v>106</v>
      </c>
      <c r="Q421" s="163" t="s">
        <v>112</v>
      </c>
      <c r="R421" s="171">
        <v>464073.0</v>
      </c>
      <c r="S421" s="167">
        <v>9597782.0</v>
      </c>
      <c r="T421" s="167" t="s">
        <v>112</v>
      </c>
      <c r="U421" s="167" t="s">
        <v>112</v>
      </c>
      <c r="V421" s="167" t="s">
        <v>1725</v>
      </c>
      <c r="W421" s="163" t="s">
        <v>112</v>
      </c>
      <c r="X421" s="163" t="s">
        <v>112</v>
      </c>
      <c r="Y421" s="163" t="s">
        <v>112</v>
      </c>
      <c r="Z421" s="8" t="s">
        <v>36</v>
      </c>
      <c r="AA421" s="23" t="s">
        <v>144</v>
      </c>
      <c r="AB421" s="21" t="s">
        <v>391</v>
      </c>
      <c r="AE421" s="24"/>
      <c r="AM421" s="24"/>
    </row>
    <row r="422" ht="15.75" customHeight="1">
      <c r="A422" s="8">
        <v>472.0</v>
      </c>
      <c r="B422" s="158" t="s">
        <v>1776</v>
      </c>
      <c r="C422" s="158" t="s">
        <v>52</v>
      </c>
      <c r="D422" s="158" t="s">
        <v>941</v>
      </c>
      <c r="E422" s="158" t="s">
        <v>112</v>
      </c>
      <c r="F422" s="215">
        <v>40936.0</v>
      </c>
      <c r="G422" s="164">
        <v>40909.0</v>
      </c>
      <c r="H422" s="20" t="str">
        <f t="shared" si="26"/>
        <v>2012</v>
      </c>
      <c r="I422" s="8" t="s">
        <v>176</v>
      </c>
      <c r="J422" s="158" t="s">
        <v>112</v>
      </c>
      <c r="K422" s="220" t="s">
        <v>112</v>
      </c>
      <c r="L422" s="156" t="s">
        <v>1336</v>
      </c>
      <c r="M422" s="157" t="s">
        <v>177</v>
      </c>
      <c r="N422" s="158" t="s">
        <v>1777</v>
      </c>
      <c r="O422" s="23" t="s">
        <v>1778</v>
      </c>
      <c r="P422" s="158" t="s">
        <v>106</v>
      </c>
      <c r="Q422" s="158" t="s">
        <v>112</v>
      </c>
      <c r="R422" s="156">
        <v>464786.0</v>
      </c>
      <c r="S422" s="156">
        <v>9600768.0</v>
      </c>
      <c r="T422" s="217">
        <v>-75.733238</v>
      </c>
      <c r="U422" s="217">
        <v>-75.317083</v>
      </c>
      <c r="V422" s="156" t="s">
        <v>836</v>
      </c>
      <c r="W422" s="158" t="s">
        <v>112</v>
      </c>
      <c r="X422" s="158">
        <v>1.0</v>
      </c>
      <c r="Y422" s="158" t="s">
        <v>1779</v>
      </c>
      <c r="Z422" s="8" t="s">
        <v>149</v>
      </c>
      <c r="AA422" s="23" t="s">
        <v>115</v>
      </c>
      <c r="AB422" s="8"/>
      <c r="AE422" s="24"/>
      <c r="AM422" s="24"/>
    </row>
    <row r="423" ht="15.75" customHeight="1">
      <c r="A423" s="8">
        <v>581.0</v>
      </c>
      <c r="B423" s="188" t="s">
        <v>1780</v>
      </c>
      <c r="C423" s="156" t="s">
        <v>48</v>
      </c>
      <c r="D423" s="157" t="s">
        <v>112</v>
      </c>
      <c r="E423" s="158" t="s">
        <v>112</v>
      </c>
      <c r="F423" s="159">
        <v>41821.0</v>
      </c>
      <c r="G423" s="160">
        <v>41821.0</v>
      </c>
      <c r="H423" s="20" t="str">
        <f t="shared" si="26"/>
        <v>2014</v>
      </c>
      <c r="I423" s="8" t="s">
        <v>186</v>
      </c>
      <c r="J423" s="157" t="s">
        <v>112</v>
      </c>
      <c r="K423" s="222" t="s">
        <v>112</v>
      </c>
      <c r="L423" s="156" t="s">
        <v>1336</v>
      </c>
      <c r="M423" s="190" t="s">
        <v>177</v>
      </c>
      <c r="N423" s="158" t="s">
        <v>1781</v>
      </c>
      <c r="O423" s="8" t="s">
        <v>1782</v>
      </c>
      <c r="P423" s="158" t="s">
        <v>106</v>
      </c>
      <c r="Q423" s="157" t="s">
        <v>112</v>
      </c>
      <c r="R423" s="156">
        <v>466026.0</v>
      </c>
      <c r="S423" s="156">
        <v>9579343.0</v>
      </c>
      <c r="T423" s="162">
        <v>-3.8057052</v>
      </c>
      <c r="U423" s="162">
        <v>-75.305984</v>
      </c>
      <c r="V423" s="158" t="s">
        <v>112</v>
      </c>
      <c r="W423" s="157" t="s">
        <v>112</v>
      </c>
      <c r="X423" s="157" t="s">
        <v>112</v>
      </c>
      <c r="Y423" s="157" t="s">
        <v>112</v>
      </c>
      <c r="Z423" s="8" t="s">
        <v>149</v>
      </c>
      <c r="AA423" s="23" t="s">
        <v>115</v>
      </c>
      <c r="AB423" s="8"/>
      <c r="AE423" s="24"/>
      <c r="AM423" s="24"/>
    </row>
    <row r="424" ht="15.75" customHeight="1">
      <c r="A424" s="8">
        <v>589.0</v>
      </c>
      <c r="B424" s="188" t="s">
        <v>1783</v>
      </c>
      <c r="C424" s="156" t="s">
        <v>48</v>
      </c>
      <c r="D424" s="157" t="s">
        <v>112</v>
      </c>
      <c r="E424" s="158" t="s">
        <v>112</v>
      </c>
      <c r="F424" s="215">
        <v>41944.0</v>
      </c>
      <c r="G424" s="160">
        <v>41944.0</v>
      </c>
      <c r="H424" s="20" t="str">
        <f t="shared" si="26"/>
        <v>2014</v>
      </c>
      <c r="I424" s="8" t="s">
        <v>176</v>
      </c>
      <c r="J424" s="157" t="s">
        <v>112</v>
      </c>
      <c r="K424" s="222" t="s">
        <v>112</v>
      </c>
      <c r="L424" s="156" t="s">
        <v>1336</v>
      </c>
      <c r="M424" s="190" t="s">
        <v>177</v>
      </c>
      <c r="N424" s="158" t="s">
        <v>1784</v>
      </c>
      <c r="O424" s="8" t="s">
        <v>1785</v>
      </c>
      <c r="P424" s="158" t="s">
        <v>106</v>
      </c>
      <c r="Q424" s="157" t="s">
        <v>112</v>
      </c>
      <c r="R424" s="156">
        <v>483538.0</v>
      </c>
      <c r="S424" s="156">
        <v>9577952.0</v>
      </c>
      <c r="T424" s="162">
        <v>-3.8183311</v>
      </c>
      <c r="U424" s="162">
        <v>-75.148266</v>
      </c>
      <c r="V424" s="156" t="s">
        <v>1786</v>
      </c>
      <c r="W424" s="157" t="s">
        <v>112</v>
      </c>
      <c r="X424" s="157" t="s">
        <v>112</v>
      </c>
      <c r="Y424" s="157" t="s">
        <v>112</v>
      </c>
      <c r="Z424" s="8" t="s">
        <v>149</v>
      </c>
      <c r="AA424" s="23" t="s">
        <v>115</v>
      </c>
      <c r="AB424" s="8"/>
      <c r="AE424" s="24"/>
      <c r="AM424" s="24"/>
    </row>
    <row r="425" ht="15.75" customHeight="1">
      <c r="A425" s="8">
        <v>591.0</v>
      </c>
      <c r="B425" s="188" t="s">
        <v>1787</v>
      </c>
      <c r="C425" s="156" t="s">
        <v>48</v>
      </c>
      <c r="D425" s="157" t="s">
        <v>112</v>
      </c>
      <c r="E425" s="158" t="s">
        <v>112</v>
      </c>
      <c r="F425" s="215">
        <v>41974.0</v>
      </c>
      <c r="G425" s="160">
        <v>41974.0</v>
      </c>
      <c r="H425" s="20" t="str">
        <f t="shared" si="26"/>
        <v>2014</v>
      </c>
      <c r="I425" s="8" t="s">
        <v>176</v>
      </c>
      <c r="J425" s="157" t="s">
        <v>112</v>
      </c>
      <c r="K425" s="222" t="s">
        <v>112</v>
      </c>
      <c r="L425" s="156" t="s">
        <v>1336</v>
      </c>
      <c r="M425" s="190" t="s">
        <v>177</v>
      </c>
      <c r="N425" s="158" t="s">
        <v>1788</v>
      </c>
      <c r="O425" s="8" t="s">
        <v>1789</v>
      </c>
      <c r="P425" s="158" t="s">
        <v>106</v>
      </c>
      <c r="Q425" s="157" t="s">
        <v>112</v>
      </c>
      <c r="R425" s="156">
        <v>483822.0</v>
      </c>
      <c r="S425" s="156">
        <v>9578795.0</v>
      </c>
      <c r="T425" s="162">
        <v>-3.810705</v>
      </c>
      <c r="U425" s="162">
        <v>-75.145707</v>
      </c>
      <c r="V425" s="156" t="s">
        <v>1786</v>
      </c>
      <c r="W425" s="157" t="s">
        <v>112</v>
      </c>
      <c r="X425" s="157" t="s">
        <v>112</v>
      </c>
      <c r="Y425" s="157" t="s">
        <v>112</v>
      </c>
      <c r="Z425" s="8" t="s">
        <v>149</v>
      </c>
      <c r="AA425" s="23" t="s">
        <v>115</v>
      </c>
      <c r="AB425" s="8"/>
      <c r="AE425" s="24"/>
      <c r="AM425" s="24"/>
    </row>
    <row r="426" ht="15.75" customHeight="1">
      <c r="A426" s="8">
        <v>466.0</v>
      </c>
      <c r="B426" s="163" t="s">
        <v>1790</v>
      </c>
      <c r="C426" s="163" t="s">
        <v>52</v>
      </c>
      <c r="D426" s="163" t="s">
        <v>663</v>
      </c>
      <c r="E426" s="163" t="s">
        <v>112</v>
      </c>
      <c r="F426" s="234">
        <v>40780.0</v>
      </c>
      <c r="G426" s="169">
        <v>40756.0</v>
      </c>
      <c r="H426" s="42" t="str">
        <f t="shared" si="26"/>
        <v>2011</v>
      </c>
      <c r="I426" s="8" t="s">
        <v>176</v>
      </c>
      <c r="J426" s="163" t="s">
        <v>112</v>
      </c>
      <c r="K426" s="232" t="s">
        <v>99</v>
      </c>
      <c r="L426" s="181" t="s">
        <v>1336</v>
      </c>
      <c r="M426" s="181" t="s">
        <v>177</v>
      </c>
      <c r="N426" s="174" t="s">
        <v>1791</v>
      </c>
      <c r="O426" s="45" t="s">
        <v>1792</v>
      </c>
      <c r="P426" s="163" t="s">
        <v>106</v>
      </c>
      <c r="Q426" s="163" t="s">
        <v>112</v>
      </c>
      <c r="R426" s="167">
        <v>484834.0</v>
      </c>
      <c r="S426" s="167">
        <v>9549052.0</v>
      </c>
      <c r="T426" s="176">
        <v>-4.0797872</v>
      </c>
      <c r="U426" s="176">
        <v>-75.136636</v>
      </c>
      <c r="V426" s="167" t="s">
        <v>836</v>
      </c>
      <c r="W426" s="163" t="s">
        <v>112</v>
      </c>
      <c r="X426" s="163">
        <v>0.0</v>
      </c>
      <c r="Y426" s="163" t="s">
        <v>112</v>
      </c>
      <c r="Z426" s="47" t="s">
        <v>37</v>
      </c>
      <c r="AA426" s="23" t="s">
        <v>115</v>
      </c>
      <c r="AB426" s="8" t="s">
        <v>293</v>
      </c>
      <c r="AE426" s="24"/>
      <c r="AM426" s="24"/>
    </row>
    <row r="427" ht="15.75" customHeight="1">
      <c r="A427" s="8">
        <v>652.0</v>
      </c>
      <c r="B427" s="163" t="s">
        <v>1793</v>
      </c>
      <c r="C427" s="167" t="s">
        <v>48</v>
      </c>
      <c r="D427" s="163" t="s">
        <v>112</v>
      </c>
      <c r="E427" s="163" t="s">
        <v>112</v>
      </c>
      <c r="F427" s="177">
        <v>42399.0</v>
      </c>
      <c r="G427" s="169">
        <v>42370.0</v>
      </c>
      <c r="H427" s="42" t="str">
        <f t="shared" si="26"/>
        <v>2016</v>
      </c>
      <c r="I427" s="8" t="s">
        <v>774</v>
      </c>
      <c r="J427" s="163" t="s">
        <v>112</v>
      </c>
      <c r="K427" s="230" t="s">
        <v>112</v>
      </c>
      <c r="L427" s="167" t="s">
        <v>1336</v>
      </c>
      <c r="M427" s="168" t="s">
        <v>177</v>
      </c>
      <c r="N427" s="163" t="s">
        <v>1794</v>
      </c>
      <c r="O427" s="8" t="s">
        <v>1795</v>
      </c>
      <c r="P427" s="163" t="s">
        <v>106</v>
      </c>
      <c r="Q427" s="163" t="s">
        <v>112</v>
      </c>
      <c r="R427" s="167">
        <v>491490.0</v>
      </c>
      <c r="S427" s="167">
        <v>9578891.0</v>
      </c>
      <c r="T427" s="167" t="s">
        <v>112</v>
      </c>
      <c r="U427" s="167" t="s">
        <v>112</v>
      </c>
      <c r="V427" s="167" t="s">
        <v>1339</v>
      </c>
      <c r="W427" s="163" t="s">
        <v>112</v>
      </c>
      <c r="X427" s="163" t="s">
        <v>112</v>
      </c>
      <c r="Y427" s="163" t="s">
        <v>112</v>
      </c>
      <c r="Z427" s="8" t="s">
        <v>69</v>
      </c>
      <c r="AA427" s="23" t="s">
        <v>115</v>
      </c>
      <c r="AB427" s="8"/>
      <c r="AE427" s="24"/>
      <c r="AM427" s="24"/>
    </row>
    <row r="428" ht="15.75" customHeight="1">
      <c r="A428" s="8">
        <v>748.0</v>
      </c>
      <c r="B428" s="188" t="s">
        <v>1796</v>
      </c>
      <c r="C428" s="167" t="s">
        <v>48</v>
      </c>
      <c r="D428" s="181" t="s">
        <v>112</v>
      </c>
      <c r="E428" s="163" t="s">
        <v>112</v>
      </c>
      <c r="F428" s="180">
        <v>42674.0</v>
      </c>
      <c r="G428" s="183">
        <v>42644.0</v>
      </c>
      <c r="H428" s="42" t="str">
        <f t="shared" si="26"/>
        <v>2016</v>
      </c>
      <c r="I428" s="8" t="s">
        <v>176</v>
      </c>
      <c r="J428" s="181" t="s">
        <v>112</v>
      </c>
      <c r="K428" s="133" t="s">
        <v>112</v>
      </c>
      <c r="L428" s="167" t="s">
        <v>1336</v>
      </c>
      <c r="M428" s="168" t="s">
        <v>177</v>
      </c>
      <c r="N428" s="163" t="s">
        <v>112</v>
      </c>
      <c r="O428" s="8" t="s">
        <v>1797</v>
      </c>
      <c r="P428" s="163" t="s">
        <v>106</v>
      </c>
      <c r="Q428" s="181" t="s">
        <v>112</v>
      </c>
      <c r="R428" s="181">
        <v>491870.0</v>
      </c>
      <c r="S428" s="181">
        <v>9577095.0</v>
      </c>
      <c r="T428" s="163" t="s">
        <v>112</v>
      </c>
      <c r="U428" s="163" t="s">
        <v>112</v>
      </c>
      <c r="V428" s="167" t="s">
        <v>1339</v>
      </c>
      <c r="W428" s="181" t="s">
        <v>112</v>
      </c>
      <c r="X428" s="181" t="s">
        <v>112</v>
      </c>
      <c r="Y428" s="181" t="s">
        <v>112</v>
      </c>
      <c r="Z428" s="8" t="s">
        <v>69</v>
      </c>
      <c r="AA428" s="23" t="s">
        <v>115</v>
      </c>
      <c r="AB428" s="8" t="s">
        <v>323</v>
      </c>
      <c r="AE428" s="24"/>
      <c r="AM428" s="24"/>
    </row>
    <row r="429" ht="15.75" customHeight="1">
      <c r="A429" s="8">
        <v>460.0</v>
      </c>
      <c r="B429" s="163" t="s">
        <v>1798</v>
      </c>
      <c r="C429" s="167" t="s">
        <v>58</v>
      </c>
      <c r="D429" s="181" t="s">
        <v>511</v>
      </c>
      <c r="E429" s="163" t="s">
        <v>112</v>
      </c>
      <c r="F429" s="173" t="s">
        <v>1799</v>
      </c>
      <c r="G429" s="183">
        <v>40269.0</v>
      </c>
      <c r="H429" s="112" t="str">
        <f t="shared" si="26"/>
        <v>2010</v>
      </c>
      <c r="I429" s="8" t="s">
        <v>614</v>
      </c>
      <c r="J429" s="181" t="s">
        <v>112</v>
      </c>
      <c r="K429" s="232" t="s">
        <v>99</v>
      </c>
      <c r="L429" s="158" t="s">
        <v>1336</v>
      </c>
      <c r="M429" s="158" t="s">
        <v>177</v>
      </c>
      <c r="N429" s="170" t="s">
        <v>1800</v>
      </c>
      <c r="O429" s="108" t="s">
        <v>1801</v>
      </c>
      <c r="P429" s="163" t="s">
        <v>106</v>
      </c>
      <c r="Q429" s="181" t="s">
        <v>112</v>
      </c>
      <c r="R429" s="181">
        <v>492137.0</v>
      </c>
      <c r="S429" s="181">
        <v>9577578.0</v>
      </c>
      <c r="T429" s="176">
        <v>-3.8217245</v>
      </c>
      <c r="U429" s="176">
        <v>-75.070819</v>
      </c>
      <c r="V429" s="167" t="s">
        <v>836</v>
      </c>
      <c r="W429" s="181" t="s">
        <v>112</v>
      </c>
      <c r="X429" s="181" t="s">
        <v>112</v>
      </c>
      <c r="Y429" s="181" t="s">
        <v>112</v>
      </c>
      <c r="Z429" s="47" t="s">
        <v>37</v>
      </c>
      <c r="AA429" s="23" t="s">
        <v>115</v>
      </c>
      <c r="AB429" s="8" t="s">
        <v>181</v>
      </c>
      <c r="AE429" s="24"/>
      <c r="AM429" s="24"/>
    </row>
    <row r="430" ht="15.75" customHeight="1">
      <c r="A430" s="8">
        <v>534.0</v>
      </c>
      <c r="B430" s="158" t="s">
        <v>1802</v>
      </c>
      <c r="C430" s="156" t="s">
        <v>52</v>
      </c>
      <c r="D430" s="158" t="s">
        <v>1349</v>
      </c>
      <c r="E430" s="158" t="s">
        <v>112</v>
      </c>
      <c r="F430" s="215">
        <v>41604.0</v>
      </c>
      <c r="G430" s="161">
        <v>41579.0</v>
      </c>
      <c r="H430" s="20" t="str">
        <f t="shared" si="26"/>
        <v>2013</v>
      </c>
      <c r="I430" s="8" t="s">
        <v>186</v>
      </c>
      <c r="J430" s="158" t="s">
        <v>112</v>
      </c>
      <c r="K430" s="220" t="s">
        <v>112</v>
      </c>
      <c r="L430" s="158" t="s">
        <v>1336</v>
      </c>
      <c r="M430" s="211" t="s">
        <v>177</v>
      </c>
      <c r="N430" s="158" t="s">
        <v>1350</v>
      </c>
      <c r="O430" s="8" t="s">
        <v>1803</v>
      </c>
      <c r="P430" s="158" t="s">
        <v>106</v>
      </c>
      <c r="Q430" s="158" t="s">
        <v>112</v>
      </c>
      <c r="R430" s="158">
        <v>492373.0</v>
      </c>
      <c r="S430" s="158">
        <v>9571957.0</v>
      </c>
      <c r="T430" s="162">
        <v>-3.8725773</v>
      </c>
      <c r="U430" s="162">
        <v>-75.068697</v>
      </c>
      <c r="V430" s="158" t="s">
        <v>112</v>
      </c>
      <c r="W430" s="158" t="s">
        <v>112</v>
      </c>
      <c r="X430" s="158">
        <v>0.0</v>
      </c>
      <c r="Y430" s="158" t="s">
        <v>112</v>
      </c>
      <c r="Z430" s="8" t="s">
        <v>149</v>
      </c>
      <c r="AA430" s="23" t="s">
        <v>115</v>
      </c>
      <c r="AB430" s="8"/>
      <c r="AE430" s="24"/>
      <c r="AM430" s="24"/>
    </row>
    <row r="431" ht="15.75" customHeight="1">
      <c r="A431" s="8">
        <v>489.0</v>
      </c>
      <c r="B431" s="157" t="s">
        <v>1804</v>
      </c>
      <c r="C431" s="158" t="s">
        <v>52</v>
      </c>
      <c r="D431" s="158" t="s">
        <v>941</v>
      </c>
      <c r="E431" s="158" t="s">
        <v>112</v>
      </c>
      <c r="F431" s="159">
        <v>41371.0</v>
      </c>
      <c r="G431" s="164">
        <v>41365.0</v>
      </c>
      <c r="H431" s="20" t="str">
        <f t="shared" si="26"/>
        <v>2013</v>
      </c>
      <c r="I431" s="8" t="s">
        <v>176</v>
      </c>
      <c r="J431" s="158" t="s">
        <v>112</v>
      </c>
      <c r="K431" s="220" t="s">
        <v>112</v>
      </c>
      <c r="L431" s="158" t="s">
        <v>1336</v>
      </c>
      <c r="M431" s="157" t="s">
        <v>177</v>
      </c>
      <c r="N431" s="158" t="s">
        <v>1805</v>
      </c>
      <c r="O431" s="8" t="s">
        <v>1806</v>
      </c>
      <c r="P431" s="158" t="s">
        <v>106</v>
      </c>
      <c r="Q431" s="158" t="s">
        <v>112</v>
      </c>
      <c r="R431" s="156">
        <v>492379.0</v>
      </c>
      <c r="S431" s="156">
        <v>9572949.0</v>
      </c>
      <c r="T431" s="217">
        <v>-3.8636028</v>
      </c>
      <c r="U431" s="217">
        <v>-75.068642</v>
      </c>
      <c r="V431" s="156" t="s">
        <v>1339</v>
      </c>
      <c r="W431" s="158" t="s">
        <v>112</v>
      </c>
      <c r="X431" s="158">
        <v>0.0</v>
      </c>
      <c r="Y431" s="158" t="s">
        <v>1807</v>
      </c>
      <c r="Z431" s="8" t="s">
        <v>149</v>
      </c>
      <c r="AA431" s="23" t="s">
        <v>115</v>
      </c>
      <c r="AB431" s="8"/>
      <c r="AE431" s="24"/>
      <c r="AM431" s="24"/>
    </row>
    <row r="432" ht="15.75" customHeight="1">
      <c r="A432" s="8">
        <v>863.0</v>
      </c>
      <c r="B432" s="158" t="s">
        <v>1808</v>
      </c>
      <c r="C432" s="156" t="s">
        <v>48</v>
      </c>
      <c r="D432" s="158" t="s">
        <v>112</v>
      </c>
      <c r="E432" s="158" t="s">
        <v>112</v>
      </c>
      <c r="F432" s="186">
        <v>42996.0</v>
      </c>
      <c r="G432" s="164">
        <v>42979.0</v>
      </c>
      <c r="H432" s="20" t="str">
        <f t="shared" si="26"/>
        <v>2017</v>
      </c>
      <c r="I432" s="8" t="s">
        <v>186</v>
      </c>
      <c r="J432" s="158" t="s">
        <v>112</v>
      </c>
      <c r="K432" s="220" t="s">
        <v>112</v>
      </c>
      <c r="L432" s="156" t="s">
        <v>1336</v>
      </c>
      <c r="M432" s="190" t="s">
        <v>177</v>
      </c>
      <c r="N432" s="158" t="s">
        <v>1809</v>
      </c>
      <c r="O432" s="8" t="s">
        <v>1810</v>
      </c>
      <c r="P432" s="158" t="s">
        <v>106</v>
      </c>
      <c r="Q432" s="158" t="s">
        <v>112</v>
      </c>
      <c r="R432" s="158">
        <v>492380.0</v>
      </c>
      <c r="S432" s="158">
        <v>9577023.0</v>
      </c>
      <c r="T432" s="156">
        <v>-75.06863083</v>
      </c>
      <c r="U432" s="156">
        <v>-3.82674539</v>
      </c>
      <c r="V432" s="156" t="s">
        <v>1339</v>
      </c>
      <c r="W432" s="158" t="s">
        <v>112</v>
      </c>
      <c r="X432" s="158" t="s">
        <v>112</v>
      </c>
      <c r="Y432" s="158" t="s">
        <v>112</v>
      </c>
      <c r="Z432" s="8" t="s">
        <v>148</v>
      </c>
      <c r="AA432" s="23" t="s">
        <v>144</v>
      </c>
      <c r="AB432" s="8"/>
      <c r="AE432" s="24"/>
      <c r="AM432" s="24"/>
    </row>
    <row r="433" ht="15.75" customHeight="1">
      <c r="A433" s="8">
        <v>624.0</v>
      </c>
      <c r="B433" s="188" t="s">
        <v>1811</v>
      </c>
      <c r="C433" s="156" t="s">
        <v>48</v>
      </c>
      <c r="D433" s="157" t="s">
        <v>112</v>
      </c>
      <c r="E433" s="158" t="s">
        <v>112</v>
      </c>
      <c r="F433" s="215">
        <v>42156.0</v>
      </c>
      <c r="G433" s="160">
        <v>42156.0</v>
      </c>
      <c r="H433" s="20" t="str">
        <f t="shared" si="26"/>
        <v>2015</v>
      </c>
      <c r="I433" s="8" t="s">
        <v>186</v>
      </c>
      <c r="J433" s="157" t="s">
        <v>112</v>
      </c>
      <c r="K433" s="222" t="s">
        <v>112</v>
      </c>
      <c r="L433" s="156" t="s">
        <v>1336</v>
      </c>
      <c r="M433" s="190" t="s">
        <v>177</v>
      </c>
      <c r="N433" s="158" t="s">
        <v>112</v>
      </c>
      <c r="O433" s="8" t="s">
        <v>1812</v>
      </c>
      <c r="P433" s="158" t="s">
        <v>106</v>
      </c>
      <c r="Q433" s="157" t="s">
        <v>112</v>
      </c>
      <c r="R433" s="156">
        <v>492426.0</v>
      </c>
      <c r="S433" s="156">
        <v>9578411.0</v>
      </c>
      <c r="T433" s="162">
        <v>-3.8141886</v>
      </c>
      <c r="U433" s="162">
        <v>-75.068215</v>
      </c>
      <c r="V433" s="156" t="s">
        <v>1339</v>
      </c>
      <c r="W433" s="157" t="s">
        <v>112</v>
      </c>
      <c r="X433" s="157" t="s">
        <v>112</v>
      </c>
      <c r="Y433" s="157" t="s">
        <v>112</v>
      </c>
      <c r="Z433" s="8" t="s">
        <v>149</v>
      </c>
      <c r="AA433" s="23" t="s">
        <v>115</v>
      </c>
      <c r="AB433" s="8"/>
      <c r="AE433" s="24"/>
      <c r="AM433" s="24"/>
    </row>
    <row r="434" ht="15.75" customHeight="1">
      <c r="A434" s="8">
        <v>738.0</v>
      </c>
      <c r="B434" s="188" t="s">
        <v>1813</v>
      </c>
      <c r="C434" s="167" t="s">
        <v>48</v>
      </c>
      <c r="D434" s="181" t="s">
        <v>112</v>
      </c>
      <c r="E434" s="163" t="s">
        <v>112</v>
      </c>
      <c r="F434" s="180">
        <v>42576.0</v>
      </c>
      <c r="G434" s="183">
        <v>42552.0</v>
      </c>
      <c r="H434" s="42" t="str">
        <f t="shared" si="26"/>
        <v>2016</v>
      </c>
      <c r="I434" s="8" t="s">
        <v>63</v>
      </c>
      <c r="J434" s="181" t="s">
        <v>112</v>
      </c>
      <c r="K434" s="133" t="s">
        <v>112</v>
      </c>
      <c r="L434" s="167" t="s">
        <v>1336</v>
      </c>
      <c r="M434" s="168" t="s">
        <v>177</v>
      </c>
      <c r="N434" s="163" t="s">
        <v>1814</v>
      </c>
      <c r="O434" s="8" t="s">
        <v>1815</v>
      </c>
      <c r="P434" s="163" t="s">
        <v>106</v>
      </c>
      <c r="Q434" s="181" t="s">
        <v>112</v>
      </c>
      <c r="R434" s="167">
        <v>492444.0</v>
      </c>
      <c r="S434" s="167">
        <v>9577859.0</v>
      </c>
      <c r="T434" s="163" t="s">
        <v>112</v>
      </c>
      <c r="U434" s="163" t="s">
        <v>112</v>
      </c>
      <c r="V434" s="167" t="s">
        <v>1339</v>
      </c>
      <c r="W434" s="181" t="s">
        <v>112</v>
      </c>
      <c r="X434" s="181" t="s">
        <v>112</v>
      </c>
      <c r="Y434" s="181" t="s">
        <v>112</v>
      </c>
      <c r="Z434" s="8" t="s">
        <v>69</v>
      </c>
      <c r="AA434" s="23" t="s">
        <v>115</v>
      </c>
      <c r="AB434" s="8" t="s">
        <v>329</v>
      </c>
      <c r="AE434" s="24"/>
      <c r="AM434" s="24"/>
    </row>
    <row r="435" ht="15.75" customHeight="1">
      <c r="A435" s="8">
        <v>736.0</v>
      </c>
      <c r="B435" s="188" t="s">
        <v>1816</v>
      </c>
      <c r="C435" s="167" t="s">
        <v>48</v>
      </c>
      <c r="D435" s="181" t="s">
        <v>112</v>
      </c>
      <c r="E435" s="163" t="s">
        <v>112</v>
      </c>
      <c r="F435" s="180">
        <v>42573.0</v>
      </c>
      <c r="G435" s="183">
        <v>42552.0</v>
      </c>
      <c r="H435" s="42" t="str">
        <f t="shared" si="26"/>
        <v>2016</v>
      </c>
      <c r="I435" s="8" t="s">
        <v>176</v>
      </c>
      <c r="J435" s="181" t="s">
        <v>112</v>
      </c>
      <c r="K435" s="133" t="s">
        <v>112</v>
      </c>
      <c r="L435" s="167" t="s">
        <v>1336</v>
      </c>
      <c r="M435" s="168" t="s">
        <v>177</v>
      </c>
      <c r="N435" s="163" t="s">
        <v>1817</v>
      </c>
      <c r="O435" s="8" t="s">
        <v>1818</v>
      </c>
      <c r="P435" s="163" t="s">
        <v>106</v>
      </c>
      <c r="Q435" s="181" t="s">
        <v>112</v>
      </c>
      <c r="R435" s="167">
        <v>492518.0</v>
      </c>
      <c r="S435" s="167">
        <v>9577395.0</v>
      </c>
      <c r="T435" s="163" t="s">
        <v>112</v>
      </c>
      <c r="U435" s="163" t="s">
        <v>112</v>
      </c>
      <c r="V435" s="167" t="s">
        <v>1339</v>
      </c>
      <c r="W435" s="181" t="s">
        <v>112</v>
      </c>
      <c r="X435" s="181" t="s">
        <v>112</v>
      </c>
      <c r="Y435" s="181" t="s">
        <v>112</v>
      </c>
      <c r="Z435" s="8" t="s">
        <v>69</v>
      </c>
      <c r="AA435" s="23" t="s">
        <v>115</v>
      </c>
      <c r="AB435" s="8" t="s">
        <v>329</v>
      </c>
      <c r="AE435" s="24"/>
      <c r="AM435" s="24"/>
    </row>
    <row r="436" ht="15.75" customHeight="1">
      <c r="A436" s="8">
        <v>275.0</v>
      </c>
      <c r="B436" s="163" t="s">
        <v>1819</v>
      </c>
      <c r="C436" s="167" t="s">
        <v>48</v>
      </c>
      <c r="D436" s="181" t="s">
        <v>112</v>
      </c>
      <c r="E436" s="163" t="s">
        <v>112</v>
      </c>
      <c r="F436" s="173">
        <v>39385.0</v>
      </c>
      <c r="G436" s="183">
        <v>39356.0</v>
      </c>
      <c r="H436" s="42" t="str">
        <f t="shared" si="26"/>
        <v>2007</v>
      </c>
      <c r="I436" s="8" t="s">
        <v>186</v>
      </c>
      <c r="J436" s="181" t="s">
        <v>112</v>
      </c>
      <c r="K436" s="133" t="s">
        <v>112</v>
      </c>
      <c r="L436" s="167" t="s">
        <v>1336</v>
      </c>
      <c r="M436" s="173" t="s">
        <v>112</v>
      </c>
      <c r="N436" s="174" t="s">
        <v>112</v>
      </c>
      <c r="O436" s="45" t="s">
        <v>1820</v>
      </c>
      <c r="P436" s="163" t="s">
        <v>106</v>
      </c>
      <c r="Q436" s="181" t="s">
        <v>112</v>
      </c>
      <c r="R436" s="171">
        <v>492630.0</v>
      </c>
      <c r="S436" s="167">
        <v>9576935.0</v>
      </c>
      <c r="T436" s="163" t="s">
        <v>112</v>
      </c>
      <c r="U436" s="163" t="s">
        <v>112</v>
      </c>
      <c r="V436" s="167" t="s">
        <v>836</v>
      </c>
      <c r="W436" s="181" t="s">
        <v>112</v>
      </c>
      <c r="X436" s="181" t="s">
        <v>112</v>
      </c>
      <c r="Y436" s="181" t="s">
        <v>112</v>
      </c>
      <c r="Z436" s="8" t="s">
        <v>36</v>
      </c>
      <c r="AA436" s="23" t="s">
        <v>144</v>
      </c>
      <c r="AB436" s="21" t="s">
        <v>391</v>
      </c>
      <c r="AE436" s="24"/>
      <c r="AM436" s="24"/>
    </row>
    <row r="437" ht="15.75" customHeight="1">
      <c r="A437" s="235">
        <v>334.0</v>
      </c>
      <c r="B437" s="163" t="s">
        <v>1821</v>
      </c>
      <c r="C437" s="167" t="s">
        <v>48</v>
      </c>
      <c r="D437" s="163" t="s">
        <v>112</v>
      </c>
      <c r="E437" s="163" t="s">
        <v>112</v>
      </c>
      <c r="F437" s="172">
        <v>39709.0</v>
      </c>
      <c r="G437" s="169">
        <v>39692.0</v>
      </c>
      <c r="H437" s="42" t="str">
        <f t="shared" si="26"/>
        <v>2008</v>
      </c>
      <c r="I437" s="8" t="s">
        <v>186</v>
      </c>
      <c r="J437" s="163" t="s">
        <v>112</v>
      </c>
      <c r="K437" s="232" t="s">
        <v>99</v>
      </c>
      <c r="L437" s="167" t="s">
        <v>1336</v>
      </c>
      <c r="M437" s="173" t="s">
        <v>112</v>
      </c>
      <c r="N437" s="174" t="s">
        <v>112</v>
      </c>
      <c r="O437" s="45" t="s">
        <v>1820</v>
      </c>
      <c r="P437" s="163" t="s">
        <v>106</v>
      </c>
      <c r="Q437" s="163" t="s">
        <v>112</v>
      </c>
      <c r="R437" s="236">
        <v>492751.0</v>
      </c>
      <c r="S437" s="181">
        <v>9577178.0</v>
      </c>
      <c r="T437" s="176">
        <v>-3.8253437</v>
      </c>
      <c r="U437" s="176">
        <v>-75.065289</v>
      </c>
      <c r="V437" s="167" t="s">
        <v>1822</v>
      </c>
      <c r="W437" s="163" t="s">
        <v>112</v>
      </c>
      <c r="X437" s="163" t="s">
        <v>112</v>
      </c>
      <c r="Y437" s="163" t="s">
        <v>112</v>
      </c>
      <c r="Z437" s="47" t="s">
        <v>37</v>
      </c>
      <c r="AA437" s="23" t="s">
        <v>115</v>
      </c>
      <c r="AB437" s="8" t="s">
        <v>392</v>
      </c>
      <c r="AE437" s="24"/>
      <c r="AM437" s="24"/>
    </row>
    <row r="438" ht="15.75" customHeight="1">
      <c r="A438" s="8">
        <v>149.0</v>
      </c>
      <c r="B438" s="146" t="s">
        <v>1823</v>
      </c>
      <c r="C438" s="128" t="s">
        <v>50</v>
      </c>
      <c r="D438" s="128" t="s">
        <v>89</v>
      </c>
      <c r="E438" s="128" t="s">
        <v>1824</v>
      </c>
      <c r="F438" s="146" t="s">
        <v>1825</v>
      </c>
      <c r="G438" s="225">
        <v>35247.0</v>
      </c>
      <c r="H438" s="20" t="str">
        <f t="shared" si="26"/>
        <v>1996</v>
      </c>
      <c r="I438" s="8" t="s">
        <v>97</v>
      </c>
      <c r="J438" s="128" t="s">
        <v>158</v>
      </c>
      <c r="K438" s="221" t="s">
        <v>99</v>
      </c>
      <c r="L438" s="146" t="s">
        <v>1336</v>
      </c>
      <c r="M438" s="128" t="s">
        <v>101</v>
      </c>
      <c r="N438" s="237" t="s">
        <v>1826</v>
      </c>
      <c r="O438" s="21" t="s">
        <v>1827</v>
      </c>
      <c r="P438" s="128" t="s">
        <v>106</v>
      </c>
      <c r="Q438" s="128" t="s">
        <v>1828</v>
      </c>
      <c r="R438" s="185">
        <v>492765.0</v>
      </c>
      <c r="S438" s="185">
        <v>9577615.0</v>
      </c>
      <c r="T438" s="128">
        <v>-3.82138594</v>
      </c>
      <c r="U438" s="128">
        <v>-75.06515762</v>
      </c>
      <c r="V438" s="224" t="s">
        <v>1829</v>
      </c>
      <c r="W438" s="128"/>
      <c r="X438" s="128">
        <v>1.0</v>
      </c>
      <c r="Y438" s="128" t="s">
        <v>1830</v>
      </c>
      <c r="Z438" s="23" t="s">
        <v>42</v>
      </c>
      <c r="AA438" s="23" t="s">
        <v>115</v>
      </c>
      <c r="AB438" s="30" t="s">
        <v>227</v>
      </c>
      <c r="AE438" s="24"/>
      <c r="AM438" s="24"/>
    </row>
    <row r="439" ht="15.75" customHeight="1">
      <c r="A439" s="8">
        <v>373.0</v>
      </c>
      <c r="B439" s="163" t="s">
        <v>1831</v>
      </c>
      <c r="C439" s="167" t="s">
        <v>48</v>
      </c>
      <c r="D439" s="181" t="s">
        <v>112</v>
      </c>
      <c r="E439" s="163" t="s">
        <v>112</v>
      </c>
      <c r="F439" s="172">
        <v>40107.0</v>
      </c>
      <c r="G439" s="183">
        <v>40087.0</v>
      </c>
      <c r="H439" s="42" t="str">
        <f t="shared" si="26"/>
        <v>2009</v>
      </c>
      <c r="I439" s="8" t="s">
        <v>176</v>
      </c>
      <c r="J439" s="181" t="s">
        <v>112</v>
      </c>
      <c r="K439" s="232" t="s">
        <v>99</v>
      </c>
      <c r="L439" s="167" t="s">
        <v>1336</v>
      </c>
      <c r="M439" s="168" t="s">
        <v>177</v>
      </c>
      <c r="N439" s="174" t="s">
        <v>1832</v>
      </c>
      <c r="O439" s="45" t="s">
        <v>1833</v>
      </c>
      <c r="P439" s="163" t="s">
        <v>106</v>
      </c>
      <c r="Q439" s="181" t="s">
        <v>112</v>
      </c>
      <c r="R439" s="175">
        <v>492781.0</v>
      </c>
      <c r="S439" s="167">
        <v>9578005.0</v>
      </c>
      <c r="T439" s="176">
        <v>-3.8178619</v>
      </c>
      <c r="U439" s="176">
        <v>-75.065018</v>
      </c>
      <c r="V439" s="167" t="s">
        <v>836</v>
      </c>
      <c r="W439" s="181" t="s">
        <v>112</v>
      </c>
      <c r="X439" s="181" t="s">
        <v>112</v>
      </c>
      <c r="Y439" s="181" t="s">
        <v>112</v>
      </c>
      <c r="Z439" s="47" t="s">
        <v>37</v>
      </c>
      <c r="AA439" s="23" t="s">
        <v>115</v>
      </c>
      <c r="AB439" s="8" t="s">
        <v>392</v>
      </c>
      <c r="AE439" s="24"/>
      <c r="AM439" s="24"/>
    </row>
    <row r="440" ht="15.75" customHeight="1">
      <c r="A440" s="8">
        <v>481.0</v>
      </c>
      <c r="B440" s="157" t="s">
        <v>1834</v>
      </c>
      <c r="C440" s="156" t="s">
        <v>52</v>
      </c>
      <c r="D440" s="158" t="s">
        <v>941</v>
      </c>
      <c r="E440" s="158" t="s">
        <v>112</v>
      </c>
      <c r="F440" s="159">
        <v>41085.0</v>
      </c>
      <c r="G440" s="164">
        <v>41061.0</v>
      </c>
      <c r="H440" s="20" t="str">
        <f t="shared" si="26"/>
        <v>2012</v>
      </c>
      <c r="I440" s="8" t="s">
        <v>176</v>
      </c>
      <c r="J440" s="158" t="s">
        <v>112</v>
      </c>
      <c r="K440" s="220" t="s">
        <v>112</v>
      </c>
      <c r="L440" s="157" t="s">
        <v>1336</v>
      </c>
      <c r="M440" s="157" t="s">
        <v>177</v>
      </c>
      <c r="N440" s="158" t="s">
        <v>1835</v>
      </c>
      <c r="O440" s="8" t="s">
        <v>1836</v>
      </c>
      <c r="P440" s="158" t="s">
        <v>106</v>
      </c>
      <c r="Q440" s="158" t="s">
        <v>112</v>
      </c>
      <c r="R440" s="158">
        <v>492872.0</v>
      </c>
      <c r="S440" s="158">
        <v>9574646.0</v>
      </c>
      <c r="T440" s="217">
        <v>-3.8482505</v>
      </c>
      <c r="U440" s="217">
        <v>-75.064201</v>
      </c>
      <c r="V440" s="158" t="s">
        <v>112</v>
      </c>
      <c r="W440" s="158" t="s">
        <v>112</v>
      </c>
      <c r="X440" s="158">
        <v>0.0</v>
      </c>
      <c r="Y440" s="158" t="s">
        <v>1837</v>
      </c>
      <c r="Z440" s="8" t="s">
        <v>149</v>
      </c>
      <c r="AA440" s="23" t="s">
        <v>115</v>
      </c>
      <c r="AB440" s="8"/>
      <c r="AE440" s="24"/>
      <c r="AM440" s="24"/>
    </row>
    <row r="441" ht="15.75" customHeight="1">
      <c r="A441" s="8">
        <v>932.0</v>
      </c>
      <c r="B441" s="158" t="s">
        <v>1838</v>
      </c>
      <c r="C441" s="158" t="s">
        <v>52</v>
      </c>
      <c r="D441" s="158" t="s">
        <v>663</v>
      </c>
      <c r="E441" s="158" t="s">
        <v>112</v>
      </c>
      <c r="F441" s="165" t="s">
        <v>1839</v>
      </c>
      <c r="G441" s="164">
        <v>43160.0</v>
      </c>
      <c r="H441" s="20" t="str">
        <f t="shared" si="26"/>
        <v>2018</v>
      </c>
      <c r="I441" s="8" t="s">
        <v>176</v>
      </c>
      <c r="J441" s="158" t="s">
        <v>112</v>
      </c>
      <c r="K441" s="220" t="s">
        <v>112</v>
      </c>
      <c r="L441" s="158" t="s">
        <v>1336</v>
      </c>
      <c r="M441" s="157" t="s">
        <v>177</v>
      </c>
      <c r="N441" s="158" t="s">
        <v>1840</v>
      </c>
      <c r="O441" s="8" t="s">
        <v>1841</v>
      </c>
      <c r="P441" s="158" t="s">
        <v>106</v>
      </c>
      <c r="Q441" s="158" t="s">
        <v>112</v>
      </c>
      <c r="R441" s="156">
        <v>492875.0</v>
      </c>
      <c r="S441" s="156">
        <v>9577323.0</v>
      </c>
      <c r="T441" s="156">
        <v>-75.06515762</v>
      </c>
      <c r="U441" s="156">
        <v>-3.82138594</v>
      </c>
      <c r="V441" s="156" t="s">
        <v>1339</v>
      </c>
      <c r="W441" s="158" t="s">
        <v>112</v>
      </c>
      <c r="X441" s="158">
        <v>0.0</v>
      </c>
      <c r="Y441" s="158" t="s">
        <v>112</v>
      </c>
      <c r="Z441" s="8" t="s">
        <v>148</v>
      </c>
      <c r="AA441" s="23" t="s">
        <v>115</v>
      </c>
      <c r="AB441" s="8" t="s">
        <v>277</v>
      </c>
      <c r="AE441" s="24"/>
      <c r="AM441" s="24"/>
    </row>
    <row r="442" ht="15.75" customHeight="1">
      <c r="A442" s="8">
        <v>551.0</v>
      </c>
      <c r="B442" s="158" t="s">
        <v>1842</v>
      </c>
      <c r="C442" s="156" t="s">
        <v>52</v>
      </c>
      <c r="D442" s="158" t="s">
        <v>1349</v>
      </c>
      <c r="E442" s="158" t="s">
        <v>112</v>
      </c>
      <c r="F442" s="215">
        <v>41604.0</v>
      </c>
      <c r="G442" s="161">
        <v>41579.0</v>
      </c>
      <c r="H442" s="20" t="str">
        <f t="shared" si="26"/>
        <v>2013</v>
      </c>
      <c r="I442" s="8" t="s">
        <v>186</v>
      </c>
      <c r="J442" s="158" t="s">
        <v>112</v>
      </c>
      <c r="K442" s="220" t="s">
        <v>112</v>
      </c>
      <c r="L442" s="158" t="s">
        <v>1336</v>
      </c>
      <c r="M442" s="211" t="s">
        <v>177</v>
      </c>
      <c r="N442" s="158" t="s">
        <v>1350</v>
      </c>
      <c r="O442" s="8" t="s">
        <v>1843</v>
      </c>
      <c r="P442" s="158" t="s">
        <v>106</v>
      </c>
      <c r="Q442" s="158" t="s">
        <v>112</v>
      </c>
      <c r="R442" s="158">
        <v>492907.0</v>
      </c>
      <c r="S442" s="158">
        <v>9576827.0</v>
      </c>
      <c r="T442" s="162">
        <v>-3.8285193</v>
      </c>
      <c r="U442" s="162">
        <v>-75.063884</v>
      </c>
      <c r="V442" s="158" t="s">
        <v>112</v>
      </c>
      <c r="W442" s="158" t="s">
        <v>112</v>
      </c>
      <c r="X442" s="158">
        <v>0.0</v>
      </c>
      <c r="Y442" s="158" t="s">
        <v>112</v>
      </c>
      <c r="Z442" s="8" t="s">
        <v>149</v>
      </c>
      <c r="AA442" s="23" t="s">
        <v>115</v>
      </c>
      <c r="AB442" s="8"/>
      <c r="AE442" s="24"/>
      <c r="AM442" s="24"/>
    </row>
    <row r="443" ht="15.75" customHeight="1">
      <c r="A443" s="8">
        <v>627.0</v>
      </c>
      <c r="B443" s="188" t="s">
        <v>1844</v>
      </c>
      <c r="C443" s="167" t="s">
        <v>48</v>
      </c>
      <c r="D443" s="181" t="s">
        <v>112</v>
      </c>
      <c r="E443" s="163" t="s">
        <v>112</v>
      </c>
      <c r="F443" s="180">
        <v>42156.0</v>
      </c>
      <c r="G443" s="183">
        <v>42156.0</v>
      </c>
      <c r="H443" s="42" t="str">
        <f t="shared" si="26"/>
        <v>2015</v>
      </c>
      <c r="I443" s="8" t="s">
        <v>186</v>
      </c>
      <c r="J443" s="181" t="s">
        <v>112</v>
      </c>
      <c r="K443" s="133" t="s">
        <v>112</v>
      </c>
      <c r="L443" s="167" t="s">
        <v>1336</v>
      </c>
      <c r="M443" s="168" t="s">
        <v>177</v>
      </c>
      <c r="N443" s="163" t="s">
        <v>1845</v>
      </c>
      <c r="O443" s="29" t="s">
        <v>1846</v>
      </c>
      <c r="P443" s="163" t="s">
        <v>106</v>
      </c>
      <c r="Q443" s="181" t="s">
        <v>112</v>
      </c>
      <c r="R443" s="167">
        <v>492912.0</v>
      </c>
      <c r="S443" s="167">
        <v>9576870.0</v>
      </c>
      <c r="T443" s="163" t="s">
        <v>112</v>
      </c>
      <c r="U443" s="163" t="s">
        <v>112</v>
      </c>
      <c r="V443" s="167" t="s">
        <v>1339</v>
      </c>
      <c r="W443" s="181" t="s">
        <v>112</v>
      </c>
      <c r="X443" s="181" t="s">
        <v>112</v>
      </c>
      <c r="Y443" s="181" t="s">
        <v>112</v>
      </c>
      <c r="Z443" s="8" t="s">
        <v>69</v>
      </c>
      <c r="AA443" s="23" t="s">
        <v>115</v>
      </c>
      <c r="AB443" s="154" t="s">
        <v>316</v>
      </c>
      <c r="AE443" s="24"/>
      <c r="AM443" s="24"/>
    </row>
    <row r="444" ht="15.75" customHeight="1">
      <c r="A444" s="8">
        <v>105.0</v>
      </c>
      <c r="B444" s="146" t="s">
        <v>1847</v>
      </c>
      <c r="C444" s="128" t="s">
        <v>50</v>
      </c>
      <c r="D444" s="128" t="s">
        <v>89</v>
      </c>
      <c r="E444" s="128" t="s">
        <v>1824</v>
      </c>
      <c r="F444" s="146" t="s">
        <v>1825</v>
      </c>
      <c r="G444" s="146" t="s">
        <v>112</v>
      </c>
      <c r="H444" s="28" t="s">
        <v>112</v>
      </c>
      <c r="I444" s="8" t="s">
        <v>97</v>
      </c>
      <c r="J444" s="128" t="s">
        <v>158</v>
      </c>
      <c r="K444" s="221" t="s">
        <v>164</v>
      </c>
      <c r="L444" s="146" t="s">
        <v>1336</v>
      </c>
      <c r="M444" s="128" t="s">
        <v>101</v>
      </c>
      <c r="N444" s="128" t="s">
        <v>1848</v>
      </c>
      <c r="O444" s="23" t="s">
        <v>1849</v>
      </c>
      <c r="P444" s="128" t="s">
        <v>106</v>
      </c>
      <c r="Q444" s="128" t="s">
        <v>1691</v>
      </c>
      <c r="R444" s="185">
        <v>492925.0</v>
      </c>
      <c r="S444" s="185">
        <v>9577309.0</v>
      </c>
      <c r="T444" s="128">
        <v>-3.82415669</v>
      </c>
      <c r="U444" s="128">
        <v>-75.06371689</v>
      </c>
      <c r="V444" s="128" t="s">
        <v>1829</v>
      </c>
      <c r="W444" s="128" t="s">
        <v>1850</v>
      </c>
      <c r="X444" s="128">
        <v>1.0</v>
      </c>
      <c r="Y444" s="128" t="s">
        <v>1851</v>
      </c>
      <c r="Z444" s="23" t="s">
        <v>42</v>
      </c>
      <c r="AA444" s="23" t="s">
        <v>115</v>
      </c>
      <c r="AB444" s="8" t="s">
        <v>262</v>
      </c>
      <c r="AE444" s="24"/>
      <c r="AM444" s="24"/>
    </row>
    <row r="445" ht="15.75" customHeight="1">
      <c r="A445" s="8">
        <v>537.0</v>
      </c>
      <c r="B445" s="158" t="s">
        <v>1852</v>
      </c>
      <c r="C445" s="156" t="s">
        <v>52</v>
      </c>
      <c r="D445" s="158" t="s">
        <v>1349</v>
      </c>
      <c r="E445" s="158" t="s">
        <v>112</v>
      </c>
      <c r="F445" s="215">
        <v>41604.0</v>
      </c>
      <c r="G445" s="161">
        <v>41579.0</v>
      </c>
      <c r="H445" s="20" t="str">
        <f t="shared" ref="H445:H454" si="27">TEXT(G445, "yyyy")</f>
        <v>2013</v>
      </c>
      <c r="I445" s="8" t="s">
        <v>186</v>
      </c>
      <c r="J445" s="158" t="s">
        <v>112</v>
      </c>
      <c r="K445" s="220" t="s">
        <v>112</v>
      </c>
      <c r="L445" s="158" t="s">
        <v>1336</v>
      </c>
      <c r="M445" s="211" t="s">
        <v>177</v>
      </c>
      <c r="N445" s="158" t="s">
        <v>1350</v>
      </c>
      <c r="O445" s="8" t="s">
        <v>1853</v>
      </c>
      <c r="P445" s="158" t="s">
        <v>106</v>
      </c>
      <c r="Q445" s="158" t="s">
        <v>112</v>
      </c>
      <c r="R445" s="158">
        <v>493123.0</v>
      </c>
      <c r="S445" s="158">
        <v>9577011.0</v>
      </c>
      <c r="T445" s="162">
        <v>-3.8268548</v>
      </c>
      <c r="U445" s="162">
        <v>-75.061939</v>
      </c>
      <c r="V445" s="158" t="s">
        <v>112</v>
      </c>
      <c r="W445" s="158" t="s">
        <v>112</v>
      </c>
      <c r="X445" s="158">
        <v>0.0</v>
      </c>
      <c r="Y445" s="158" t="s">
        <v>112</v>
      </c>
      <c r="Z445" s="8" t="s">
        <v>149</v>
      </c>
      <c r="AA445" s="23" t="s">
        <v>115</v>
      </c>
      <c r="AB445" s="8"/>
      <c r="AE445" s="24"/>
      <c r="AM445" s="24"/>
    </row>
    <row r="446" ht="15.75" customHeight="1">
      <c r="A446" s="8">
        <v>629.0</v>
      </c>
      <c r="B446" s="188" t="s">
        <v>1854</v>
      </c>
      <c r="C446" s="167" t="s">
        <v>48</v>
      </c>
      <c r="D446" s="181" t="s">
        <v>112</v>
      </c>
      <c r="E446" s="163" t="s">
        <v>112</v>
      </c>
      <c r="F446" s="180">
        <v>42170.0</v>
      </c>
      <c r="G446" s="183">
        <v>42156.0</v>
      </c>
      <c r="H446" s="42" t="str">
        <f t="shared" si="27"/>
        <v>2015</v>
      </c>
      <c r="I446" s="8" t="s">
        <v>186</v>
      </c>
      <c r="J446" s="181" t="s">
        <v>112</v>
      </c>
      <c r="K446" s="133" t="s">
        <v>112</v>
      </c>
      <c r="L446" s="138" t="s">
        <v>1336</v>
      </c>
      <c r="M446" s="153" t="s">
        <v>177</v>
      </c>
      <c r="N446" s="127" t="s">
        <v>1855</v>
      </c>
      <c r="O446" s="8" t="s">
        <v>1856</v>
      </c>
      <c r="P446" s="163" t="s">
        <v>106</v>
      </c>
      <c r="Q446" s="181" t="s">
        <v>112</v>
      </c>
      <c r="R446" s="207">
        <v>493146.0</v>
      </c>
      <c r="S446" s="207">
        <v>9575828.0</v>
      </c>
      <c r="T446" s="163" t="s">
        <v>112</v>
      </c>
      <c r="U446" s="163" t="s">
        <v>112</v>
      </c>
      <c r="V446" s="167" t="s">
        <v>1339</v>
      </c>
      <c r="W446" s="181" t="s">
        <v>112</v>
      </c>
      <c r="X446" s="181" t="s">
        <v>112</v>
      </c>
      <c r="Y446" s="181" t="s">
        <v>112</v>
      </c>
      <c r="Z446" s="8" t="s">
        <v>69</v>
      </c>
      <c r="AA446" s="23" t="s">
        <v>115</v>
      </c>
      <c r="AB446" s="154" t="s">
        <v>316</v>
      </c>
      <c r="AE446" s="24"/>
      <c r="AM446" s="24"/>
    </row>
    <row r="447" ht="15.75" customHeight="1">
      <c r="A447" s="8">
        <v>620.0</v>
      </c>
      <c r="B447" s="188" t="s">
        <v>1857</v>
      </c>
      <c r="C447" s="156" t="s">
        <v>48</v>
      </c>
      <c r="D447" s="157" t="s">
        <v>112</v>
      </c>
      <c r="E447" s="158" t="s">
        <v>112</v>
      </c>
      <c r="F447" s="215">
        <v>42156.0</v>
      </c>
      <c r="G447" s="160">
        <v>42156.0</v>
      </c>
      <c r="H447" s="20" t="str">
        <f t="shared" si="27"/>
        <v>2015</v>
      </c>
      <c r="I447" s="8" t="s">
        <v>186</v>
      </c>
      <c r="J447" s="157" t="s">
        <v>112</v>
      </c>
      <c r="K447" s="222" t="s">
        <v>112</v>
      </c>
      <c r="L447" s="156" t="s">
        <v>1336</v>
      </c>
      <c r="M447" s="190" t="s">
        <v>177</v>
      </c>
      <c r="N447" s="158" t="s">
        <v>112</v>
      </c>
      <c r="O447" s="8" t="s">
        <v>1858</v>
      </c>
      <c r="P447" s="158" t="s">
        <v>106</v>
      </c>
      <c r="Q447" s="157" t="s">
        <v>112</v>
      </c>
      <c r="R447" s="238">
        <v>493146.0</v>
      </c>
      <c r="S447" s="238">
        <v>9575828.0</v>
      </c>
      <c r="T447" s="162">
        <v>-3.8375573</v>
      </c>
      <c r="U447" s="162">
        <v>-75.061732</v>
      </c>
      <c r="V447" s="156" t="s">
        <v>1339</v>
      </c>
      <c r="W447" s="157" t="s">
        <v>112</v>
      </c>
      <c r="X447" s="157" t="s">
        <v>112</v>
      </c>
      <c r="Y447" s="157" t="s">
        <v>112</v>
      </c>
      <c r="Z447" s="8" t="s">
        <v>149</v>
      </c>
      <c r="AA447" s="23" t="s">
        <v>115</v>
      </c>
      <c r="AB447" s="8"/>
      <c r="AE447" s="24"/>
      <c r="AM447" s="24"/>
    </row>
    <row r="448" ht="15.75" customHeight="1">
      <c r="A448" s="47">
        <v>321.0</v>
      </c>
      <c r="B448" s="163" t="s">
        <v>1859</v>
      </c>
      <c r="C448" s="167" t="s">
        <v>48</v>
      </c>
      <c r="D448" s="181" t="s">
        <v>112</v>
      </c>
      <c r="E448" s="163" t="s">
        <v>112</v>
      </c>
      <c r="F448" s="172">
        <v>39572.0</v>
      </c>
      <c r="G448" s="183">
        <v>39569.0</v>
      </c>
      <c r="H448" s="42" t="str">
        <f t="shared" si="27"/>
        <v>2008</v>
      </c>
      <c r="I448" s="8" t="s">
        <v>846</v>
      </c>
      <c r="J448" s="181" t="s">
        <v>112</v>
      </c>
      <c r="K448" s="232" t="s">
        <v>99</v>
      </c>
      <c r="L448" s="167" t="s">
        <v>1336</v>
      </c>
      <c r="M448" s="168" t="s">
        <v>177</v>
      </c>
      <c r="N448" s="174" t="s">
        <v>112</v>
      </c>
      <c r="O448" s="108" t="s">
        <v>1860</v>
      </c>
      <c r="P448" s="163" t="s">
        <v>106</v>
      </c>
      <c r="Q448" s="181" t="s">
        <v>112</v>
      </c>
      <c r="R448" s="236">
        <v>493185.0</v>
      </c>
      <c r="S448" s="236">
        <v>9576843.0</v>
      </c>
      <c r="T448" s="176">
        <v>-3.8283747</v>
      </c>
      <c r="U448" s="176">
        <v>-75.06138</v>
      </c>
      <c r="V448" s="167" t="s">
        <v>836</v>
      </c>
      <c r="W448" s="181" t="s">
        <v>112</v>
      </c>
      <c r="X448" s="181" t="s">
        <v>112</v>
      </c>
      <c r="Y448" s="181" t="s">
        <v>112</v>
      </c>
      <c r="Z448" s="47" t="s">
        <v>37</v>
      </c>
      <c r="AA448" s="23" t="s">
        <v>115</v>
      </c>
      <c r="AB448" s="21" t="s">
        <v>392</v>
      </c>
      <c r="AE448" s="24"/>
      <c r="AM448" s="24"/>
    </row>
    <row r="449" ht="15.75" customHeight="1">
      <c r="A449" s="8">
        <v>535.0</v>
      </c>
      <c r="B449" s="158" t="s">
        <v>1861</v>
      </c>
      <c r="C449" s="156" t="s">
        <v>52</v>
      </c>
      <c r="D449" s="158" t="s">
        <v>1349</v>
      </c>
      <c r="E449" s="158" t="s">
        <v>112</v>
      </c>
      <c r="F449" s="215">
        <v>41604.0</v>
      </c>
      <c r="G449" s="161">
        <v>41579.0</v>
      </c>
      <c r="H449" s="20" t="str">
        <f t="shared" si="27"/>
        <v>2013</v>
      </c>
      <c r="I449" s="8" t="s">
        <v>186</v>
      </c>
      <c r="J449" s="158" t="s">
        <v>112</v>
      </c>
      <c r="K449" s="220" t="s">
        <v>112</v>
      </c>
      <c r="L449" s="158" t="s">
        <v>1336</v>
      </c>
      <c r="M449" s="211" t="s">
        <v>177</v>
      </c>
      <c r="N449" s="158" t="s">
        <v>1350</v>
      </c>
      <c r="O449" s="8" t="s">
        <v>1862</v>
      </c>
      <c r="P449" s="158" t="s">
        <v>106</v>
      </c>
      <c r="Q449" s="158" t="s">
        <v>112</v>
      </c>
      <c r="R449" s="158">
        <v>493186.0</v>
      </c>
      <c r="S449" s="158">
        <v>9575761.0</v>
      </c>
      <c r="T449" s="162">
        <v>-3.8381635</v>
      </c>
      <c r="U449" s="162">
        <v>-75.061372</v>
      </c>
      <c r="V449" s="156" t="s">
        <v>1339</v>
      </c>
      <c r="W449" s="158" t="s">
        <v>112</v>
      </c>
      <c r="X449" s="158">
        <v>0.0</v>
      </c>
      <c r="Y449" s="158" t="s">
        <v>112</v>
      </c>
      <c r="Z449" s="8" t="s">
        <v>149</v>
      </c>
      <c r="AA449" s="23" t="s">
        <v>115</v>
      </c>
      <c r="AB449" s="8"/>
      <c r="AE449" s="24"/>
      <c r="AM449" s="24"/>
    </row>
    <row r="450" ht="15.75" customHeight="1">
      <c r="A450" s="8">
        <v>467.0</v>
      </c>
      <c r="B450" s="163" t="s">
        <v>1863</v>
      </c>
      <c r="C450" s="167" t="s">
        <v>48</v>
      </c>
      <c r="D450" s="181" t="s">
        <v>112</v>
      </c>
      <c r="E450" s="163" t="s">
        <v>112</v>
      </c>
      <c r="F450" s="172">
        <v>40798.0</v>
      </c>
      <c r="G450" s="183">
        <v>40787.0</v>
      </c>
      <c r="H450" s="42" t="str">
        <f t="shared" si="27"/>
        <v>2011</v>
      </c>
      <c r="I450" s="8" t="s">
        <v>172</v>
      </c>
      <c r="J450" s="181" t="s">
        <v>112</v>
      </c>
      <c r="K450" s="232" t="s">
        <v>99</v>
      </c>
      <c r="L450" s="167" t="s">
        <v>1336</v>
      </c>
      <c r="M450" s="173" t="s">
        <v>112</v>
      </c>
      <c r="N450" s="174" t="s">
        <v>1864</v>
      </c>
      <c r="O450" s="45" t="s">
        <v>1833</v>
      </c>
      <c r="P450" s="163" t="s">
        <v>106</v>
      </c>
      <c r="Q450" s="181" t="s">
        <v>112</v>
      </c>
      <c r="R450" s="163">
        <v>493190.0</v>
      </c>
      <c r="S450" s="163">
        <v>9575777.0</v>
      </c>
      <c r="T450" s="176">
        <v>-3.8380187</v>
      </c>
      <c r="U450" s="176">
        <v>-75.061336</v>
      </c>
      <c r="V450" s="167" t="s">
        <v>836</v>
      </c>
      <c r="W450" s="181" t="s">
        <v>112</v>
      </c>
      <c r="X450" s="181" t="s">
        <v>112</v>
      </c>
      <c r="Y450" s="181" t="s">
        <v>112</v>
      </c>
      <c r="Z450" s="47" t="s">
        <v>37</v>
      </c>
      <c r="AA450" s="23" t="s">
        <v>115</v>
      </c>
      <c r="AB450" s="8" t="s">
        <v>293</v>
      </c>
      <c r="AE450" s="24"/>
      <c r="AM450" s="24"/>
    </row>
    <row r="451" ht="15.75" customHeight="1">
      <c r="A451" s="47">
        <v>316.0</v>
      </c>
      <c r="B451" s="163" t="s">
        <v>1865</v>
      </c>
      <c r="C451" s="167" t="s">
        <v>48</v>
      </c>
      <c r="D451" s="181" t="s">
        <v>112</v>
      </c>
      <c r="E451" s="163" t="s">
        <v>112</v>
      </c>
      <c r="F451" s="172">
        <v>39568.0</v>
      </c>
      <c r="G451" s="183">
        <v>39539.0</v>
      </c>
      <c r="H451" s="42" t="str">
        <f t="shared" si="27"/>
        <v>2008</v>
      </c>
      <c r="I451" s="8" t="s">
        <v>186</v>
      </c>
      <c r="J451" s="181" t="s">
        <v>112</v>
      </c>
      <c r="K451" s="232" t="s">
        <v>99</v>
      </c>
      <c r="L451" s="167" t="s">
        <v>1336</v>
      </c>
      <c r="M451" s="173" t="s">
        <v>112</v>
      </c>
      <c r="N451" s="239" t="s">
        <v>1866</v>
      </c>
      <c r="O451" s="45" t="s">
        <v>1818</v>
      </c>
      <c r="P451" s="163" t="s">
        <v>106</v>
      </c>
      <c r="Q451" s="181" t="s">
        <v>112</v>
      </c>
      <c r="R451" s="236">
        <v>493202.0</v>
      </c>
      <c r="S451" s="181">
        <v>9577097.0</v>
      </c>
      <c r="T451" s="176">
        <v>-3.8260768</v>
      </c>
      <c r="U451" s="176">
        <v>-75.061227</v>
      </c>
      <c r="V451" s="167" t="s">
        <v>836</v>
      </c>
      <c r="W451" s="181" t="s">
        <v>112</v>
      </c>
      <c r="X451" s="181" t="s">
        <v>112</v>
      </c>
      <c r="Y451" s="181" t="s">
        <v>112</v>
      </c>
      <c r="Z451" s="47" t="s">
        <v>37</v>
      </c>
      <c r="AA451" s="23" t="s">
        <v>115</v>
      </c>
      <c r="AB451" s="21" t="s">
        <v>393</v>
      </c>
      <c r="AE451" s="24"/>
      <c r="AM451" s="24"/>
    </row>
    <row r="452" ht="15.75" customHeight="1">
      <c r="A452" s="8">
        <v>457.0</v>
      </c>
      <c r="B452" s="163" t="s">
        <v>1867</v>
      </c>
      <c r="C452" s="167" t="s">
        <v>48</v>
      </c>
      <c r="D452" s="181" t="s">
        <v>112</v>
      </c>
      <c r="E452" s="127" t="s">
        <v>112</v>
      </c>
      <c r="F452" s="139">
        <v>40501.0</v>
      </c>
      <c r="G452" s="183">
        <v>40483.0</v>
      </c>
      <c r="H452" s="42" t="str">
        <f t="shared" si="27"/>
        <v>2010</v>
      </c>
      <c r="I452" s="8" t="s">
        <v>186</v>
      </c>
      <c r="J452" s="149" t="s">
        <v>112</v>
      </c>
      <c r="K452" s="232" t="s">
        <v>99</v>
      </c>
      <c r="L452" s="138" t="s">
        <v>1336</v>
      </c>
      <c r="M452" s="142" t="s">
        <v>112</v>
      </c>
      <c r="N452" s="143" t="s">
        <v>1868</v>
      </c>
      <c r="O452" s="45" t="s">
        <v>1833</v>
      </c>
      <c r="P452" s="163" t="s">
        <v>106</v>
      </c>
      <c r="Q452" s="149" t="s">
        <v>112</v>
      </c>
      <c r="R452" s="181">
        <v>493227.0</v>
      </c>
      <c r="S452" s="181">
        <v>9578240.0</v>
      </c>
      <c r="T452" s="145">
        <v>-3.8157362</v>
      </c>
      <c r="U452" s="145">
        <v>-75.061001</v>
      </c>
      <c r="V452" s="167" t="s">
        <v>836</v>
      </c>
      <c r="W452" s="149" t="s">
        <v>112</v>
      </c>
      <c r="X452" s="149" t="s">
        <v>112</v>
      </c>
      <c r="Y452" s="149" t="s">
        <v>112</v>
      </c>
      <c r="Z452" s="47" t="s">
        <v>37</v>
      </c>
      <c r="AA452" s="23" t="s">
        <v>115</v>
      </c>
      <c r="AB452" s="8" t="s">
        <v>181</v>
      </c>
      <c r="AE452" s="24"/>
      <c r="AM452" s="24"/>
    </row>
    <row r="453" ht="15.75" customHeight="1">
      <c r="A453" s="8">
        <v>619.0</v>
      </c>
      <c r="B453" s="188" t="s">
        <v>1869</v>
      </c>
      <c r="C453" s="156" t="s">
        <v>48</v>
      </c>
      <c r="D453" s="157" t="s">
        <v>112</v>
      </c>
      <c r="E453" s="158" t="s">
        <v>112</v>
      </c>
      <c r="F453" s="215">
        <v>42156.0</v>
      </c>
      <c r="G453" s="160">
        <v>42156.0</v>
      </c>
      <c r="H453" s="20" t="str">
        <f t="shared" si="27"/>
        <v>2015</v>
      </c>
      <c r="I453" s="8" t="s">
        <v>186</v>
      </c>
      <c r="J453" s="157" t="s">
        <v>112</v>
      </c>
      <c r="K453" s="222" t="s">
        <v>112</v>
      </c>
      <c r="L453" s="156" t="s">
        <v>1336</v>
      </c>
      <c r="M453" s="190" t="s">
        <v>177</v>
      </c>
      <c r="N453" s="158" t="s">
        <v>112</v>
      </c>
      <c r="O453" s="8" t="s">
        <v>1870</v>
      </c>
      <c r="P453" s="158" t="s">
        <v>106</v>
      </c>
      <c r="Q453" s="157" t="s">
        <v>112</v>
      </c>
      <c r="R453" s="28">
        <v>493234.0</v>
      </c>
      <c r="S453" s="28">
        <v>9578356.0</v>
      </c>
      <c r="T453" s="162">
        <v>-3.8146868</v>
      </c>
      <c r="U453" s="162">
        <v>-75.060938</v>
      </c>
      <c r="V453" s="156" t="s">
        <v>1339</v>
      </c>
      <c r="W453" s="157" t="s">
        <v>112</v>
      </c>
      <c r="X453" s="157" t="s">
        <v>112</v>
      </c>
      <c r="Y453" s="157" t="s">
        <v>112</v>
      </c>
      <c r="Z453" s="8" t="s">
        <v>149</v>
      </c>
      <c r="AA453" s="23" t="s">
        <v>115</v>
      </c>
      <c r="AB453" s="8"/>
      <c r="AE453" s="24"/>
      <c r="AM453" s="24"/>
    </row>
    <row r="454" ht="15.75" customHeight="1">
      <c r="A454" s="8">
        <v>358.0</v>
      </c>
      <c r="B454" s="163" t="s">
        <v>1871</v>
      </c>
      <c r="C454" s="167" t="s">
        <v>48</v>
      </c>
      <c r="D454" s="181" t="s">
        <v>112</v>
      </c>
      <c r="E454" s="163" t="s">
        <v>112</v>
      </c>
      <c r="F454" s="172">
        <v>39823.0</v>
      </c>
      <c r="G454" s="183">
        <v>39814.0</v>
      </c>
      <c r="H454" s="42" t="str">
        <f t="shared" si="27"/>
        <v>2009</v>
      </c>
      <c r="I454" s="8" t="s">
        <v>176</v>
      </c>
      <c r="J454" s="181" t="s">
        <v>112</v>
      </c>
      <c r="K454" s="232" t="s">
        <v>99</v>
      </c>
      <c r="L454" s="167" t="s">
        <v>1336</v>
      </c>
      <c r="M454" s="168" t="s">
        <v>177</v>
      </c>
      <c r="N454" s="174" t="s">
        <v>1872</v>
      </c>
      <c r="O454" s="45" t="s">
        <v>1818</v>
      </c>
      <c r="P454" s="163" t="s">
        <v>106</v>
      </c>
      <c r="Q454" s="181" t="s">
        <v>112</v>
      </c>
      <c r="R454" s="175">
        <v>493245.0</v>
      </c>
      <c r="S454" s="167">
        <v>9577977.0</v>
      </c>
      <c r="T454" s="176">
        <v>-3.8181156</v>
      </c>
      <c r="U454" s="176">
        <v>-75.060839</v>
      </c>
      <c r="V454" s="167" t="s">
        <v>836</v>
      </c>
      <c r="W454" s="181" t="s">
        <v>112</v>
      </c>
      <c r="X454" s="181" t="s">
        <v>112</v>
      </c>
      <c r="Y454" s="181" t="s">
        <v>112</v>
      </c>
      <c r="Z454" s="47" t="s">
        <v>37</v>
      </c>
      <c r="AA454" s="23" t="s">
        <v>115</v>
      </c>
      <c r="AB454" s="8" t="s">
        <v>392</v>
      </c>
      <c r="AE454" s="24"/>
      <c r="AM454" s="24"/>
    </row>
    <row r="455" ht="15.75" customHeight="1">
      <c r="A455" s="8">
        <v>130.0</v>
      </c>
      <c r="B455" s="146" t="s">
        <v>1873</v>
      </c>
      <c r="C455" s="128" t="s">
        <v>50</v>
      </c>
      <c r="D455" s="128" t="s">
        <v>89</v>
      </c>
      <c r="E455" s="128" t="s">
        <v>1824</v>
      </c>
      <c r="F455" s="146" t="s">
        <v>1874</v>
      </c>
      <c r="G455" s="146" t="s">
        <v>112</v>
      </c>
      <c r="H455" s="28" t="s">
        <v>112</v>
      </c>
      <c r="I455" s="8" t="s">
        <v>97</v>
      </c>
      <c r="J455" s="128" t="s">
        <v>158</v>
      </c>
      <c r="K455" s="221" t="s">
        <v>164</v>
      </c>
      <c r="L455" s="146" t="s">
        <v>1336</v>
      </c>
      <c r="M455" s="128" t="s">
        <v>101</v>
      </c>
      <c r="N455" s="128" t="s">
        <v>1875</v>
      </c>
      <c r="O455" s="8" t="s">
        <v>1876</v>
      </c>
      <c r="P455" s="128" t="s">
        <v>106</v>
      </c>
      <c r="Q455" s="128" t="s">
        <v>1877</v>
      </c>
      <c r="R455" s="185">
        <v>493287.0</v>
      </c>
      <c r="S455" s="185">
        <v>9578098.0</v>
      </c>
      <c r="T455" s="128">
        <v>-3.81701806</v>
      </c>
      <c r="U455" s="128">
        <v>-75.06045285</v>
      </c>
      <c r="V455" s="224" t="s">
        <v>1878</v>
      </c>
      <c r="W455" s="128"/>
      <c r="X455" s="128" t="s">
        <v>112</v>
      </c>
      <c r="Y455" s="128" t="s">
        <v>112</v>
      </c>
      <c r="Z455" s="23" t="s">
        <v>42</v>
      </c>
      <c r="AA455" s="23" t="s">
        <v>115</v>
      </c>
      <c r="AB455" s="8" t="s">
        <v>112</v>
      </c>
      <c r="AE455" s="24"/>
      <c r="AM455" s="24"/>
    </row>
    <row r="456" ht="15.75" customHeight="1">
      <c r="A456" s="8">
        <v>864.0</v>
      </c>
      <c r="B456" s="158" t="s">
        <v>1879</v>
      </c>
      <c r="C456" s="156" t="s">
        <v>48</v>
      </c>
      <c r="D456" s="158" t="s">
        <v>112</v>
      </c>
      <c r="E456" s="158" t="s">
        <v>112</v>
      </c>
      <c r="F456" s="186">
        <v>42997.0</v>
      </c>
      <c r="G456" s="164">
        <v>42979.0</v>
      </c>
      <c r="H456" s="20" t="str">
        <f t="shared" ref="H456:H457" si="28">TEXT(G456, "yyyy")</f>
        <v>2017</v>
      </c>
      <c r="I456" s="8" t="s">
        <v>186</v>
      </c>
      <c r="J456" s="158" t="s">
        <v>112</v>
      </c>
      <c r="K456" s="220" t="s">
        <v>112</v>
      </c>
      <c r="L456" s="156" t="s">
        <v>1336</v>
      </c>
      <c r="M456" s="190" t="s">
        <v>177</v>
      </c>
      <c r="N456" s="156" t="s">
        <v>1880</v>
      </c>
      <c r="O456" s="8" t="s">
        <v>1810</v>
      </c>
      <c r="P456" s="158" t="s">
        <v>106</v>
      </c>
      <c r="Q456" s="158" t="s">
        <v>112</v>
      </c>
      <c r="R456" s="158">
        <v>493288.1</v>
      </c>
      <c r="S456" s="158">
        <v>9578381.7</v>
      </c>
      <c r="T456" s="156">
        <v>-75.0604514</v>
      </c>
      <c r="U456" s="156">
        <v>-3.8144545</v>
      </c>
      <c r="V456" s="156" t="s">
        <v>1339</v>
      </c>
      <c r="W456" s="158" t="s">
        <v>112</v>
      </c>
      <c r="X456" s="158" t="s">
        <v>112</v>
      </c>
      <c r="Y456" s="158" t="s">
        <v>112</v>
      </c>
      <c r="Z456" s="8" t="s">
        <v>148</v>
      </c>
      <c r="AA456" s="23" t="s">
        <v>144</v>
      </c>
      <c r="AB456" s="8"/>
      <c r="AE456" s="24"/>
      <c r="AM456" s="24"/>
    </row>
    <row r="457" ht="15.75" customHeight="1">
      <c r="A457" s="8">
        <v>536.0</v>
      </c>
      <c r="B457" s="158" t="s">
        <v>1881</v>
      </c>
      <c r="C457" s="156" t="s">
        <v>52</v>
      </c>
      <c r="D457" s="158" t="s">
        <v>1349</v>
      </c>
      <c r="E457" s="158" t="s">
        <v>112</v>
      </c>
      <c r="F457" s="215">
        <v>41604.0</v>
      </c>
      <c r="G457" s="161">
        <v>41579.0</v>
      </c>
      <c r="H457" s="20" t="str">
        <f t="shared" si="28"/>
        <v>2013</v>
      </c>
      <c r="I457" s="8" t="s">
        <v>186</v>
      </c>
      <c r="J457" s="158" t="s">
        <v>112</v>
      </c>
      <c r="K457" s="220" t="s">
        <v>112</v>
      </c>
      <c r="L457" s="158" t="s">
        <v>1336</v>
      </c>
      <c r="M457" s="211" t="s">
        <v>177</v>
      </c>
      <c r="N457" s="158" t="s">
        <v>1350</v>
      </c>
      <c r="O457" s="8" t="s">
        <v>1882</v>
      </c>
      <c r="P457" s="158" t="s">
        <v>106</v>
      </c>
      <c r="Q457" s="158" t="s">
        <v>112</v>
      </c>
      <c r="R457" s="158">
        <v>493320.0</v>
      </c>
      <c r="S457" s="158">
        <v>9576416.0</v>
      </c>
      <c r="T457" s="162">
        <v>-3.8322378</v>
      </c>
      <c r="U457" s="162">
        <v>-75.060165</v>
      </c>
      <c r="V457" s="158" t="s">
        <v>112</v>
      </c>
      <c r="W457" s="158" t="s">
        <v>112</v>
      </c>
      <c r="X457" s="158">
        <v>0.0</v>
      </c>
      <c r="Y457" s="158" t="s">
        <v>112</v>
      </c>
      <c r="Z457" s="8" t="s">
        <v>149</v>
      </c>
      <c r="AA457" s="23" t="s">
        <v>115</v>
      </c>
      <c r="AB457" s="8"/>
      <c r="AE457" s="24"/>
      <c r="AM457" s="24"/>
    </row>
    <row r="458" ht="15.75" customHeight="1">
      <c r="A458" s="8">
        <v>90.0</v>
      </c>
      <c r="B458" s="146" t="s">
        <v>1883</v>
      </c>
      <c r="C458" s="128" t="s">
        <v>50</v>
      </c>
      <c r="D458" s="128" t="s">
        <v>89</v>
      </c>
      <c r="E458" s="128" t="s">
        <v>1005</v>
      </c>
      <c r="F458" s="146" t="s">
        <v>112</v>
      </c>
      <c r="G458" s="146" t="s">
        <v>112</v>
      </c>
      <c r="H458" s="28" t="s">
        <v>112</v>
      </c>
      <c r="I458" s="8" t="s">
        <v>63</v>
      </c>
      <c r="J458" s="128" t="s">
        <v>98</v>
      </c>
      <c r="K458" s="232" t="s">
        <v>99</v>
      </c>
      <c r="L458" s="146" t="s">
        <v>100</v>
      </c>
      <c r="M458" s="128" t="s">
        <v>150</v>
      </c>
      <c r="N458" s="128" t="s">
        <v>1884</v>
      </c>
      <c r="O458" s="8"/>
      <c r="P458" s="128" t="s">
        <v>106</v>
      </c>
      <c r="Q458" s="128" t="s">
        <v>112</v>
      </c>
      <c r="R458" s="185">
        <v>493336.0</v>
      </c>
      <c r="S458" s="185">
        <v>9579317.0</v>
      </c>
      <c r="T458" s="128">
        <v>-3.80598699</v>
      </c>
      <c r="U458" s="128">
        <v>-75.06001868</v>
      </c>
      <c r="V458" s="128" t="s">
        <v>1009</v>
      </c>
      <c r="W458" s="128" t="s">
        <v>112</v>
      </c>
      <c r="X458" s="128" t="s">
        <v>112</v>
      </c>
      <c r="Y458" s="128" t="s">
        <v>112</v>
      </c>
      <c r="Z458" s="23" t="s">
        <v>42</v>
      </c>
      <c r="AA458" s="23" t="s">
        <v>115</v>
      </c>
      <c r="AB458" s="8" t="s">
        <v>112</v>
      </c>
      <c r="AE458" s="24"/>
      <c r="AM458" s="24"/>
    </row>
    <row r="459" ht="15.75" customHeight="1">
      <c r="A459" s="8">
        <v>630.0</v>
      </c>
      <c r="B459" s="188" t="s">
        <v>1885</v>
      </c>
      <c r="C459" s="167" t="s">
        <v>48</v>
      </c>
      <c r="D459" s="181" t="s">
        <v>112</v>
      </c>
      <c r="E459" s="127" t="s">
        <v>112</v>
      </c>
      <c r="F459" s="151">
        <v>42170.0</v>
      </c>
      <c r="G459" s="183">
        <v>42156.0</v>
      </c>
      <c r="H459" s="42" t="str">
        <f t="shared" ref="H459:H469" si="29">TEXT(G459, "yyyy")</f>
        <v>2015</v>
      </c>
      <c r="I459" s="8" t="s">
        <v>186</v>
      </c>
      <c r="J459" s="149" t="s">
        <v>112</v>
      </c>
      <c r="K459" s="133" t="s">
        <v>112</v>
      </c>
      <c r="L459" s="138" t="s">
        <v>1336</v>
      </c>
      <c r="M459" s="153" t="s">
        <v>177</v>
      </c>
      <c r="N459" s="127" t="s">
        <v>112</v>
      </c>
      <c r="O459" s="8" t="s">
        <v>1886</v>
      </c>
      <c r="P459" s="163" t="s">
        <v>106</v>
      </c>
      <c r="Q459" s="149" t="s">
        <v>112</v>
      </c>
      <c r="R459" s="138">
        <v>493349.0</v>
      </c>
      <c r="S459" s="138">
        <v>9577697.0</v>
      </c>
      <c r="T459" s="127" t="s">
        <v>112</v>
      </c>
      <c r="U459" s="127" t="s">
        <v>112</v>
      </c>
      <c r="V459" s="138" t="s">
        <v>1339</v>
      </c>
      <c r="W459" s="149" t="s">
        <v>112</v>
      </c>
      <c r="X459" s="149" t="s">
        <v>112</v>
      </c>
      <c r="Y459" s="149" t="s">
        <v>112</v>
      </c>
      <c r="Z459" s="8" t="s">
        <v>69</v>
      </c>
      <c r="AA459" s="23" t="s">
        <v>115</v>
      </c>
      <c r="AB459" s="154" t="s">
        <v>316</v>
      </c>
      <c r="AE459" s="24"/>
      <c r="AM459" s="24"/>
    </row>
    <row r="460" ht="15.75" customHeight="1">
      <c r="A460" s="8">
        <v>453.0</v>
      </c>
      <c r="B460" s="163" t="s">
        <v>1887</v>
      </c>
      <c r="C460" s="163" t="s">
        <v>55</v>
      </c>
      <c r="D460" s="163" t="s">
        <v>941</v>
      </c>
      <c r="E460" s="163" t="s">
        <v>112</v>
      </c>
      <c r="F460" s="172">
        <v>40445.0</v>
      </c>
      <c r="G460" s="169">
        <v>40422.0</v>
      </c>
      <c r="H460" s="42" t="str">
        <f t="shared" si="29"/>
        <v>2010</v>
      </c>
      <c r="I460" s="8" t="s">
        <v>176</v>
      </c>
      <c r="J460" s="163" t="s">
        <v>112</v>
      </c>
      <c r="K460" s="232" t="s">
        <v>99</v>
      </c>
      <c r="L460" s="127" t="s">
        <v>1336</v>
      </c>
      <c r="M460" s="149" t="s">
        <v>177</v>
      </c>
      <c r="N460" s="143" t="s">
        <v>1888</v>
      </c>
      <c r="O460" s="108" t="s">
        <v>1889</v>
      </c>
      <c r="P460" s="163" t="s">
        <v>106</v>
      </c>
      <c r="Q460" s="181" t="s">
        <v>112</v>
      </c>
      <c r="R460" s="175">
        <v>493375.0</v>
      </c>
      <c r="S460" s="167">
        <v>9578433.0</v>
      </c>
      <c r="T460" s="176">
        <v>-3.8139902</v>
      </c>
      <c r="U460" s="176">
        <v>-75.059668</v>
      </c>
      <c r="V460" s="167" t="s">
        <v>836</v>
      </c>
      <c r="W460" s="163" t="s">
        <v>112</v>
      </c>
      <c r="X460" s="163">
        <v>1.0</v>
      </c>
      <c r="Y460" s="163" t="s">
        <v>1365</v>
      </c>
      <c r="Z460" s="47" t="s">
        <v>37</v>
      </c>
      <c r="AA460" s="23" t="s">
        <v>115</v>
      </c>
      <c r="AB460" s="8" t="s">
        <v>392</v>
      </c>
      <c r="AE460" s="24"/>
      <c r="AM460" s="24"/>
    </row>
    <row r="461" ht="15.75" customHeight="1">
      <c r="A461" s="8">
        <v>559.0</v>
      </c>
      <c r="B461" s="158" t="s">
        <v>1890</v>
      </c>
      <c r="C461" s="158" t="s">
        <v>52</v>
      </c>
      <c r="D461" s="158" t="s">
        <v>941</v>
      </c>
      <c r="E461" s="158" t="s">
        <v>112</v>
      </c>
      <c r="F461" s="159">
        <v>41707.0</v>
      </c>
      <c r="G461" s="164">
        <v>41699.0</v>
      </c>
      <c r="H461" s="20" t="str">
        <f t="shared" si="29"/>
        <v>2014</v>
      </c>
      <c r="I461" s="8" t="s">
        <v>614</v>
      </c>
      <c r="J461" s="158" t="s">
        <v>112</v>
      </c>
      <c r="K461" s="220" t="s">
        <v>112</v>
      </c>
      <c r="L461" s="158" t="s">
        <v>1336</v>
      </c>
      <c r="M461" s="157" t="s">
        <v>177</v>
      </c>
      <c r="N461" s="158" t="s">
        <v>1891</v>
      </c>
      <c r="O461" s="23" t="s">
        <v>1892</v>
      </c>
      <c r="P461" s="158" t="s">
        <v>106</v>
      </c>
      <c r="Q461" s="158" t="s">
        <v>112</v>
      </c>
      <c r="R461" s="158">
        <v>493417.0</v>
      </c>
      <c r="S461" s="158">
        <v>9578019.0</v>
      </c>
      <c r="T461" s="162">
        <v>-3.8177357</v>
      </c>
      <c r="U461" s="162">
        <v>-75.05929</v>
      </c>
      <c r="V461" s="156" t="s">
        <v>1339</v>
      </c>
      <c r="W461" s="158" t="s">
        <v>112</v>
      </c>
      <c r="X461" s="158" t="s">
        <v>112</v>
      </c>
      <c r="Y461" s="158" t="s">
        <v>112</v>
      </c>
      <c r="Z461" s="8" t="s">
        <v>149</v>
      </c>
      <c r="AA461" s="23" t="s">
        <v>115</v>
      </c>
      <c r="AB461" s="8"/>
      <c r="AE461" s="24"/>
      <c r="AM461" s="24"/>
    </row>
    <row r="462" ht="15.75" customHeight="1">
      <c r="A462" s="8">
        <v>745.0</v>
      </c>
      <c r="B462" s="188" t="s">
        <v>1893</v>
      </c>
      <c r="C462" s="167" t="s">
        <v>48</v>
      </c>
      <c r="D462" s="181" t="s">
        <v>112</v>
      </c>
      <c r="E462" s="127" t="s">
        <v>112</v>
      </c>
      <c r="F462" s="151">
        <v>42622.0</v>
      </c>
      <c r="G462" s="183">
        <v>42614.0</v>
      </c>
      <c r="H462" s="42" t="str">
        <f t="shared" si="29"/>
        <v>2016</v>
      </c>
      <c r="I462" s="8" t="s">
        <v>176</v>
      </c>
      <c r="J462" s="149" t="s">
        <v>112</v>
      </c>
      <c r="K462" s="133" t="s">
        <v>112</v>
      </c>
      <c r="L462" s="138" t="s">
        <v>1336</v>
      </c>
      <c r="M462" s="153" t="s">
        <v>177</v>
      </c>
      <c r="N462" s="127" t="s">
        <v>1894</v>
      </c>
      <c r="O462" s="8" t="s">
        <v>1895</v>
      </c>
      <c r="P462" s="163" t="s">
        <v>106</v>
      </c>
      <c r="Q462" s="149" t="s">
        <v>112</v>
      </c>
      <c r="R462" s="149">
        <v>493518.0</v>
      </c>
      <c r="S462" s="149">
        <v>9578112.0</v>
      </c>
      <c r="T462" s="127" t="s">
        <v>112</v>
      </c>
      <c r="U462" s="127" t="s">
        <v>112</v>
      </c>
      <c r="V462" s="138" t="s">
        <v>1339</v>
      </c>
      <c r="W462" s="149" t="s">
        <v>112</v>
      </c>
      <c r="X462" s="149" t="s">
        <v>112</v>
      </c>
      <c r="Y462" s="149" t="s">
        <v>112</v>
      </c>
      <c r="Z462" s="8" t="s">
        <v>69</v>
      </c>
      <c r="AA462" s="23" t="s">
        <v>115</v>
      </c>
      <c r="AB462" s="8" t="s">
        <v>320</v>
      </c>
      <c r="AE462" s="24"/>
      <c r="AM462" s="24"/>
    </row>
    <row r="463" ht="15.75" customHeight="1">
      <c r="A463" s="8">
        <v>612.0</v>
      </c>
      <c r="B463" s="166" t="s">
        <v>1896</v>
      </c>
      <c r="C463" s="158" t="s">
        <v>52</v>
      </c>
      <c r="D463" s="158" t="s">
        <v>1897</v>
      </c>
      <c r="E463" s="158" t="s">
        <v>112</v>
      </c>
      <c r="F463" s="215">
        <v>42114.0</v>
      </c>
      <c r="G463" s="164">
        <v>42095.0</v>
      </c>
      <c r="H463" s="20" t="str">
        <f t="shared" si="29"/>
        <v>2015</v>
      </c>
      <c r="I463" s="8" t="s">
        <v>614</v>
      </c>
      <c r="J463" s="158" t="s">
        <v>112</v>
      </c>
      <c r="K463" s="220" t="s">
        <v>112</v>
      </c>
      <c r="L463" s="158" t="s">
        <v>1336</v>
      </c>
      <c r="M463" s="157" t="s">
        <v>177</v>
      </c>
      <c r="N463" s="158" t="s">
        <v>1898</v>
      </c>
      <c r="O463" s="8" t="s">
        <v>1899</v>
      </c>
      <c r="P463" s="158" t="s">
        <v>106</v>
      </c>
      <c r="Q463" s="158" t="s">
        <v>112</v>
      </c>
      <c r="R463" s="158">
        <v>493578.0</v>
      </c>
      <c r="S463" s="158">
        <v>9578873.0</v>
      </c>
      <c r="T463" s="162">
        <v>-3.8100097</v>
      </c>
      <c r="U463" s="162">
        <v>-75.057839</v>
      </c>
      <c r="V463" s="156" t="s">
        <v>1339</v>
      </c>
      <c r="W463" s="158" t="s">
        <v>112</v>
      </c>
      <c r="X463" s="158" t="s">
        <v>112</v>
      </c>
      <c r="Y463" s="158" t="s">
        <v>112</v>
      </c>
      <c r="Z463" s="8" t="s">
        <v>149</v>
      </c>
      <c r="AA463" s="23" t="s">
        <v>115</v>
      </c>
      <c r="AB463" s="8" t="s">
        <v>274</v>
      </c>
      <c r="AE463" s="24"/>
      <c r="AM463" s="24"/>
    </row>
    <row r="464" ht="15.75" customHeight="1">
      <c r="A464" s="8">
        <v>933.0</v>
      </c>
      <c r="B464" s="146" t="s">
        <v>1900</v>
      </c>
      <c r="C464" s="128" t="s">
        <v>47</v>
      </c>
      <c r="D464" s="128" t="s">
        <v>482</v>
      </c>
      <c r="E464" s="128" t="s">
        <v>1901</v>
      </c>
      <c r="F464" s="146" t="s">
        <v>1902</v>
      </c>
      <c r="G464" s="225">
        <v>43132.0</v>
      </c>
      <c r="H464" s="95" t="str">
        <f t="shared" si="29"/>
        <v>2018</v>
      </c>
      <c r="I464" s="8" t="s">
        <v>97</v>
      </c>
      <c r="J464" s="128" t="s">
        <v>310</v>
      </c>
      <c r="K464" s="221" t="s">
        <v>99</v>
      </c>
      <c r="L464" s="146" t="s">
        <v>1336</v>
      </c>
      <c r="M464" s="128" t="s">
        <v>101</v>
      </c>
      <c r="N464" s="128" t="s">
        <v>1903</v>
      </c>
      <c r="O464" s="8" t="s">
        <v>1904</v>
      </c>
      <c r="P464" s="128" t="s">
        <v>106</v>
      </c>
      <c r="Q464" s="128" t="s">
        <v>112</v>
      </c>
      <c r="R464" s="128">
        <v>493631.0</v>
      </c>
      <c r="S464" s="128">
        <v>9528824.0</v>
      </c>
      <c r="T464" s="128"/>
      <c r="U464" s="128"/>
      <c r="V464" s="128" t="s">
        <v>1905</v>
      </c>
      <c r="W464" s="128" t="s">
        <v>1906</v>
      </c>
      <c r="X464" s="128" t="s">
        <v>112</v>
      </c>
      <c r="Y464" s="141" t="s">
        <v>1907</v>
      </c>
      <c r="Z464" s="8" t="s">
        <v>148</v>
      </c>
      <c r="AA464" s="23" t="s">
        <v>144</v>
      </c>
      <c r="AB464" s="8" t="s">
        <v>384</v>
      </c>
      <c r="AE464" s="24"/>
      <c r="AM464" s="24"/>
    </row>
    <row r="465" ht="15.75" customHeight="1">
      <c r="A465" s="8">
        <v>865.0</v>
      </c>
      <c r="B465" s="158" t="s">
        <v>1908</v>
      </c>
      <c r="C465" s="156" t="s">
        <v>48</v>
      </c>
      <c r="D465" s="158" t="s">
        <v>112</v>
      </c>
      <c r="E465" s="158" t="s">
        <v>112</v>
      </c>
      <c r="F465" s="186">
        <v>42997.0</v>
      </c>
      <c r="G465" s="164">
        <v>42979.0</v>
      </c>
      <c r="H465" s="20" t="str">
        <f t="shared" si="29"/>
        <v>2017</v>
      </c>
      <c r="I465" s="8" t="s">
        <v>186</v>
      </c>
      <c r="J465" s="158" t="s">
        <v>112</v>
      </c>
      <c r="K465" s="220" t="s">
        <v>112</v>
      </c>
      <c r="L465" s="156" t="s">
        <v>1336</v>
      </c>
      <c r="M465" s="190" t="s">
        <v>177</v>
      </c>
      <c r="N465" s="166" t="s">
        <v>1909</v>
      </c>
      <c r="O465" s="23" t="s">
        <v>1910</v>
      </c>
      <c r="P465" s="158" t="s">
        <v>106</v>
      </c>
      <c r="Q465" s="158" t="s">
        <v>112</v>
      </c>
      <c r="R465" s="158">
        <v>493684.2</v>
      </c>
      <c r="S465" s="158">
        <v>9576391.5</v>
      </c>
      <c r="T465" s="156">
        <v>-75.05688469</v>
      </c>
      <c r="U465" s="156">
        <v>-3.83245945</v>
      </c>
      <c r="V465" s="156" t="s">
        <v>1339</v>
      </c>
      <c r="W465" s="158" t="s">
        <v>112</v>
      </c>
      <c r="X465" s="158" t="s">
        <v>112</v>
      </c>
      <c r="Y465" s="158" t="s">
        <v>112</v>
      </c>
      <c r="Z465" s="8" t="s">
        <v>148</v>
      </c>
      <c r="AA465" s="23" t="s">
        <v>144</v>
      </c>
      <c r="AB465" s="8" t="s">
        <v>348</v>
      </c>
      <c r="AE465" s="24"/>
      <c r="AM465" s="24"/>
    </row>
    <row r="466" ht="15.75" customHeight="1">
      <c r="A466" s="8">
        <v>862.0</v>
      </c>
      <c r="B466" s="158" t="s">
        <v>1911</v>
      </c>
      <c r="C466" s="156" t="s">
        <v>48</v>
      </c>
      <c r="D466" s="158" t="s">
        <v>112</v>
      </c>
      <c r="E466" s="158" t="s">
        <v>112</v>
      </c>
      <c r="F466" s="186">
        <v>42996.0</v>
      </c>
      <c r="G466" s="164">
        <v>42979.0</v>
      </c>
      <c r="H466" s="20" t="str">
        <f t="shared" si="29"/>
        <v>2017</v>
      </c>
      <c r="I466" s="8" t="s">
        <v>186</v>
      </c>
      <c r="J466" s="158" t="s">
        <v>112</v>
      </c>
      <c r="K466" s="220" t="s">
        <v>112</v>
      </c>
      <c r="L466" s="156" t="s">
        <v>1336</v>
      </c>
      <c r="M466" s="190" t="s">
        <v>177</v>
      </c>
      <c r="N466" s="158" t="s">
        <v>1912</v>
      </c>
      <c r="O466" s="8" t="s">
        <v>1913</v>
      </c>
      <c r="P466" s="158" t="s">
        <v>106</v>
      </c>
      <c r="Q466" s="158" t="s">
        <v>112</v>
      </c>
      <c r="R466" s="158">
        <v>493726.8</v>
      </c>
      <c r="S466" s="158">
        <v>9575908.3</v>
      </c>
      <c r="T466" s="156">
        <v>-75.0565018</v>
      </c>
      <c r="U466" s="156">
        <v>-3.83683102</v>
      </c>
      <c r="V466" s="156" t="s">
        <v>1339</v>
      </c>
      <c r="W466" s="158" t="s">
        <v>112</v>
      </c>
      <c r="X466" s="158" t="s">
        <v>112</v>
      </c>
      <c r="Y466" s="158" t="s">
        <v>112</v>
      </c>
      <c r="Z466" s="8" t="s">
        <v>148</v>
      </c>
      <c r="AA466" s="23" t="s">
        <v>144</v>
      </c>
      <c r="AB466" s="8"/>
      <c r="AE466" s="24"/>
      <c r="AM466" s="24"/>
    </row>
    <row r="467" ht="15.75" customHeight="1">
      <c r="A467" s="8">
        <v>550.0</v>
      </c>
      <c r="B467" s="158" t="s">
        <v>1914</v>
      </c>
      <c r="C467" s="156" t="s">
        <v>52</v>
      </c>
      <c r="D467" s="158" t="s">
        <v>1349</v>
      </c>
      <c r="E467" s="158" t="s">
        <v>112</v>
      </c>
      <c r="F467" s="215">
        <v>41604.0</v>
      </c>
      <c r="G467" s="161">
        <v>41579.0</v>
      </c>
      <c r="H467" s="20" t="str">
        <f t="shared" si="29"/>
        <v>2013</v>
      </c>
      <c r="I467" s="8" t="s">
        <v>186</v>
      </c>
      <c r="J467" s="158" t="s">
        <v>112</v>
      </c>
      <c r="K467" s="220" t="s">
        <v>112</v>
      </c>
      <c r="L467" s="158" t="s">
        <v>1336</v>
      </c>
      <c r="M467" s="211" t="s">
        <v>177</v>
      </c>
      <c r="N467" s="158" t="s">
        <v>1350</v>
      </c>
      <c r="O467" s="8" t="s">
        <v>1915</v>
      </c>
      <c r="P467" s="158" t="s">
        <v>106</v>
      </c>
      <c r="Q467" s="158" t="s">
        <v>112</v>
      </c>
      <c r="R467" s="158">
        <v>493802.0</v>
      </c>
      <c r="S467" s="158">
        <v>9577844.0</v>
      </c>
      <c r="T467" s="162">
        <v>-3.8193191</v>
      </c>
      <c r="U467" s="162">
        <v>-75.055823</v>
      </c>
      <c r="V467" s="158" t="s">
        <v>112</v>
      </c>
      <c r="W467" s="158" t="s">
        <v>112</v>
      </c>
      <c r="X467" s="158">
        <v>0.0</v>
      </c>
      <c r="Y467" s="158" t="s">
        <v>112</v>
      </c>
      <c r="Z467" s="8" t="s">
        <v>149</v>
      </c>
      <c r="AA467" s="23" t="s">
        <v>115</v>
      </c>
      <c r="AB467" s="8"/>
      <c r="AE467" s="24"/>
      <c r="AM467" s="24"/>
    </row>
    <row r="468" ht="15.75" customHeight="1">
      <c r="A468" s="8">
        <v>548.0</v>
      </c>
      <c r="B468" s="158" t="s">
        <v>1916</v>
      </c>
      <c r="C468" s="156" t="s">
        <v>52</v>
      </c>
      <c r="D468" s="158" t="s">
        <v>1349</v>
      </c>
      <c r="E468" s="158" t="s">
        <v>112</v>
      </c>
      <c r="F468" s="215">
        <v>41604.0</v>
      </c>
      <c r="G468" s="161">
        <v>41579.0</v>
      </c>
      <c r="H468" s="20" t="str">
        <f t="shared" si="29"/>
        <v>2013</v>
      </c>
      <c r="I468" s="8" t="s">
        <v>186</v>
      </c>
      <c r="J468" s="158" t="s">
        <v>112</v>
      </c>
      <c r="K468" s="220" t="s">
        <v>112</v>
      </c>
      <c r="L468" s="158" t="s">
        <v>1336</v>
      </c>
      <c r="M468" s="211" t="s">
        <v>177</v>
      </c>
      <c r="N468" s="158" t="s">
        <v>1350</v>
      </c>
      <c r="O468" s="8" t="s">
        <v>1917</v>
      </c>
      <c r="P468" s="158" t="s">
        <v>106</v>
      </c>
      <c r="Q468" s="158" t="s">
        <v>112</v>
      </c>
      <c r="R468" s="158">
        <v>493814.0</v>
      </c>
      <c r="S468" s="158">
        <v>9575682.0</v>
      </c>
      <c r="T468" s="162">
        <v>-3.8388785</v>
      </c>
      <c r="U468" s="162">
        <v>-75.055716</v>
      </c>
      <c r="V468" s="158" t="s">
        <v>112</v>
      </c>
      <c r="W468" s="158" t="s">
        <v>112</v>
      </c>
      <c r="X468" s="158">
        <v>0.0</v>
      </c>
      <c r="Y468" s="158" t="s">
        <v>112</v>
      </c>
      <c r="Z468" s="8" t="s">
        <v>149</v>
      </c>
      <c r="AA468" s="23" t="s">
        <v>115</v>
      </c>
      <c r="AB468" s="8"/>
      <c r="AE468" s="24"/>
      <c r="AM468" s="24"/>
    </row>
    <row r="469" ht="15.75" customHeight="1">
      <c r="A469" s="8">
        <v>611.0</v>
      </c>
      <c r="B469" s="188" t="s">
        <v>1918</v>
      </c>
      <c r="C469" s="156" t="s">
        <v>48</v>
      </c>
      <c r="D469" s="157" t="s">
        <v>112</v>
      </c>
      <c r="E469" s="158" t="s">
        <v>112</v>
      </c>
      <c r="F469" s="215">
        <v>42112.0</v>
      </c>
      <c r="G469" s="160">
        <v>42095.0</v>
      </c>
      <c r="H469" s="20" t="str">
        <f t="shared" si="29"/>
        <v>2015</v>
      </c>
      <c r="I469" s="8" t="s">
        <v>186</v>
      </c>
      <c r="J469" s="157" t="s">
        <v>112</v>
      </c>
      <c r="K469" s="222" t="s">
        <v>112</v>
      </c>
      <c r="L469" s="156" t="s">
        <v>1336</v>
      </c>
      <c r="M469" s="190" t="s">
        <v>177</v>
      </c>
      <c r="N469" s="158" t="s">
        <v>112</v>
      </c>
      <c r="O469" s="8" t="s">
        <v>1919</v>
      </c>
      <c r="P469" s="158" t="s">
        <v>106</v>
      </c>
      <c r="Q469" s="157" t="s">
        <v>112</v>
      </c>
      <c r="R469" s="156">
        <v>493890.0</v>
      </c>
      <c r="S469" s="156">
        <v>9579717.0</v>
      </c>
      <c r="T469" s="162">
        <v>-3.8023743</v>
      </c>
      <c r="U469" s="162">
        <v>-75.055029</v>
      </c>
      <c r="V469" s="156" t="s">
        <v>1339</v>
      </c>
      <c r="W469" s="157" t="s">
        <v>112</v>
      </c>
      <c r="X469" s="157" t="s">
        <v>112</v>
      </c>
      <c r="Y469" s="157" t="s">
        <v>112</v>
      </c>
      <c r="Z469" s="8" t="s">
        <v>149</v>
      </c>
      <c r="AA469" s="23" t="s">
        <v>115</v>
      </c>
      <c r="AB469" s="8"/>
      <c r="AE469" s="24"/>
      <c r="AM469" s="24"/>
    </row>
    <row r="470" ht="15.75" customHeight="1">
      <c r="A470" s="52">
        <v>972.0</v>
      </c>
      <c r="B470" s="134" t="s">
        <v>1920</v>
      </c>
      <c r="C470" s="134" t="s">
        <v>47</v>
      </c>
      <c r="D470" s="134" t="s">
        <v>694</v>
      </c>
      <c r="E470" s="134" t="s">
        <v>1921</v>
      </c>
      <c r="F470" s="134" t="s">
        <v>1922</v>
      </c>
      <c r="G470" s="134" t="s">
        <v>1922</v>
      </c>
      <c r="H470" s="55">
        <v>2022.0</v>
      </c>
      <c r="I470" s="53" t="s">
        <v>97</v>
      </c>
      <c r="J470" s="134" t="s">
        <v>230</v>
      </c>
      <c r="K470" s="134" t="s">
        <v>164</v>
      </c>
      <c r="L470" s="134" t="s">
        <v>1921</v>
      </c>
      <c r="M470" s="134" t="s">
        <v>1923</v>
      </c>
      <c r="N470" s="134" t="s">
        <v>1924</v>
      </c>
      <c r="O470" s="58" t="s">
        <v>1925</v>
      </c>
      <c r="P470" s="134" t="s">
        <v>1926</v>
      </c>
      <c r="Q470" s="134"/>
      <c r="R470" s="134">
        <v>493936.0</v>
      </c>
      <c r="S470" s="134">
        <v>9.4733939E7</v>
      </c>
      <c r="T470" s="240"/>
      <c r="U470" s="240"/>
      <c r="V470" s="134" t="s">
        <v>1927</v>
      </c>
      <c r="W470" s="134"/>
      <c r="X470" s="134"/>
      <c r="Y470" s="134"/>
      <c r="Z470" s="58"/>
      <c r="AA470" s="58"/>
      <c r="AB470" s="58"/>
      <c r="AC470" s="241"/>
      <c r="AD470" s="241"/>
      <c r="AE470" s="24"/>
      <c r="AF470" s="241"/>
      <c r="AG470" s="241"/>
      <c r="AH470" s="241"/>
      <c r="AI470" s="241"/>
      <c r="AJ470" s="241"/>
      <c r="AK470" s="241"/>
      <c r="AL470" s="241"/>
      <c r="AM470" s="24"/>
      <c r="AN470" s="241"/>
      <c r="AO470" s="241"/>
      <c r="AP470" s="241"/>
      <c r="AQ470" s="241"/>
      <c r="AR470" s="241"/>
      <c r="AS470" s="241"/>
      <c r="AT470" s="241"/>
      <c r="AU470" s="241"/>
      <c r="AV470" s="241"/>
      <c r="AW470" s="241"/>
      <c r="AX470" s="241"/>
      <c r="AY470" s="241"/>
      <c r="AZ470" s="241"/>
      <c r="BA470" s="241"/>
      <c r="BB470" s="241"/>
      <c r="BC470" s="241"/>
      <c r="BD470" s="241"/>
      <c r="BE470" s="241"/>
      <c r="BF470" s="241"/>
      <c r="BG470" s="241"/>
      <c r="BH470" s="241"/>
      <c r="BI470" s="241"/>
      <c r="BJ470" s="241"/>
      <c r="BK470" s="241"/>
      <c r="BL470" s="241"/>
      <c r="BM470" s="241"/>
      <c r="BN470" s="241"/>
      <c r="BO470" s="241"/>
      <c r="BP470" s="241"/>
      <c r="BQ470" s="241"/>
      <c r="BR470" s="241"/>
      <c r="BS470" s="241"/>
      <c r="BT470" s="241"/>
      <c r="BU470" s="241"/>
      <c r="BV470" s="241"/>
      <c r="BW470" s="241"/>
      <c r="BX470" s="241"/>
      <c r="BY470" s="241"/>
    </row>
    <row r="471" ht="15.75" customHeight="1">
      <c r="A471" s="8">
        <v>622.0</v>
      </c>
      <c r="B471" s="188" t="s">
        <v>1928</v>
      </c>
      <c r="C471" s="156" t="s">
        <v>48</v>
      </c>
      <c r="D471" s="157" t="s">
        <v>112</v>
      </c>
      <c r="E471" s="158" t="s">
        <v>112</v>
      </c>
      <c r="F471" s="215">
        <v>42156.0</v>
      </c>
      <c r="G471" s="160">
        <v>42156.0</v>
      </c>
      <c r="H471" s="20" t="str">
        <f>TEXT(G471, "yyyy")</f>
        <v>2015</v>
      </c>
      <c r="I471" s="8" t="s">
        <v>186</v>
      </c>
      <c r="J471" s="157" t="s">
        <v>112</v>
      </c>
      <c r="K471" s="157" t="s">
        <v>112</v>
      </c>
      <c r="L471" s="156" t="s">
        <v>1336</v>
      </c>
      <c r="M471" s="190" t="s">
        <v>177</v>
      </c>
      <c r="N471" s="158" t="s">
        <v>1929</v>
      </c>
      <c r="O471" s="8"/>
      <c r="P471" s="158" t="s">
        <v>106</v>
      </c>
      <c r="Q471" s="157" t="s">
        <v>112</v>
      </c>
      <c r="R471" s="156">
        <v>493979.0</v>
      </c>
      <c r="S471" s="156">
        <v>9579808.0</v>
      </c>
      <c r="T471" s="162">
        <v>-3.8015511</v>
      </c>
      <c r="U471" s="162">
        <v>-75.054227</v>
      </c>
      <c r="V471" s="156" t="s">
        <v>1339</v>
      </c>
      <c r="W471" s="157" t="s">
        <v>112</v>
      </c>
      <c r="X471" s="157" t="s">
        <v>112</v>
      </c>
      <c r="Y471" s="157" t="s">
        <v>112</v>
      </c>
      <c r="Z471" s="8" t="s">
        <v>149</v>
      </c>
      <c r="AA471" s="23" t="s">
        <v>115</v>
      </c>
      <c r="AB471" s="8"/>
      <c r="AE471" s="24"/>
      <c r="AM471" s="24"/>
    </row>
    <row r="472" ht="15.75" customHeight="1">
      <c r="A472" s="242">
        <v>138.0</v>
      </c>
      <c r="B472" s="156" t="s">
        <v>1930</v>
      </c>
      <c r="C472" s="243" t="s">
        <v>52</v>
      </c>
      <c r="D472" s="243" t="s">
        <v>1931</v>
      </c>
      <c r="E472" s="243" t="s">
        <v>112</v>
      </c>
      <c r="F472" s="156" t="s">
        <v>112</v>
      </c>
      <c r="G472" s="156">
        <v>1995.0</v>
      </c>
      <c r="H472" s="28">
        <v>1995.0</v>
      </c>
      <c r="I472" s="244" t="s">
        <v>63</v>
      </c>
      <c r="J472" s="243" t="s">
        <v>112</v>
      </c>
      <c r="K472" s="141" t="s">
        <v>99</v>
      </c>
      <c r="L472" s="156" t="s">
        <v>1336</v>
      </c>
      <c r="M472" s="243" t="s">
        <v>1932</v>
      </c>
      <c r="N472" s="243" t="s">
        <v>1933</v>
      </c>
      <c r="O472" s="244" t="s">
        <v>1934</v>
      </c>
      <c r="P472" s="243" t="s">
        <v>106</v>
      </c>
      <c r="Q472" s="243" t="s">
        <v>112</v>
      </c>
      <c r="R472" s="243">
        <v>493997.0</v>
      </c>
      <c r="S472" s="243">
        <v>9579765.0</v>
      </c>
      <c r="T472" s="243" t="s">
        <v>112</v>
      </c>
      <c r="U472" s="243" t="s">
        <v>112</v>
      </c>
      <c r="V472" s="243" t="s">
        <v>112</v>
      </c>
      <c r="W472" s="243" t="s">
        <v>112</v>
      </c>
      <c r="X472" s="243">
        <v>0.0</v>
      </c>
      <c r="Y472" s="243" t="s">
        <v>112</v>
      </c>
      <c r="Z472" s="245" t="s">
        <v>42</v>
      </c>
      <c r="AA472" s="23" t="s">
        <v>115</v>
      </c>
      <c r="AB472" s="30" t="s">
        <v>227</v>
      </c>
      <c r="AE472" s="24"/>
      <c r="AM472" s="24"/>
    </row>
    <row r="473" ht="15.75" customHeight="1">
      <c r="A473" s="8">
        <v>128.0</v>
      </c>
      <c r="B473" s="146" t="s">
        <v>1935</v>
      </c>
      <c r="C473" s="128" t="s">
        <v>50</v>
      </c>
      <c r="D473" s="128" t="s">
        <v>89</v>
      </c>
      <c r="E473" s="128" t="s">
        <v>1824</v>
      </c>
      <c r="F473" s="146" t="s">
        <v>1936</v>
      </c>
      <c r="G473" s="146" t="s">
        <v>112</v>
      </c>
      <c r="H473" s="28" t="s">
        <v>112</v>
      </c>
      <c r="I473" s="8" t="s">
        <v>97</v>
      </c>
      <c r="J473" s="128" t="s">
        <v>310</v>
      </c>
      <c r="K473" s="128" t="s">
        <v>164</v>
      </c>
      <c r="L473" s="146" t="s">
        <v>1336</v>
      </c>
      <c r="M473" s="128" t="s">
        <v>101</v>
      </c>
      <c r="N473" s="128" t="s">
        <v>1937</v>
      </c>
      <c r="O473" s="8" t="s">
        <v>1938</v>
      </c>
      <c r="P473" s="128" t="s">
        <v>106</v>
      </c>
      <c r="Q473" s="128" t="s">
        <v>1939</v>
      </c>
      <c r="R473" s="128">
        <v>494011.0</v>
      </c>
      <c r="S473" s="128">
        <v>9575608.0</v>
      </c>
      <c r="T473" s="128">
        <v>-3.839541</v>
      </c>
      <c r="U473" s="128">
        <v>-75.053934</v>
      </c>
      <c r="V473" s="224" t="s">
        <v>1940</v>
      </c>
      <c r="W473" s="128" t="s">
        <v>1941</v>
      </c>
      <c r="X473" s="128">
        <v>1.0</v>
      </c>
      <c r="Y473" s="128" t="s">
        <v>1942</v>
      </c>
      <c r="Z473" s="23" t="s">
        <v>42</v>
      </c>
      <c r="AA473" s="23" t="s">
        <v>115</v>
      </c>
      <c r="AB473" s="8" t="s">
        <v>226</v>
      </c>
      <c r="AE473" s="24"/>
      <c r="AM473" s="24"/>
    </row>
    <row r="474" ht="15.75" customHeight="1">
      <c r="A474" s="8">
        <v>764.0</v>
      </c>
      <c r="B474" s="163" t="s">
        <v>1943</v>
      </c>
      <c r="C474" s="163" t="s">
        <v>52</v>
      </c>
      <c r="D474" s="181" t="s">
        <v>1944</v>
      </c>
      <c r="E474" s="163" t="s">
        <v>112</v>
      </c>
      <c r="F474" s="204">
        <v>42888.0</v>
      </c>
      <c r="G474" s="169">
        <v>42522.0</v>
      </c>
      <c r="H474" s="42" t="str">
        <f t="shared" ref="H474:H483" si="30">TEXT(G474, "yyyy")</f>
        <v>2016</v>
      </c>
      <c r="I474" s="8" t="s">
        <v>774</v>
      </c>
      <c r="J474" s="163" t="s">
        <v>112</v>
      </c>
      <c r="K474" s="163" t="s">
        <v>112</v>
      </c>
      <c r="L474" s="163" t="s">
        <v>1336</v>
      </c>
      <c r="M474" s="181" t="s">
        <v>177</v>
      </c>
      <c r="N474" s="163" t="s">
        <v>1945</v>
      </c>
      <c r="O474" s="8" t="s">
        <v>1946</v>
      </c>
      <c r="P474" s="163" t="s">
        <v>106</v>
      </c>
      <c r="Q474" s="163" t="s">
        <v>112</v>
      </c>
      <c r="R474" s="163">
        <v>494160.0</v>
      </c>
      <c r="S474" s="246">
        <v>9578156.0</v>
      </c>
      <c r="T474" s="138">
        <v>-75.05259995</v>
      </c>
      <c r="U474" s="138">
        <v>-3.81644119</v>
      </c>
      <c r="V474" s="247" t="s">
        <v>1339</v>
      </c>
      <c r="W474" s="163" t="s">
        <v>112</v>
      </c>
      <c r="X474" s="163">
        <v>1.0</v>
      </c>
      <c r="Y474" s="163" t="s">
        <v>1947</v>
      </c>
      <c r="Z474" s="8" t="s">
        <v>69</v>
      </c>
      <c r="AA474" s="23" t="s">
        <v>115</v>
      </c>
      <c r="AB474" s="8"/>
      <c r="AE474" s="24"/>
      <c r="AM474" s="24"/>
    </row>
    <row r="475" ht="15.75" customHeight="1">
      <c r="A475" s="8">
        <v>538.0</v>
      </c>
      <c r="B475" s="158" t="s">
        <v>1948</v>
      </c>
      <c r="C475" s="156" t="s">
        <v>52</v>
      </c>
      <c r="D475" s="158" t="s">
        <v>1349</v>
      </c>
      <c r="E475" s="158" t="s">
        <v>112</v>
      </c>
      <c r="F475" s="215">
        <v>41604.0</v>
      </c>
      <c r="G475" s="161">
        <v>41579.0</v>
      </c>
      <c r="H475" s="20" t="str">
        <f t="shared" si="30"/>
        <v>2013</v>
      </c>
      <c r="I475" s="8" t="s">
        <v>186</v>
      </c>
      <c r="J475" s="158" t="s">
        <v>112</v>
      </c>
      <c r="K475" s="158" t="s">
        <v>112</v>
      </c>
      <c r="L475" s="158" t="s">
        <v>1336</v>
      </c>
      <c r="M475" s="211" t="s">
        <v>177</v>
      </c>
      <c r="N475" s="158" t="s">
        <v>1350</v>
      </c>
      <c r="O475" s="8" t="s">
        <v>1949</v>
      </c>
      <c r="P475" s="158" t="s">
        <v>106</v>
      </c>
      <c r="Q475" s="158" t="s">
        <v>112</v>
      </c>
      <c r="R475" s="158">
        <v>494209.0</v>
      </c>
      <c r="S475" s="158">
        <v>9578257.0</v>
      </c>
      <c r="T475" s="162">
        <v>-3.815583</v>
      </c>
      <c r="U475" s="162">
        <v>-75.052157</v>
      </c>
      <c r="V475" s="158" t="s">
        <v>112</v>
      </c>
      <c r="W475" s="158" t="s">
        <v>112</v>
      </c>
      <c r="X475" s="158">
        <v>0.0</v>
      </c>
      <c r="Y475" s="158" t="s">
        <v>112</v>
      </c>
      <c r="Z475" s="8" t="s">
        <v>149</v>
      </c>
      <c r="AA475" s="23" t="s">
        <v>115</v>
      </c>
      <c r="AB475" s="8"/>
      <c r="AE475" s="24"/>
      <c r="AM475" s="24"/>
    </row>
    <row r="476" ht="15.75" customHeight="1">
      <c r="A476" s="8">
        <v>539.0</v>
      </c>
      <c r="B476" s="158" t="s">
        <v>1950</v>
      </c>
      <c r="C476" s="156" t="s">
        <v>52</v>
      </c>
      <c r="D476" s="158" t="s">
        <v>1349</v>
      </c>
      <c r="E476" s="158" t="s">
        <v>112</v>
      </c>
      <c r="F476" s="215">
        <v>41604.0</v>
      </c>
      <c r="G476" s="161">
        <v>41579.0</v>
      </c>
      <c r="H476" s="20" t="str">
        <f t="shared" si="30"/>
        <v>2013</v>
      </c>
      <c r="I476" s="8" t="s">
        <v>186</v>
      </c>
      <c r="J476" s="158" t="s">
        <v>112</v>
      </c>
      <c r="K476" s="158" t="s">
        <v>112</v>
      </c>
      <c r="L476" s="158" t="s">
        <v>1336</v>
      </c>
      <c r="M476" s="211" t="s">
        <v>177</v>
      </c>
      <c r="N476" s="158" t="s">
        <v>1951</v>
      </c>
      <c r="O476" s="8" t="s">
        <v>1952</v>
      </c>
      <c r="P476" s="158" t="s">
        <v>106</v>
      </c>
      <c r="Q476" s="158" t="s">
        <v>112</v>
      </c>
      <c r="R476" s="158">
        <v>494238.0</v>
      </c>
      <c r="S476" s="158">
        <v>9578222.0</v>
      </c>
      <c r="T476" s="162">
        <v>-3.8158997</v>
      </c>
      <c r="U476" s="162">
        <v>-75.051895</v>
      </c>
      <c r="V476" s="158" t="s">
        <v>112</v>
      </c>
      <c r="W476" s="158" t="s">
        <v>112</v>
      </c>
      <c r="X476" s="158">
        <v>0.0</v>
      </c>
      <c r="Y476" s="158" t="s">
        <v>112</v>
      </c>
      <c r="Z476" s="8" t="s">
        <v>149</v>
      </c>
      <c r="AA476" s="23" t="s">
        <v>115</v>
      </c>
      <c r="AB476" s="8"/>
      <c r="AE476" s="24"/>
      <c r="AM476" s="24"/>
    </row>
    <row r="477" ht="15.75" customHeight="1">
      <c r="A477" s="8">
        <v>628.0</v>
      </c>
      <c r="B477" s="188" t="s">
        <v>1953</v>
      </c>
      <c r="C477" s="167" t="s">
        <v>48</v>
      </c>
      <c r="D477" s="181" t="s">
        <v>112</v>
      </c>
      <c r="E477" s="163" t="s">
        <v>112</v>
      </c>
      <c r="F477" s="180">
        <v>42170.0</v>
      </c>
      <c r="G477" s="183">
        <v>42156.0</v>
      </c>
      <c r="H477" s="42" t="str">
        <f t="shared" si="30"/>
        <v>2015</v>
      </c>
      <c r="I477" s="8" t="s">
        <v>186</v>
      </c>
      <c r="J477" s="181" t="s">
        <v>112</v>
      </c>
      <c r="K477" s="181" t="s">
        <v>112</v>
      </c>
      <c r="L477" s="167" t="s">
        <v>1336</v>
      </c>
      <c r="M477" s="168" t="s">
        <v>177</v>
      </c>
      <c r="N477" s="163" t="s">
        <v>112</v>
      </c>
      <c r="O477" s="8" t="s">
        <v>1954</v>
      </c>
      <c r="P477" s="163" t="s">
        <v>106</v>
      </c>
      <c r="Q477" s="181" t="s">
        <v>112</v>
      </c>
      <c r="R477" s="167">
        <v>494256.0</v>
      </c>
      <c r="S477" s="248">
        <v>9578216.0</v>
      </c>
      <c r="T477" s="127" t="s">
        <v>112</v>
      </c>
      <c r="U477" s="127" t="s">
        <v>112</v>
      </c>
      <c r="V477" s="247" t="s">
        <v>1339</v>
      </c>
      <c r="W477" s="181" t="s">
        <v>112</v>
      </c>
      <c r="X477" s="181" t="s">
        <v>112</v>
      </c>
      <c r="Y477" s="181" t="s">
        <v>112</v>
      </c>
      <c r="Z477" s="8" t="s">
        <v>69</v>
      </c>
      <c r="AA477" s="23" t="s">
        <v>115</v>
      </c>
      <c r="AB477" s="154" t="s">
        <v>316</v>
      </c>
      <c r="AE477" s="24"/>
      <c r="AM477" s="24"/>
    </row>
    <row r="478" ht="15.75" customHeight="1">
      <c r="A478" s="8">
        <v>623.0</v>
      </c>
      <c r="B478" s="188" t="s">
        <v>1955</v>
      </c>
      <c r="C478" s="156" t="s">
        <v>48</v>
      </c>
      <c r="D478" s="157" t="s">
        <v>112</v>
      </c>
      <c r="E478" s="158" t="s">
        <v>112</v>
      </c>
      <c r="F478" s="215">
        <v>42156.0</v>
      </c>
      <c r="G478" s="160">
        <v>42156.0</v>
      </c>
      <c r="H478" s="20" t="str">
        <f t="shared" si="30"/>
        <v>2015</v>
      </c>
      <c r="I478" s="8" t="s">
        <v>186</v>
      </c>
      <c r="J478" s="157" t="s">
        <v>112</v>
      </c>
      <c r="K478" s="157" t="s">
        <v>112</v>
      </c>
      <c r="L478" s="156" t="s">
        <v>1336</v>
      </c>
      <c r="M478" s="190" t="s">
        <v>177</v>
      </c>
      <c r="N478" s="158" t="s">
        <v>112</v>
      </c>
      <c r="O478" s="8" t="s">
        <v>1956</v>
      </c>
      <c r="P478" s="158" t="s">
        <v>106</v>
      </c>
      <c r="Q478" s="157" t="s">
        <v>112</v>
      </c>
      <c r="R478" s="156">
        <v>494378.0</v>
      </c>
      <c r="S478" s="156">
        <v>9574512.0</v>
      </c>
      <c r="T478" s="162">
        <v>-3.8494637</v>
      </c>
      <c r="U478" s="162">
        <v>-75.050636</v>
      </c>
      <c r="V478" s="156" t="s">
        <v>1339</v>
      </c>
      <c r="W478" s="157" t="s">
        <v>112</v>
      </c>
      <c r="X478" s="157" t="s">
        <v>112</v>
      </c>
      <c r="Y478" s="157" t="s">
        <v>112</v>
      </c>
      <c r="Z478" s="8" t="s">
        <v>149</v>
      </c>
      <c r="AA478" s="23" t="s">
        <v>115</v>
      </c>
      <c r="AB478" s="8"/>
      <c r="AE478" s="24"/>
      <c r="AM478" s="24"/>
    </row>
    <row r="479" ht="15.75" customHeight="1">
      <c r="A479" s="8">
        <v>546.0</v>
      </c>
      <c r="B479" s="158" t="s">
        <v>1957</v>
      </c>
      <c r="C479" s="156" t="s">
        <v>52</v>
      </c>
      <c r="D479" s="158" t="s">
        <v>1349</v>
      </c>
      <c r="E479" s="158" t="s">
        <v>112</v>
      </c>
      <c r="F479" s="215">
        <v>41604.0</v>
      </c>
      <c r="G479" s="161">
        <v>41579.0</v>
      </c>
      <c r="H479" s="20" t="str">
        <f t="shared" si="30"/>
        <v>2013</v>
      </c>
      <c r="I479" s="8" t="s">
        <v>186</v>
      </c>
      <c r="J479" s="158" t="s">
        <v>112</v>
      </c>
      <c r="K479" s="158" t="s">
        <v>112</v>
      </c>
      <c r="L479" s="158" t="s">
        <v>1336</v>
      </c>
      <c r="M479" s="211" t="s">
        <v>177</v>
      </c>
      <c r="N479" s="158" t="s">
        <v>1350</v>
      </c>
      <c r="O479" s="8" t="s">
        <v>1958</v>
      </c>
      <c r="P479" s="158" t="s">
        <v>106</v>
      </c>
      <c r="Q479" s="158" t="s">
        <v>112</v>
      </c>
      <c r="R479" s="158">
        <v>494490.0</v>
      </c>
      <c r="S479" s="158">
        <v>9575877.0</v>
      </c>
      <c r="T479" s="162">
        <v>-3.8371148</v>
      </c>
      <c r="U479" s="162">
        <v>-75.049627</v>
      </c>
      <c r="V479" s="158" t="s">
        <v>112</v>
      </c>
      <c r="W479" s="158" t="s">
        <v>112</v>
      </c>
      <c r="X479" s="158">
        <v>0.0</v>
      </c>
      <c r="Y479" s="158" t="s">
        <v>112</v>
      </c>
      <c r="Z479" s="8" t="s">
        <v>149</v>
      </c>
      <c r="AA479" s="23" t="s">
        <v>115</v>
      </c>
      <c r="AB479" s="8"/>
      <c r="AE479" s="24"/>
      <c r="AM479" s="24"/>
    </row>
    <row r="480" ht="15.75" customHeight="1">
      <c r="A480" s="8">
        <v>277.0</v>
      </c>
      <c r="B480" s="163" t="s">
        <v>1959</v>
      </c>
      <c r="C480" s="167" t="s">
        <v>48</v>
      </c>
      <c r="D480" s="181" t="s">
        <v>112</v>
      </c>
      <c r="E480" s="163" t="s">
        <v>112</v>
      </c>
      <c r="F480" s="173">
        <v>39401.0</v>
      </c>
      <c r="G480" s="183">
        <v>39387.0</v>
      </c>
      <c r="H480" s="42" t="str">
        <f t="shared" si="30"/>
        <v>2007</v>
      </c>
      <c r="I480" s="8" t="s">
        <v>846</v>
      </c>
      <c r="J480" s="181" t="s">
        <v>112</v>
      </c>
      <c r="K480" s="181" t="s">
        <v>112</v>
      </c>
      <c r="L480" s="167" t="s">
        <v>1336</v>
      </c>
      <c r="M480" s="168" t="s">
        <v>177</v>
      </c>
      <c r="N480" s="174" t="s">
        <v>1960</v>
      </c>
      <c r="O480" s="45" t="s">
        <v>1818</v>
      </c>
      <c r="P480" s="163" t="s">
        <v>106</v>
      </c>
      <c r="Q480" s="181" t="s">
        <v>112</v>
      </c>
      <c r="R480" s="233">
        <v>494513.0</v>
      </c>
      <c r="S480" s="249">
        <v>9574541.0</v>
      </c>
      <c r="T480" s="127" t="s">
        <v>112</v>
      </c>
      <c r="U480" s="127" t="s">
        <v>112</v>
      </c>
      <c r="V480" s="247" t="s">
        <v>836</v>
      </c>
      <c r="W480" s="181" t="s">
        <v>112</v>
      </c>
      <c r="X480" s="181" t="s">
        <v>112</v>
      </c>
      <c r="Y480" s="181" t="s">
        <v>112</v>
      </c>
      <c r="Z480" s="8" t="s">
        <v>36</v>
      </c>
      <c r="AA480" s="23" t="s">
        <v>144</v>
      </c>
      <c r="AB480" s="21" t="s">
        <v>391</v>
      </c>
      <c r="AE480" s="24"/>
      <c r="AM480" s="24"/>
    </row>
    <row r="481" ht="15.75" customHeight="1">
      <c r="A481" s="8">
        <v>861.0</v>
      </c>
      <c r="B481" s="158" t="s">
        <v>1961</v>
      </c>
      <c r="C481" s="156" t="s">
        <v>48</v>
      </c>
      <c r="D481" s="158" t="s">
        <v>112</v>
      </c>
      <c r="E481" s="158" t="s">
        <v>112</v>
      </c>
      <c r="F481" s="186">
        <v>42996.0</v>
      </c>
      <c r="G481" s="164">
        <v>42979.0</v>
      </c>
      <c r="H481" s="20" t="str">
        <f t="shared" si="30"/>
        <v>2017</v>
      </c>
      <c r="I481" s="8" t="s">
        <v>186</v>
      </c>
      <c r="J481" s="158" t="s">
        <v>112</v>
      </c>
      <c r="K481" s="158" t="s">
        <v>112</v>
      </c>
      <c r="L481" s="156" t="s">
        <v>1336</v>
      </c>
      <c r="M481" s="190" t="s">
        <v>177</v>
      </c>
      <c r="N481" s="158" t="s">
        <v>1013</v>
      </c>
      <c r="O481" s="8" t="s">
        <v>1962</v>
      </c>
      <c r="P481" s="158" t="s">
        <v>106</v>
      </c>
      <c r="Q481" s="158" t="s">
        <v>112</v>
      </c>
      <c r="R481" s="158">
        <v>494518.0</v>
      </c>
      <c r="S481" s="158">
        <v>9575835.1</v>
      </c>
      <c r="T481" s="156">
        <v>-75.04937551</v>
      </c>
      <c r="U481" s="156">
        <v>-3.83749404</v>
      </c>
      <c r="V481" s="156" t="s">
        <v>1339</v>
      </c>
      <c r="W481" s="158" t="s">
        <v>112</v>
      </c>
      <c r="X481" s="158" t="s">
        <v>112</v>
      </c>
      <c r="Y481" s="158" t="s">
        <v>112</v>
      </c>
      <c r="Z481" s="8" t="s">
        <v>148</v>
      </c>
      <c r="AA481" s="23" t="s">
        <v>144</v>
      </c>
      <c r="AB481" s="8"/>
      <c r="AE481" s="24"/>
      <c r="AM481" s="24"/>
    </row>
    <row r="482" ht="15.75" customHeight="1">
      <c r="A482" s="8">
        <v>547.0</v>
      </c>
      <c r="B482" s="158" t="s">
        <v>1963</v>
      </c>
      <c r="C482" s="156" t="s">
        <v>52</v>
      </c>
      <c r="D482" s="158" t="s">
        <v>1349</v>
      </c>
      <c r="E482" s="158" t="s">
        <v>112</v>
      </c>
      <c r="F482" s="215">
        <v>41604.0</v>
      </c>
      <c r="G482" s="161">
        <v>41579.0</v>
      </c>
      <c r="H482" s="20" t="str">
        <f t="shared" si="30"/>
        <v>2013</v>
      </c>
      <c r="I482" s="8" t="s">
        <v>186</v>
      </c>
      <c r="J482" s="158" t="s">
        <v>112</v>
      </c>
      <c r="K482" s="158" t="s">
        <v>112</v>
      </c>
      <c r="L482" s="158" t="s">
        <v>1336</v>
      </c>
      <c r="M482" s="211" t="s">
        <v>177</v>
      </c>
      <c r="N482" s="158" t="s">
        <v>1350</v>
      </c>
      <c r="O482" s="8" t="s">
        <v>1964</v>
      </c>
      <c r="P482" s="158" t="s">
        <v>106</v>
      </c>
      <c r="Q482" s="158" t="s">
        <v>112</v>
      </c>
      <c r="R482" s="158">
        <v>494553.0</v>
      </c>
      <c r="S482" s="158">
        <v>9575720.0</v>
      </c>
      <c r="T482" s="162">
        <v>-3.8385352</v>
      </c>
      <c r="U482" s="162">
        <v>-75.04906</v>
      </c>
      <c r="V482" s="158" t="s">
        <v>112</v>
      </c>
      <c r="W482" s="158" t="s">
        <v>112</v>
      </c>
      <c r="X482" s="158">
        <v>0.0</v>
      </c>
      <c r="Y482" s="158" t="s">
        <v>112</v>
      </c>
      <c r="Z482" s="8" t="s">
        <v>149</v>
      </c>
      <c r="AA482" s="23" t="s">
        <v>115</v>
      </c>
      <c r="AB482" s="8"/>
      <c r="AE482" s="24"/>
      <c r="AM482" s="24"/>
    </row>
    <row r="483" ht="15.75" customHeight="1">
      <c r="A483" s="8">
        <v>860.0</v>
      </c>
      <c r="B483" s="158" t="s">
        <v>1965</v>
      </c>
      <c r="C483" s="156" t="s">
        <v>48</v>
      </c>
      <c r="D483" s="158" t="s">
        <v>112</v>
      </c>
      <c r="E483" s="158" t="s">
        <v>112</v>
      </c>
      <c r="F483" s="186">
        <v>42996.0</v>
      </c>
      <c r="G483" s="164">
        <v>42979.0</v>
      </c>
      <c r="H483" s="20" t="str">
        <f t="shared" si="30"/>
        <v>2017</v>
      </c>
      <c r="I483" s="8" t="s">
        <v>186</v>
      </c>
      <c r="J483" s="158" t="s">
        <v>112</v>
      </c>
      <c r="K483" s="158" t="s">
        <v>112</v>
      </c>
      <c r="L483" s="156" t="s">
        <v>1336</v>
      </c>
      <c r="M483" s="190" t="s">
        <v>177</v>
      </c>
      <c r="N483" s="158" t="s">
        <v>1013</v>
      </c>
      <c r="O483" s="8" t="s">
        <v>1962</v>
      </c>
      <c r="P483" s="158" t="s">
        <v>106</v>
      </c>
      <c r="Q483" s="158" t="s">
        <v>112</v>
      </c>
      <c r="R483" s="158">
        <v>494622.9</v>
      </c>
      <c r="S483" s="158">
        <v>9575860.4</v>
      </c>
      <c r="T483" s="156">
        <v>-75.04843007</v>
      </c>
      <c r="U483" s="156">
        <v>-3.8372654</v>
      </c>
      <c r="V483" s="156" t="s">
        <v>1339</v>
      </c>
      <c r="W483" s="158" t="s">
        <v>112</v>
      </c>
      <c r="X483" s="158" t="s">
        <v>112</v>
      </c>
      <c r="Y483" s="158" t="s">
        <v>112</v>
      </c>
      <c r="Z483" s="8" t="s">
        <v>148</v>
      </c>
      <c r="AA483" s="23" t="s">
        <v>144</v>
      </c>
      <c r="AB483" s="8"/>
      <c r="AE483" s="24"/>
      <c r="AM483" s="24"/>
    </row>
    <row r="484" ht="15.75" customHeight="1">
      <c r="A484" s="8">
        <v>84.0</v>
      </c>
      <c r="B484" s="146" t="s">
        <v>1966</v>
      </c>
      <c r="C484" s="128" t="s">
        <v>50</v>
      </c>
      <c r="D484" s="128" t="s">
        <v>89</v>
      </c>
      <c r="E484" s="128" t="s">
        <v>1824</v>
      </c>
      <c r="F484" s="182">
        <v>43590.0</v>
      </c>
      <c r="G484" s="146" t="s">
        <v>112</v>
      </c>
      <c r="H484" s="28" t="s">
        <v>112</v>
      </c>
      <c r="I484" s="8" t="s">
        <v>1000</v>
      </c>
      <c r="J484" s="141" t="s">
        <v>1967</v>
      </c>
      <c r="K484" s="128" t="s">
        <v>164</v>
      </c>
      <c r="L484" s="146" t="s">
        <v>1336</v>
      </c>
      <c r="M484" s="128" t="s">
        <v>101</v>
      </c>
      <c r="N484" s="128" t="s">
        <v>1968</v>
      </c>
      <c r="O484" s="23" t="s">
        <v>1969</v>
      </c>
      <c r="P484" s="128" t="s">
        <v>106</v>
      </c>
      <c r="Q484" s="128" t="s">
        <v>1970</v>
      </c>
      <c r="R484" s="185">
        <v>494631.0</v>
      </c>
      <c r="S484" s="185">
        <v>9575750.0</v>
      </c>
      <c r="T484" s="128">
        <v>-3.83826271</v>
      </c>
      <c r="U484" s="128">
        <v>-75.048349</v>
      </c>
      <c r="V484" s="128" t="s">
        <v>1971</v>
      </c>
      <c r="W484" s="128" t="s">
        <v>1972</v>
      </c>
      <c r="X484" s="128">
        <v>0.0</v>
      </c>
      <c r="Y484" s="128" t="s">
        <v>112</v>
      </c>
      <c r="Z484" s="23" t="s">
        <v>42</v>
      </c>
      <c r="AA484" s="23" t="s">
        <v>115</v>
      </c>
      <c r="AB484" s="8" t="s">
        <v>112</v>
      </c>
      <c r="AE484" s="24"/>
      <c r="AM484" s="24"/>
    </row>
    <row r="485" ht="15.75" customHeight="1">
      <c r="A485" s="8">
        <v>541.0</v>
      </c>
      <c r="B485" s="158" t="s">
        <v>1973</v>
      </c>
      <c r="C485" s="156" t="s">
        <v>52</v>
      </c>
      <c r="D485" s="158" t="s">
        <v>1349</v>
      </c>
      <c r="E485" s="158" t="s">
        <v>112</v>
      </c>
      <c r="F485" s="215">
        <v>41604.0</v>
      </c>
      <c r="G485" s="161">
        <v>41579.0</v>
      </c>
      <c r="H485" s="20" t="str">
        <f t="shared" ref="H485:H488" si="31">TEXT(G485, "yyyy")</f>
        <v>2013</v>
      </c>
      <c r="I485" s="8" t="s">
        <v>186</v>
      </c>
      <c r="J485" s="158" t="s">
        <v>112</v>
      </c>
      <c r="K485" s="158" t="s">
        <v>112</v>
      </c>
      <c r="L485" s="158" t="s">
        <v>1336</v>
      </c>
      <c r="M485" s="211" t="s">
        <v>177</v>
      </c>
      <c r="N485" s="158" t="s">
        <v>1974</v>
      </c>
      <c r="O485" s="8" t="s">
        <v>1975</v>
      </c>
      <c r="P485" s="158" t="s">
        <v>106</v>
      </c>
      <c r="Q485" s="158" t="s">
        <v>112</v>
      </c>
      <c r="R485" s="158">
        <v>494637.0</v>
      </c>
      <c r="S485" s="158">
        <v>9574334.0</v>
      </c>
      <c r="T485" s="162">
        <v>-3.8510742</v>
      </c>
      <c r="U485" s="162">
        <v>-75.048304</v>
      </c>
      <c r="V485" s="158" t="s">
        <v>112</v>
      </c>
      <c r="W485" s="158" t="s">
        <v>112</v>
      </c>
      <c r="X485" s="158">
        <v>0.0</v>
      </c>
      <c r="Y485" s="158" t="s">
        <v>112</v>
      </c>
      <c r="Z485" s="8" t="s">
        <v>149</v>
      </c>
      <c r="AA485" s="23" t="s">
        <v>115</v>
      </c>
      <c r="AB485" s="8"/>
      <c r="AE485" s="24"/>
      <c r="AM485" s="24"/>
    </row>
    <row r="486" ht="15.75" customHeight="1">
      <c r="A486" s="8">
        <v>542.0</v>
      </c>
      <c r="B486" s="158" t="s">
        <v>1976</v>
      </c>
      <c r="C486" s="156" t="s">
        <v>52</v>
      </c>
      <c r="D486" s="158" t="s">
        <v>1349</v>
      </c>
      <c r="E486" s="158" t="s">
        <v>112</v>
      </c>
      <c r="F486" s="215">
        <v>41604.0</v>
      </c>
      <c r="G486" s="161">
        <v>41579.0</v>
      </c>
      <c r="H486" s="20" t="str">
        <f t="shared" si="31"/>
        <v>2013</v>
      </c>
      <c r="I486" s="8" t="s">
        <v>186</v>
      </c>
      <c r="J486" s="158" t="s">
        <v>112</v>
      </c>
      <c r="K486" s="158" t="s">
        <v>112</v>
      </c>
      <c r="L486" s="158" t="s">
        <v>1336</v>
      </c>
      <c r="M486" s="211" t="s">
        <v>177</v>
      </c>
      <c r="N486" s="158" t="s">
        <v>1974</v>
      </c>
      <c r="O486" s="8" t="s">
        <v>1977</v>
      </c>
      <c r="P486" s="158" t="s">
        <v>106</v>
      </c>
      <c r="Q486" s="158" t="s">
        <v>112</v>
      </c>
      <c r="R486" s="158">
        <v>494637.0</v>
      </c>
      <c r="S486" s="158">
        <v>9574879.0</v>
      </c>
      <c r="T486" s="162">
        <v>-3.8461437</v>
      </c>
      <c r="U486" s="162">
        <v>-75.048303</v>
      </c>
      <c r="V486" s="158" t="s">
        <v>112</v>
      </c>
      <c r="W486" s="158" t="s">
        <v>112</v>
      </c>
      <c r="X486" s="158">
        <v>0.0</v>
      </c>
      <c r="Y486" s="158" t="s">
        <v>112</v>
      </c>
      <c r="Z486" s="8" t="s">
        <v>149</v>
      </c>
      <c r="AA486" s="23" t="s">
        <v>115</v>
      </c>
      <c r="AB486" s="8"/>
      <c r="AE486" s="24"/>
      <c r="AM486" s="24"/>
    </row>
    <row r="487" ht="15.75" customHeight="1">
      <c r="A487" s="8">
        <v>268.0</v>
      </c>
      <c r="B487" s="163" t="s">
        <v>1978</v>
      </c>
      <c r="C487" s="167" t="s">
        <v>48</v>
      </c>
      <c r="D487" s="163" t="s">
        <v>112</v>
      </c>
      <c r="E487" s="163" t="s">
        <v>112</v>
      </c>
      <c r="F487" s="173">
        <v>39303.0</v>
      </c>
      <c r="G487" s="164">
        <v>39295.0</v>
      </c>
      <c r="H487" s="42" t="str">
        <f t="shared" si="31"/>
        <v>2007</v>
      </c>
      <c r="I487" s="8" t="s">
        <v>186</v>
      </c>
      <c r="J487" s="163" t="s">
        <v>112</v>
      </c>
      <c r="K487" s="163" t="s">
        <v>112</v>
      </c>
      <c r="L487" s="167" t="s">
        <v>1336</v>
      </c>
      <c r="M487" s="173" t="s">
        <v>112</v>
      </c>
      <c r="N487" s="174" t="s">
        <v>1979</v>
      </c>
      <c r="O487" s="45" t="s">
        <v>1833</v>
      </c>
      <c r="P487" s="163" t="s">
        <v>106</v>
      </c>
      <c r="Q487" s="163" t="s">
        <v>112</v>
      </c>
      <c r="R487" s="233">
        <v>494671.0</v>
      </c>
      <c r="S487" s="249">
        <v>9575785.0</v>
      </c>
      <c r="T487" s="127" t="s">
        <v>112</v>
      </c>
      <c r="U487" s="127" t="s">
        <v>112</v>
      </c>
      <c r="V487" s="247" t="s">
        <v>1980</v>
      </c>
      <c r="W487" s="163" t="s">
        <v>112</v>
      </c>
      <c r="X487" s="163" t="s">
        <v>112</v>
      </c>
      <c r="Y487" s="163" t="s">
        <v>112</v>
      </c>
      <c r="Z487" s="8" t="s">
        <v>36</v>
      </c>
      <c r="AA487" s="23" t="s">
        <v>144</v>
      </c>
      <c r="AB487" s="21" t="s">
        <v>391</v>
      </c>
      <c r="AE487" s="24"/>
      <c r="AM487" s="24"/>
    </row>
    <row r="488" ht="15.75" customHeight="1">
      <c r="A488" s="8">
        <v>540.0</v>
      </c>
      <c r="B488" s="158" t="s">
        <v>1981</v>
      </c>
      <c r="C488" s="156" t="s">
        <v>52</v>
      </c>
      <c r="D488" s="158" t="s">
        <v>1349</v>
      </c>
      <c r="E488" s="158" t="s">
        <v>112</v>
      </c>
      <c r="F488" s="215">
        <v>41604.0</v>
      </c>
      <c r="G488" s="161">
        <v>41579.0</v>
      </c>
      <c r="H488" s="20" t="str">
        <f t="shared" si="31"/>
        <v>2013</v>
      </c>
      <c r="I488" s="8" t="s">
        <v>186</v>
      </c>
      <c r="J488" s="158" t="s">
        <v>112</v>
      </c>
      <c r="K488" s="158" t="s">
        <v>112</v>
      </c>
      <c r="L488" s="158" t="s">
        <v>1336</v>
      </c>
      <c r="M488" s="211" t="s">
        <v>177</v>
      </c>
      <c r="N488" s="158" t="s">
        <v>1350</v>
      </c>
      <c r="O488" s="8" t="s">
        <v>1982</v>
      </c>
      <c r="P488" s="158" t="s">
        <v>106</v>
      </c>
      <c r="Q488" s="158" t="s">
        <v>112</v>
      </c>
      <c r="R488" s="158">
        <v>494708.0</v>
      </c>
      <c r="S488" s="158">
        <v>9574153.0</v>
      </c>
      <c r="T488" s="162">
        <v>-3.8527117</v>
      </c>
      <c r="U488" s="162">
        <v>-75.047664</v>
      </c>
      <c r="V488" s="158" t="s">
        <v>112</v>
      </c>
      <c r="W488" s="158" t="s">
        <v>112</v>
      </c>
      <c r="X488" s="158">
        <v>0.0</v>
      </c>
      <c r="Y488" s="158" t="s">
        <v>112</v>
      </c>
      <c r="Z488" s="8" t="s">
        <v>149</v>
      </c>
      <c r="AA488" s="23" t="s">
        <v>115</v>
      </c>
      <c r="AB488" s="8"/>
      <c r="AE488" s="24"/>
      <c r="AM488" s="24"/>
    </row>
    <row r="489" ht="15.75" customHeight="1">
      <c r="A489" s="8">
        <v>131.0</v>
      </c>
      <c r="B489" s="146" t="s">
        <v>1983</v>
      </c>
      <c r="C489" s="128" t="s">
        <v>50</v>
      </c>
      <c r="D489" s="128" t="s">
        <v>89</v>
      </c>
      <c r="E489" s="128" t="s">
        <v>1824</v>
      </c>
      <c r="F489" s="146" t="s">
        <v>1984</v>
      </c>
      <c r="G489" s="146" t="s">
        <v>112</v>
      </c>
      <c r="H489" s="28" t="s">
        <v>112</v>
      </c>
      <c r="I489" s="23" t="s">
        <v>1985</v>
      </c>
      <c r="J489" s="128" t="s">
        <v>310</v>
      </c>
      <c r="K489" s="128" t="s">
        <v>164</v>
      </c>
      <c r="L489" s="146" t="s">
        <v>1336</v>
      </c>
      <c r="M489" s="128" t="s">
        <v>101</v>
      </c>
      <c r="N489" s="128" t="s">
        <v>1986</v>
      </c>
      <c r="O489" s="8" t="s">
        <v>1987</v>
      </c>
      <c r="P489" s="128" t="s">
        <v>106</v>
      </c>
      <c r="Q489" s="128" t="s">
        <v>1988</v>
      </c>
      <c r="R489" s="185">
        <v>494727.0</v>
      </c>
      <c r="S489" s="185">
        <v>9574260.0</v>
      </c>
      <c r="T489" s="128">
        <v>-3.85173874</v>
      </c>
      <c r="U489" s="128">
        <v>-75.04748539</v>
      </c>
      <c r="V489" s="224" t="s">
        <v>1940</v>
      </c>
      <c r="W489" s="128" t="s">
        <v>112</v>
      </c>
      <c r="X489" s="128">
        <v>1.0</v>
      </c>
      <c r="Y489" s="141" t="s">
        <v>1989</v>
      </c>
      <c r="Z489" s="23" t="s">
        <v>42</v>
      </c>
      <c r="AA489" s="23" t="s">
        <v>115</v>
      </c>
      <c r="AB489" s="8" t="s">
        <v>231</v>
      </c>
      <c r="AE489" s="24"/>
      <c r="AM489" s="24"/>
    </row>
    <row r="490" ht="15.75" customHeight="1">
      <c r="A490" s="242">
        <v>139.0</v>
      </c>
      <c r="B490" s="156" t="s">
        <v>1990</v>
      </c>
      <c r="C490" s="243" t="s">
        <v>52</v>
      </c>
      <c r="D490" s="243" t="s">
        <v>1931</v>
      </c>
      <c r="E490" s="243" t="s">
        <v>112</v>
      </c>
      <c r="F490" s="156" t="s">
        <v>112</v>
      </c>
      <c r="G490" s="156">
        <v>1995.0</v>
      </c>
      <c r="H490" s="28">
        <v>1995.0</v>
      </c>
      <c r="I490" s="244" t="s">
        <v>63</v>
      </c>
      <c r="J490" s="243" t="s">
        <v>112</v>
      </c>
      <c r="K490" s="141" t="s">
        <v>99</v>
      </c>
      <c r="L490" s="156" t="s">
        <v>1336</v>
      </c>
      <c r="M490" s="243" t="s">
        <v>1932</v>
      </c>
      <c r="N490" s="243" t="s">
        <v>1933</v>
      </c>
      <c r="O490" s="244" t="s">
        <v>1991</v>
      </c>
      <c r="P490" s="243" t="s">
        <v>106</v>
      </c>
      <c r="Q490" s="243" t="s">
        <v>112</v>
      </c>
      <c r="R490" s="243">
        <v>494743.0</v>
      </c>
      <c r="S490" s="243">
        <v>9579748.0</v>
      </c>
      <c r="T490" s="243" t="s">
        <v>112</v>
      </c>
      <c r="U490" s="243" t="s">
        <v>112</v>
      </c>
      <c r="V490" s="243" t="s">
        <v>112</v>
      </c>
      <c r="W490" s="243" t="s">
        <v>112</v>
      </c>
      <c r="X490" s="243">
        <v>0.0</v>
      </c>
      <c r="Y490" s="243" t="s">
        <v>112</v>
      </c>
      <c r="Z490" s="245" t="s">
        <v>42</v>
      </c>
      <c r="AA490" s="23" t="s">
        <v>115</v>
      </c>
      <c r="AB490" s="30" t="s">
        <v>227</v>
      </c>
      <c r="AE490" s="24"/>
      <c r="AM490" s="24"/>
    </row>
    <row r="491" ht="15.75" customHeight="1">
      <c r="A491" s="8">
        <v>129.0</v>
      </c>
      <c r="B491" s="146" t="s">
        <v>1992</v>
      </c>
      <c r="C491" s="128" t="s">
        <v>50</v>
      </c>
      <c r="D491" s="128" t="s">
        <v>89</v>
      </c>
      <c r="E491" s="128" t="s">
        <v>1824</v>
      </c>
      <c r="F491" s="146" t="s">
        <v>1993</v>
      </c>
      <c r="G491" s="146" t="s">
        <v>112</v>
      </c>
      <c r="H491" s="28" t="s">
        <v>112</v>
      </c>
      <c r="I491" s="23" t="s">
        <v>1000</v>
      </c>
      <c r="J491" s="128" t="s">
        <v>163</v>
      </c>
      <c r="K491" s="128" t="s">
        <v>99</v>
      </c>
      <c r="L491" s="146" t="s">
        <v>1336</v>
      </c>
      <c r="M491" s="128" t="s">
        <v>101</v>
      </c>
      <c r="N491" s="128" t="s">
        <v>1994</v>
      </c>
      <c r="O491" s="8" t="s">
        <v>1995</v>
      </c>
      <c r="P491" s="128" t="s">
        <v>106</v>
      </c>
      <c r="Q491" s="128" t="s">
        <v>1490</v>
      </c>
      <c r="R491" s="185">
        <v>494747.0</v>
      </c>
      <c r="S491" s="185">
        <v>9574305.0</v>
      </c>
      <c r="T491" s="128">
        <v>-3.85133585</v>
      </c>
      <c r="U491" s="128">
        <v>-75.04730604</v>
      </c>
      <c r="V491" s="224" t="s">
        <v>1940</v>
      </c>
      <c r="W491" s="128" t="s">
        <v>112</v>
      </c>
      <c r="X491" s="128">
        <v>1.0</v>
      </c>
      <c r="Y491" s="128" t="s">
        <v>112</v>
      </c>
      <c r="Z491" s="23" t="s">
        <v>42</v>
      </c>
      <c r="AA491" s="23" t="s">
        <v>115</v>
      </c>
      <c r="AB491" s="8" t="s">
        <v>112</v>
      </c>
      <c r="AE491" s="24"/>
      <c r="AM491" s="24"/>
    </row>
    <row r="492" ht="15.75" customHeight="1">
      <c r="A492" s="8">
        <v>609.0</v>
      </c>
      <c r="B492" s="188" t="s">
        <v>1996</v>
      </c>
      <c r="C492" s="156" t="s">
        <v>48</v>
      </c>
      <c r="D492" s="157" t="s">
        <v>112</v>
      </c>
      <c r="E492" s="158" t="s">
        <v>112</v>
      </c>
      <c r="F492" s="215">
        <v>42095.0</v>
      </c>
      <c r="G492" s="160">
        <v>42095.0</v>
      </c>
      <c r="H492" s="20" t="str">
        <f t="shared" ref="H492:H495" si="32">TEXT(G492, "yyyy")</f>
        <v>2015</v>
      </c>
      <c r="I492" s="8" t="s">
        <v>63</v>
      </c>
      <c r="J492" s="157" t="s">
        <v>112</v>
      </c>
      <c r="K492" s="157" t="s">
        <v>112</v>
      </c>
      <c r="L492" s="156" t="s">
        <v>1336</v>
      </c>
      <c r="M492" s="190" t="s">
        <v>177</v>
      </c>
      <c r="N492" s="158" t="s">
        <v>1997</v>
      </c>
      <c r="O492" s="8" t="s">
        <v>1919</v>
      </c>
      <c r="P492" s="158" t="s">
        <v>106</v>
      </c>
      <c r="Q492" s="157" t="s">
        <v>112</v>
      </c>
      <c r="R492" s="156">
        <v>494751.0</v>
      </c>
      <c r="S492" s="156">
        <v>9579802.0</v>
      </c>
      <c r="T492" s="162">
        <v>-3.8016058</v>
      </c>
      <c r="U492" s="162">
        <v>-75.047274</v>
      </c>
      <c r="V492" s="156" t="s">
        <v>1339</v>
      </c>
      <c r="W492" s="157" t="s">
        <v>112</v>
      </c>
      <c r="X492" s="157" t="s">
        <v>112</v>
      </c>
      <c r="Y492" s="157" t="s">
        <v>112</v>
      </c>
      <c r="Z492" s="8" t="s">
        <v>149</v>
      </c>
      <c r="AA492" s="23" t="s">
        <v>115</v>
      </c>
      <c r="AB492" s="8"/>
      <c r="AE492" s="24"/>
      <c r="AM492" s="24"/>
    </row>
    <row r="493" ht="15.75" customHeight="1">
      <c r="A493" s="8">
        <v>545.0</v>
      </c>
      <c r="B493" s="158" t="s">
        <v>1998</v>
      </c>
      <c r="C493" s="156" t="s">
        <v>52</v>
      </c>
      <c r="D493" s="158" t="s">
        <v>1349</v>
      </c>
      <c r="E493" s="158" t="s">
        <v>112</v>
      </c>
      <c r="F493" s="215">
        <v>41604.0</v>
      </c>
      <c r="G493" s="161">
        <v>41579.0</v>
      </c>
      <c r="H493" s="20" t="str">
        <f t="shared" si="32"/>
        <v>2013</v>
      </c>
      <c r="I493" s="8" t="s">
        <v>186</v>
      </c>
      <c r="J493" s="158" t="s">
        <v>112</v>
      </c>
      <c r="K493" s="158" t="s">
        <v>112</v>
      </c>
      <c r="L493" s="158" t="s">
        <v>1336</v>
      </c>
      <c r="M493" s="211" t="s">
        <v>177</v>
      </c>
      <c r="N493" s="158" t="s">
        <v>1350</v>
      </c>
      <c r="O493" s="8" t="s">
        <v>1999</v>
      </c>
      <c r="P493" s="158" t="s">
        <v>106</v>
      </c>
      <c r="Q493" s="158" t="s">
        <v>112</v>
      </c>
      <c r="R493" s="158">
        <v>494762.0</v>
      </c>
      <c r="S493" s="158">
        <v>9575562.0</v>
      </c>
      <c r="T493" s="162">
        <v>-3.8399647</v>
      </c>
      <c r="U493" s="162">
        <v>-75.047177</v>
      </c>
      <c r="V493" s="158" t="s">
        <v>112</v>
      </c>
      <c r="W493" s="158" t="s">
        <v>112</v>
      </c>
      <c r="X493" s="158">
        <v>0.0</v>
      </c>
      <c r="Y493" s="158" t="s">
        <v>112</v>
      </c>
      <c r="Z493" s="8" t="s">
        <v>149</v>
      </c>
      <c r="AA493" s="23" t="s">
        <v>115</v>
      </c>
      <c r="AB493" s="8"/>
      <c r="AE493" s="24"/>
      <c r="AM493" s="24"/>
    </row>
    <row r="494" ht="15.75" customHeight="1">
      <c r="A494" s="8">
        <v>859.0</v>
      </c>
      <c r="B494" s="158" t="s">
        <v>2000</v>
      </c>
      <c r="C494" s="156" t="s">
        <v>48</v>
      </c>
      <c r="D494" s="158" t="s">
        <v>112</v>
      </c>
      <c r="E494" s="158" t="s">
        <v>112</v>
      </c>
      <c r="F494" s="186">
        <v>42995.0</v>
      </c>
      <c r="G494" s="164">
        <v>42979.0</v>
      </c>
      <c r="H494" s="20" t="str">
        <f t="shared" si="32"/>
        <v>2017</v>
      </c>
      <c r="I494" s="8" t="s">
        <v>186</v>
      </c>
      <c r="J494" s="158" t="s">
        <v>112</v>
      </c>
      <c r="K494" s="158" t="s">
        <v>112</v>
      </c>
      <c r="L494" s="156" t="s">
        <v>1336</v>
      </c>
      <c r="M494" s="190" t="s">
        <v>177</v>
      </c>
      <c r="N494" s="158" t="s">
        <v>2001</v>
      </c>
      <c r="O494" s="8" t="s">
        <v>2002</v>
      </c>
      <c r="P494" s="158" t="s">
        <v>106</v>
      </c>
      <c r="Q494" s="158" t="s">
        <v>112</v>
      </c>
      <c r="R494" s="158">
        <v>494778.4</v>
      </c>
      <c r="S494" s="158">
        <v>9574922.6</v>
      </c>
      <c r="T494" s="157">
        <v>-75.04702999</v>
      </c>
      <c r="U494" s="157">
        <v>-3.84574891</v>
      </c>
      <c r="V494" s="156" t="s">
        <v>1339</v>
      </c>
      <c r="W494" s="158" t="s">
        <v>112</v>
      </c>
      <c r="X494" s="158" t="s">
        <v>112</v>
      </c>
      <c r="Y494" s="158" t="s">
        <v>112</v>
      </c>
      <c r="Z494" s="8" t="s">
        <v>148</v>
      </c>
      <c r="AA494" s="23" t="s">
        <v>144</v>
      </c>
      <c r="AB494" s="8"/>
      <c r="AE494" s="24"/>
      <c r="AM494" s="24"/>
    </row>
    <row r="495" ht="15.75" customHeight="1">
      <c r="A495" s="8">
        <v>544.0</v>
      </c>
      <c r="B495" s="158" t="s">
        <v>2003</v>
      </c>
      <c r="C495" s="156" t="s">
        <v>52</v>
      </c>
      <c r="D495" s="158" t="s">
        <v>1349</v>
      </c>
      <c r="E495" s="158" t="s">
        <v>112</v>
      </c>
      <c r="F495" s="215">
        <v>41604.0</v>
      </c>
      <c r="G495" s="161">
        <v>41579.0</v>
      </c>
      <c r="H495" s="20" t="str">
        <f t="shared" si="32"/>
        <v>2013</v>
      </c>
      <c r="I495" s="8" t="s">
        <v>186</v>
      </c>
      <c r="J495" s="158" t="s">
        <v>112</v>
      </c>
      <c r="K495" s="158" t="s">
        <v>112</v>
      </c>
      <c r="L495" s="158" t="s">
        <v>1336</v>
      </c>
      <c r="M495" s="211" t="s">
        <v>177</v>
      </c>
      <c r="N495" s="158" t="s">
        <v>1350</v>
      </c>
      <c r="O495" s="8" t="s">
        <v>2004</v>
      </c>
      <c r="P495" s="158" t="s">
        <v>106</v>
      </c>
      <c r="Q495" s="158" t="s">
        <v>112</v>
      </c>
      <c r="R495" s="158">
        <v>494843.0</v>
      </c>
      <c r="S495" s="158">
        <v>9575403.0</v>
      </c>
      <c r="T495" s="162">
        <v>-3.8414032</v>
      </c>
      <c r="U495" s="162">
        <v>-75.046448</v>
      </c>
      <c r="V495" s="158" t="s">
        <v>112</v>
      </c>
      <c r="W495" s="158" t="s">
        <v>112</v>
      </c>
      <c r="X495" s="158">
        <v>0.0</v>
      </c>
      <c r="Y495" s="158" t="s">
        <v>112</v>
      </c>
      <c r="Z495" s="8" t="s">
        <v>149</v>
      </c>
      <c r="AA495" s="23" t="s">
        <v>115</v>
      </c>
      <c r="AB495" s="8"/>
      <c r="AE495" s="24"/>
      <c r="AM495" s="24"/>
    </row>
    <row r="496" ht="15.75" customHeight="1">
      <c r="A496" s="52">
        <v>947.0</v>
      </c>
      <c r="B496" s="179" t="s">
        <v>2005</v>
      </c>
      <c r="C496" s="179" t="s">
        <v>50</v>
      </c>
      <c r="D496" s="179" t="s">
        <v>694</v>
      </c>
      <c r="E496" s="179" t="s">
        <v>2006</v>
      </c>
      <c r="F496" s="179" t="s">
        <v>2007</v>
      </c>
      <c r="G496" s="203">
        <v>43924.0</v>
      </c>
      <c r="H496" s="55">
        <v>2020.0</v>
      </c>
      <c r="I496" s="53" t="s">
        <v>97</v>
      </c>
      <c r="J496" s="179" t="s">
        <v>230</v>
      </c>
      <c r="K496" s="179" t="s">
        <v>164</v>
      </c>
      <c r="L496" s="179" t="s">
        <v>1336</v>
      </c>
      <c r="M496" s="179" t="s">
        <v>101</v>
      </c>
      <c r="N496" s="184" t="s">
        <v>2008</v>
      </c>
      <c r="O496" s="53" t="s">
        <v>2009</v>
      </c>
      <c r="P496" s="179" t="s">
        <v>106</v>
      </c>
      <c r="Q496" s="179" t="s">
        <v>112</v>
      </c>
      <c r="R496" s="179">
        <v>494865.0</v>
      </c>
      <c r="S496" s="250">
        <v>9575366.0</v>
      </c>
      <c r="T496" s="137"/>
      <c r="U496" s="134"/>
      <c r="V496" s="251" t="s">
        <v>1971</v>
      </c>
      <c r="W496" s="134"/>
      <c r="X496" s="134"/>
      <c r="Y496" s="134"/>
      <c r="Z496" s="58"/>
      <c r="AA496" s="58"/>
      <c r="AB496" s="58"/>
      <c r="AE496" s="24"/>
      <c r="AM496" s="24"/>
    </row>
    <row r="497" ht="15.75" customHeight="1">
      <c r="A497" s="8">
        <v>610.0</v>
      </c>
      <c r="B497" s="188" t="s">
        <v>2010</v>
      </c>
      <c r="C497" s="156" t="s">
        <v>48</v>
      </c>
      <c r="D497" s="157" t="s">
        <v>112</v>
      </c>
      <c r="E497" s="158" t="s">
        <v>112</v>
      </c>
      <c r="F497" s="215">
        <v>42095.0</v>
      </c>
      <c r="G497" s="160">
        <v>42095.0</v>
      </c>
      <c r="H497" s="20" t="str">
        <f t="shared" ref="H497:H506" si="33">TEXT(G497, "yyyy")</f>
        <v>2015</v>
      </c>
      <c r="I497" s="8" t="s">
        <v>186</v>
      </c>
      <c r="J497" s="157" t="s">
        <v>112</v>
      </c>
      <c r="K497" s="157" t="s">
        <v>112</v>
      </c>
      <c r="L497" s="156" t="s">
        <v>1336</v>
      </c>
      <c r="M497" s="190" t="s">
        <v>177</v>
      </c>
      <c r="N497" s="158" t="s">
        <v>2011</v>
      </c>
      <c r="O497" s="8" t="s">
        <v>2012</v>
      </c>
      <c r="P497" s="158" t="s">
        <v>106</v>
      </c>
      <c r="Q497" s="157" t="s">
        <v>112</v>
      </c>
      <c r="R497" s="156">
        <v>494894.0</v>
      </c>
      <c r="S497" s="156">
        <v>9577281.0</v>
      </c>
      <c r="T497" s="162">
        <v>-3.8244131</v>
      </c>
      <c r="U497" s="162">
        <v>-75.045988</v>
      </c>
      <c r="V497" s="156" t="s">
        <v>1339</v>
      </c>
      <c r="W497" s="157" t="s">
        <v>112</v>
      </c>
      <c r="X497" s="157" t="s">
        <v>112</v>
      </c>
      <c r="Y497" s="157" t="s">
        <v>112</v>
      </c>
      <c r="Z497" s="8" t="s">
        <v>149</v>
      </c>
      <c r="AA497" s="23" t="s">
        <v>115</v>
      </c>
      <c r="AB497" s="8"/>
      <c r="AE497" s="24"/>
      <c r="AM497" s="24"/>
    </row>
    <row r="498" ht="15.75" customHeight="1">
      <c r="A498" s="8">
        <v>364.0</v>
      </c>
      <c r="B498" s="163" t="s">
        <v>2013</v>
      </c>
      <c r="C498" s="167" t="s">
        <v>48</v>
      </c>
      <c r="D498" s="181" t="s">
        <v>112</v>
      </c>
      <c r="E498" s="163" t="s">
        <v>112</v>
      </c>
      <c r="F498" s="172">
        <v>39925.0</v>
      </c>
      <c r="G498" s="183">
        <v>39904.0</v>
      </c>
      <c r="H498" s="42" t="str">
        <f t="shared" si="33"/>
        <v>2009</v>
      </c>
      <c r="I498" s="8" t="s">
        <v>176</v>
      </c>
      <c r="J498" s="181" t="s">
        <v>112</v>
      </c>
      <c r="K498" s="141" t="s">
        <v>99</v>
      </c>
      <c r="L498" s="167" t="s">
        <v>1336</v>
      </c>
      <c r="M498" s="168" t="s">
        <v>177</v>
      </c>
      <c r="N498" s="174" t="s">
        <v>2014</v>
      </c>
      <c r="O498" s="45" t="s">
        <v>1833</v>
      </c>
      <c r="P498" s="163" t="s">
        <v>106</v>
      </c>
      <c r="Q498" s="181" t="s">
        <v>112</v>
      </c>
      <c r="R498" s="175">
        <v>494937.0</v>
      </c>
      <c r="S498" s="248">
        <v>9577063.0</v>
      </c>
      <c r="T498" s="145">
        <v>-3.8263854</v>
      </c>
      <c r="U498" s="145">
        <v>-75.0456</v>
      </c>
      <c r="V498" s="247" t="s">
        <v>836</v>
      </c>
      <c r="W498" s="181" t="s">
        <v>112</v>
      </c>
      <c r="X498" s="181" t="s">
        <v>112</v>
      </c>
      <c r="Y498" s="181" t="s">
        <v>112</v>
      </c>
      <c r="Z498" s="47" t="s">
        <v>37</v>
      </c>
      <c r="AA498" s="23" t="s">
        <v>115</v>
      </c>
      <c r="AB498" s="8" t="s">
        <v>392</v>
      </c>
      <c r="AE498" s="24"/>
      <c r="AM498" s="24"/>
    </row>
    <row r="499" ht="15.75" customHeight="1">
      <c r="A499" s="8">
        <v>621.0</v>
      </c>
      <c r="B499" s="188" t="s">
        <v>2015</v>
      </c>
      <c r="C499" s="156" t="s">
        <v>48</v>
      </c>
      <c r="D499" s="157" t="s">
        <v>112</v>
      </c>
      <c r="E499" s="158" t="s">
        <v>112</v>
      </c>
      <c r="F499" s="215">
        <v>42156.0</v>
      </c>
      <c r="G499" s="160">
        <v>42156.0</v>
      </c>
      <c r="H499" s="20" t="str">
        <f t="shared" si="33"/>
        <v>2015</v>
      </c>
      <c r="I499" s="8" t="s">
        <v>186</v>
      </c>
      <c r="J499" s="157" t="s">
        <v>112</v>
      </c>
      <c r="K499" s="157" t="s">
        <v>112</v>
      </c>
      <c r="L499" s="156" t="s">
        <v>1336</v>
      </c>
      <c r="M499" s="190" t="s">
        <v>177</v>
      </c>
      <c r="N499" s="158" t="s">
        <v>112</v>
      </c>
      <c r="O499" s="8" t="s">
        <v>2016</v>
      </c>
      <c r="P499" s="158" t="s">
        <v>106</v>
      </c>
      <c r="Q499" s="157" t="s">
        <v>112</v>
      </c>
      <c r="R499" s="156">
        <v>494951.0</v>
      </c>
      <c r="S499" s="156">
        <v>9575066.0</v>
      </c>
      <c r="T499" s="162">
        <v>-3.844452</v>
      </c>
      <c r="U499" s="162">
        <v>-75.045475</v>
      </c>
      <c r="V499" s="156" t="s">
        <v>1339</v>
      </c>
      <c r="W499" s="157" t="s">
        <v>112</v>
      </c>
      <c r="X499" s="157" t="s">
        <v>112</v>
      </c>
      <c r="Y499" s="157" t="s">
        <v>112</v>
      </c>
      <c r="Z499" s="8" t="s">
        <v>149</v>
      </c>
      <c r="AA499" s="23" t="s">
        <v>115</v>
      </c>
      <c r="AB499" s="8"/>
      <c r="AE499" s="24"/>
      <c r="AM499" s="24"/>
    </row>
    <row r="500" ht="15.75" customHeight="1">
      <c r="A500" s="8">
        <v>543.0</v>
      </c>
      <c r="B500" s="158" t="s">
        <v>2017</v>
      </c>
      <c r="C500" s="156" t="s">
        <v>52</v>
      </c>
      <c r="D500" s="158" t="s">
        <v>1349</v>
      </c>
      <c r="E500" s="158" t="s">
        <v>112</v>
      </c>
      <c r="F500" s="215">
        <v>41604.0</v>
      </c>
      <c r="G500" s="161">
        <v>41579.0</v>
      </c>
      <c r="H500" s="20" t="str">
        <f t="shared" si="33"/>
        <v>2013</v>
      </c>
      <c r="I500" s="8" t="s">
        <v>186</v>
      </c>
      <c r="J500" s="158" t="s">
        <v>112</v>
      </c>
      <c r="K500" s="158" t="s">
        <v>112</v>
      </c>
      <c r="L500" s="158" t="s">
        <v>1336</v>
      </c>
      <c r="M500" s="211" t="s">
        <v>177</v>
      </c>
      <c r="N500" s="158" t="s">
        <v>1350</v>
      </c>
      <c r="O500" s="8" t="s">
        <v>2018</v>
      </c>
      <c r="P500" s="158" t="s">
        <v>106</v>
      </c>
      <c r="Q500" s="158" t="s">
        <v>112</v>
      </c>
      <c r="R500" s="158">
        <v>494953.0</v>
      </c>
      <c r="S500" s="158">
        <v>9575161.0</v>
      </c>
      <c r="T500" s="162">
        <v>-3.8435926</v>
      </c>
      <c r="U500" s="162">
        <v>-75.045457</v>
      </c>
      <c r="V500" s="158" t="s">
        <v>112</v>
      </c>
      <c r="W500" s="158" t="s">
        <v>112</v>
      </c>
      <c r="X500" s="158">
        <v>0.0</v>
      </c>
      <c r="Y500" s="158" t="s">
        <v>112</v>
      </c>
      <c r="Z500" s="8" t="s">
        <v>149</v>
      </c>
      <c r="AA500" s="23" t="s">
        <v>115</v>
      </c>
      <c r="AB500" s="8"/>
      <c r="AE500" s="24"/>
      <c r="AM500" s="24"/>
    </row>
    <row r="501" ht="15.75" customHeight="1">
      <c r="A501" s="8">
        <v>549.0</v>
      </c>
      <c r="B501" s="158" t="s">
        <v>2019</v>
      </c>
      <c r="C501" s="156" t="s">
        <v>52</v>
      </c>
      <c r="D501" s="158" t="s">
        <v>1349</v>
      </c>
      <c r="E501" s="158" t="s">
        <v>112</v>
      </c>
      <c r="F501" s="215">
        <v>41604.0</v>
      </c>
      <c r="G501" s="161">
        <v>41579.0</v>
      </c>
      <c r="H501" s="20" t="str">
        <f t="shared" si="33"/>
        <v>2013</v>
      </c>
      <c r="I501" s="8" t="s">
        <v>186</v>
      </c>
      <c r="J501" s="158" t="s">
        <v>112</v>
      </c>
      <c r="K501" s="158" t="s">
        <v>112</v>
      </c>
      <c r="L501" s="158" t="s">
        <v>1336</v>
      </c>
      <c r="M501" s="211" t="s">
        <v>177</v>
      </c>
      <c r="N501" s="158" t="s">
        <v>1350</v>
      </c>
      <c r="O501" s="8" t="s">
        <v>2020</v>
      </c>
      <c r="P501" s="158" t="s">
        <v>106</v>
      </c>
      <c r="Q501" s="158" t="s">
        <v>112</v>
      </c>
      <c r="R501" s="158">
        <v>495040.0</v>
      </c>
      <c r="S501" s="158">
        <v>9577230.0</v>
      </c>
      <c r="T501" s="162">
        <v>-3.8248746</v>
      </c>
      <c r="U501" s="162">
        <v>-75.044673</v>
      </c>
      <c r="V501" s="158" t="s">
        <v>112</v>
      </c>
      <c r="W501" s="158" t="s">
        <v>112</v>
      </c>
      <c r="X501" s="158">
        <v>0.0</v>
      </c>
      <c r="Y501" s="158" t="s">
        <v>112</v>
      </c>
      <c r="Z501" s="8" t="s">
        <v>149</v>
      </c>
      <c r="AA501" s="23" t="s">
        <v>115</v>
      </c>
      <c r="AB501" s="8"/>
      <c r="AE501" s="24"/>
      <c r="AM501" s="24"/>
    </row>
    <row r="502" ht="15.75" customHeight="1">
      <c r="A502" s="8">
        <v>368.0</v>
      </c>
      <c r="B502" s="163" t="s">
        <v>2021</v>
      </c>
      <c r="C502" s="167" t="s">
        <v>48</v>
      </c>
      <c r="D502" s="181" t="s">
        <v>112</v>
      </c>
      <c r="E502" s="163" t="s">
        <v>112</v>
      </c>
      <c r="F502" s="172">
        <v>39962.0</v>
      </c>
      <c r="G502" s="183">
        <v>39934.0</v>
      </c>
      <c r="H502" s="42" t="str">
        <f t="shared" si="33"/>
        <v>2009</v>
      </c>
      <c r="I502" s="8" t="s">
        <v>176</v>
      </c>
      <c r="J502" s="181" t="s">
        <v>112</v>
      </c>
      <c r="K502" s="141" t="s">
        <v>99</v>
      </c>
      <c r="L502" s="167" t="s">
        <v>1336</v>
      </c>
      <c r="M502" s="168" t="s">
        <v>177</v>
      </c>
      <c r="N502" s="174" t="s">
        <v>2022</v>
      </c>
      <c r="O502" s="45" t="s">
        <v>1833</v>
      </c>
      <c r="P502" s="163" t="s">
        <v>106</v>
      </c>
      <c r="Q502" s="181" t="s">
        <v>112</v>
      </c>
      <c r="R502" s="175">
        <v>495109.0</v>
      </c>
      <c r="S502" s="248">
        <v>9576306.0</v>
      </c>
      <c r="T502" s="145">
        <v>-3.833234</v>
      </c>
      <c r="U502" s="145">
        <v>-75.044052</v>
      </c>
      <c r="V502" s="247" t="s">
        <v>836</v>
      </c>
      <c r="W502" s="181" t="s">
        <v>112</v>
      </c>
      <c r="X502" s="181" t="s">
        <v>112</v>
      </c>
      <c r="Y502" s="181" t="s">
        <v>112</v>
      </c>
      <c r="Z502" s="47" t="s">
        <v>37</v>
      </c>
      <c r="AA502" s="23" t="s">
        <v>115</v>
      </c>
      <c r="AB502" s="8" t="s">
        <v>392</v>
      </c>
      <c r="AE502" s="24"/>
      <c r="AM502" s="24"/>
    </row>
    <row r="503" ht="15.75" customHeight="1">
      <c r="A503" s="8">
        <v>653.0</v>
      </c>
      <c r="B503" s="188" t="s">
        <v>2023</v>
      </c>
      <c r="C503" s="167" t="s">
        <v>48</v>
      </c>
      <c r="D503" s="181" t="s">
        <v>112</v>
      </c>
      <c r="E503" s="163" t="s">
        <v>112</v>
      </c>
      <c r="F503" s="177">
        <v>42401.0</v>
      </c>
      <c r="G503" s="183">
        <v>42401.0</v>
      </c>
      <c r="H503" s="42" t="str">
        <f t="shared" si="33"/>
        <v>2016</v>
      </c>
      <c r="I503" s="8" t="s">
        <v>172</v>
      </c>
      <c r="J503" s="181" t="s">
        <v>112</v>
      </c>
      <c r="K503" s="181" t="s">
        <v>112</v>
      </c>
      <c r="L503" s="167" t="s">
        <v>1336</v>
      </c>
      <c r="M503" s="168" t="s">
        <v>177</v>
      </c>
      <c r="N503" s="163" t="s">
        <v>2024</v>
      </c>
      <c r="O503" s="8" t="s">
        <v>2025</v>
      </c>
      <c r="P503" s="163" t="s">
        <v>106</v>
      </c>
      <c r="Q503" s="181" t="s">
        <v>112</v>
      </c>
      <c r="R503" s="181">
        <v>495701.0</v>
      </c>
      <c r="S503" s="252">
        <v>9579330.0</v>
      </c>
      <c r="T503" s="127" t="s">
        <v>112</v>
      </c>
      <c r="U503" s="127" t="s">
        <v>112</v>
      </c>
      <c r="V503" s="247" t="s">
        <v>1339</v>
      </c>
      <c r="W503" s="181" t="s">
        <v>112</v>
      </c>
      <c r="X503" s="181" t="s">
        <v>112</v>
      </c>
      <c r="Y503" s="181" t="s">
        <v>112</v>
      </c>
      <c r="Z503" s="8" t="s">
        <v>69</v>
      </c>
      <c r="AA503" s="23" t="s">
        <v>115</v>
      </c>
      <c r="AB503" s="154" t="s">
        <v>316</v>
      </c>
      <c r="AE503" s="24"/>
      <c r="AM503" s="24"/>
    </row>
    <row r="504" ht="15.75" customHeight="1">
      <c r="A504" s="8">
        <v>626.0</v>
      </c>
      <c r="B504" s="188" t="s">
        <v>2026</v>
      </c>
      <c r="C504" s="167" t="s">
        <v>48</v>
      </c>
      <c r="D504" s="181" t="s">
        <v>112</v>
      </c>
      <c r="E504" s="163" t="s">
        <v>112</v>
      </c>
      <c r="F504" s="180">
        <v>42156.0</v>
      </c>
      <c r="G504" s="183">
        <v>42156.0</v>
      </c>
      <c r="H504" s="42" t="str">
        <f t="shared" si="33"/>
        <v>2015</v>
      </c>
      <c r="I504" s="8" t="s">
        <v>186</v>
      </c>
      <c r="J504" s="181" t="s">
        <v>112</v>
      </c>
      <c r="K504" s="181" t="s">
        <v>112</v>
      </c>
      <c r="L504" s="167" t="s">
        <v>1336</v>
      </c>
      <c r="M504" s="168" t="s">
        <v>177</v>
      </c>
      <c r="N504" s="163" t="s">
        <v>112</v>
      </c>
      <c r="O504" s="8" t="s">
        <v>1919</v>
      </c>
      <c r="P504" s="163" t="s">
        <v>106</v>
      </c>
      <c r="Q504" s="181" t="s">
        <v>112</v>
      </c>
      <c r="R504" s="167">
        <v>496012.0</v>
      </c>
      <c r="S504" s="248">
        <v>9579265.0</v>
      </c>
      <c r="T504" s="127" t="s">
        <v>112</v>
      </c>
      <c r="U504" s="127" t="s">
        <v>112</v>
      </c>
      <c r="V504" s="247" t="s">
        <v>1339</v>
      </c>
      <c r="W504" s="181" t="s">
        <v>112</v>
      </c>
      <c r="X504" s="181" t="s">
        <v>112</v>
      </c>
      <c r="Y504" s="181" t="s">
        <v>112</v>
      </c>
      <c r="Z504" s="8" t="s">
        <v>69</v>
      </c>
      <c r="AA504" s="23" t="s">
        <v>115</v>
      </c>
      <c r="AB504" s="154" t="s">
        <v>316</v>
      </c>
      <c r="AE504" s="24"/>
      <c r="AM504" s="24"/>
    </row>
    <row r="505" ht="15.75" customHeight="1">
      <c r="A505" s="8">
        <v>582.0</v>
      </c>
      <c r="B505" s="188" t="s">
        <v>2027</v>
      </c>
      <c r="C505" s="156" t="s">
        <v>48</v>
      </c>
      <c r="D505" s="157" t="s">
        <v>112</v>
      </c>
      <c r="E505" s="158" t="s">
        <v>112</v>
      </c>
      <c r="F505" s="159">
        <v>41821.0</v>
      </c>
      <c r="G505" s="160">
        <v>41821.0</v>
      </c>
      <c r="H505" s="20" t="str">
        <f t="shared" si="33"/>
        <v>2014</v>
      </c>
      <c r="I505" s="8" t="s">
        <v>63</v>
      </c>
      <c r="J505" s="157" t="s">
        <v>112</v>
      </c>
      <c r="K505" s="157" t="s">
        <v>112</v>
      </c>
      <c r="L505" s="156" t="s">
        <v>1336</v>
      </c>
      <c r="M505" s="190" t="s">
        <v>177</v>
      </c>
      <c r="N505" s="158" t="s">
        <v>2028</v>
      </c>
      <c r="O505" s="8" t="s">
        <v>2029</v>
      </c>
      <c r="P505" s="158" t="s">
        <v>106</v>
      </c>
      <c r="Q505" s="157" t="s">
        <v>112</v>
      </c>
      <c r="R505" s="156">
        <v>496069.0</v>
      </c>
      <c r="S505" s="156">
        <v>9579835.0</v>
      </c>
      <c r="T505" s="162">
        <v>-3.8013078</v>
      </c>
      <c r="U505" s="162">
        <v>-75.035404</v>
      </c>
      <c r="V505" s="158" t="s">
        <v>112</v>
      </c>
      <c r="W505" s="157" t="s">
        <v>112</v>
      </c>
      <c r="X505" s="157" t="s">
        <v>112</v>
      </c>
      <c r="Y505" s="157" t="s">
        <v>112</v>
      </c>
      <c r="Z505" s="8" t="s">
        <v>149</v>
      </c>
      <c r="AA505" s="23" t="s">
        <v>115</v>
      </c>
      <c r="AB505" s="8"/>
      <c r="AE505" s="24"/>
      <c r="AM505" s="24"/>
    </row>
    <row r="506" ht="15.75" customHeight="1">
      <c r="A506" s="253">
        <v>625.0</v>
      </c>
      <c r="B506" s="188" t="s">
        <v>2030</v>
      </c>
      <c r="C506" s="254" t="s">
        <v>48</v>
      </c>
      <c r="D506" s="255" t="s">
        <v>112</v>
      </c>
      <c r="E506" s="256" t="s">
        <v>112</v>
      </c>
      <c r="F506" s="257">
        <v>42156.0</v>
      </c>
      <c r="G506" s="258">
        <v>42156.0</v>
      </c>
      <c r="H506" s="259" t="str">
        <f t="shared" si="33"/>
        <v>2015</v>
      </c>
      <c r="I506" s="253" t="s">
        <v>186</v>
      </c>
      <c r="J506" s="255" t="s">
        <v>112</v>
      </c>
      <c r="K506" s="255" t="s">
        <v>112</v>
      </c>
      <c r="L506" s="254" t="s">
        <v>1336</v>
      </c>
      <c r="M506" s="260" t="s">
        <v>177</v>
      </c>
      <c r="N506" s="256" t="s">
        <v>112</v>
      </c>
      <c r="O506" s="253" t="s">
        <v>2031</v>
      </c>
      <c r="P506" s="256" t="s">
        <v>106</v>
      </c>
      <c r="Q506" s="255" t="s">
        <v>112</v>
      </c>
      <c r="R506" s="254">
        <v>496669.0</v>
      </c>
      <c r="S506" s="261">
        <v>9579204.0</v>
      </c>
      <c r="T506" s="262">
        <v>-3.8070166</v>
      </c>
      <c r="U506" s="262">
        <v>-75.03</v>
      </c>
      <c r="V506" s="263" t="s">
        <v>1339</v>
      </c>
      <c r="W506" s="255" t="s">
        <v>112</v>
      </c>
      <c r="X506" s="255" t="s">
        <v>112</v>
      </c>
      <c r="Y506" s="255" t="s">
        <v>112</v>
      </c>
      <c r="Z506" s="253" t="s">
        <v>149</v>
      </c>
      <c r="AA506" s="264" t="s">
        <v>115</v>
      </c>
      <c r="AB506" s="253"/>
      <c r="AE506" s="24"/>
      <c r="AM506" s="24"/>
    </row>
    <row r="507" ht="15.75" customHeight="1">
      <c r="A507" s="52">
        <v>971.0</v>
      </c>
      <c r="B507" s="208" t="s">
        <v>2032</v>
      </c>
      <c r="C507" s="134" t="s">
        <v>47</v>
      </c>
      <c r="D507" s="134" t="s">
        <v>2033</v>
      </c>
      <c r="E507" s="179" t="s">
        <v>2034</v>
      </c>
      <c r="F507" s="134" t="s">
        <v>2035</v>
      </c>
      <c r="G507" s="134" t="s">
        <v>2036</v>
      </c>
      <c r="H507" s="55">
        <v>2022.0</v>
      </c>
      <c r="I507" s="53" t="s">
        <v>97</v>
      </c>
      <c r="J507" s="134" t="s">
        <v>230</v>
      </c>
      <c r="K507" s="134" t="s">
        <v>164</v>
      </c>
      <c r="L507" s="134" t="s">
        <v>1336</v>
      </c>
      <c r="M507" s="134" t="s">
        <v>101</v>
      </c>
      <c r="N507" s="134" t="s">
        <v>2037</v>
      </c>
      <c r="O507" s="58" t="s">
        <v>2038</v>
      </c>
      <c r="P507" s="134" t="s">
        <v>699</v>
      </c>
      <c r="Q507" s="134" t="s">
        <v>2039</v>
      </c>
      <c r="R507" s="179">
        <v>501022.0</v>
      </c>
      <c r="S507" s="134">
        <v>9515876.0</v>
      </c>
      <c r="T507" s="137"/>
      <c r="U507" s="137"/>
      <c r="V507" s="134" t="s">
        <v>2040</v>
      </c>
      <c r="W507" s="134"/>
      <c r="X507" s="134"/>
      <c r="Y507" s="134"/>
      <c r="Z507" s="58"/>
      <c r="AA507" s="58"/>
      <c r="AB507" s="58"/>
      <c r="AE507" s="24"/>
      <c r="AM507" s="24"/>
    </row>
    <row r="508" ht="15.75" customHeight="1">
      <c r="A508" s="8">
        <v>741.0</v>
      </c>
      <c r="B508" s="163" t="s">
        <v>2041</v>
      </c>
      <c r="C508" s="163" t="s">
        <v>52</v>
      </c>
      <c r="D508" s="163" t="s">
        <v>523</v>
      </c>
      <c r="E508" s="163" t="s">
        <v>112</v>
      </c>
      <c r="F508" s="189" t="s">
        <v>2042</v>
      </c>
      <c r="G508" s="169">
        <v>42583.0</v>
      </c>
      <c r="H508" s="42" t="str">
        <f t="shared" ref="H508:H516" si="34">TEXT(G508, "yyyy")</f>
        <v>2016</v>
      </c>
      <c r="I508" s="8" t="s">
        <v>176</v>
      </c>
      <c r="J508" s="163" t="s">
        <v>112</v>
      </c>
      <c r="K508" s="163" t="s">
        <v>112</v>
      </c>
      <c r="L508" s="163" t="s">
        <v>1336</v>
      </c>
      <c r="M508" s="181" t="s">
        <v>177</v>
      </c>
      <c r="N508" s="167" t="s">
        <v>2043</v>
      </c>
      <c r="O508" s="8" t="s">
        <v>2044</v>
      </c>
      <c r="P508" s="163" t="s">
        <v>106</v>
      </c>
      <c r="Q508" s="163" t="s">
        <v>112</v>
      </c>
      <c r="R508" s="163">
        <v>507484.0</v>
      </c>
      <c r="S508" s="246">
        <v>9494842.0</v>
      </c>
      <c r="T508" s="127" t="s">
        <v>112</v>
      </c>
      <c r="U508" s="127" t="s">
        <v>112</v>
      </c>
      <c r="V508" s="247" t="s">
        <v>1339</v>
      </c>
      <c r="W508" s="163" t="s">
        <v>112</v>
      </c>
      <c r="X508" s="163" t="s">
        <v>112</v>
      </c>
      <c r="Y508" s="163" t="s">
        <v>112</v>
      </c>
      <c r="Z508" s="8" t="s">
        <v>69</v>
      </c>
      <c r="AA508" s="23" t="s">
        <v>115</v>
      </c>
      <c r="AB508" s="8" t="s">
        <v>378</v>
      </c>
      <c r="AE508" s="24"/>
      <c r="AM508" s="24"/>
    </row>
    <row r="509" ht="15.75" customHeight="1">
      <c r="A509" s="8">
        <v>758.0</v>
      </c>
      <c r="B509" s="163" t="s">
        <v>2045</v>
      </c>
      <c r="C509" s="167" t="s">
        <v>48</v>
      </c>
      <c r="D509" s="181" t="s">
        <v>112</v>
      </c>
      <c r="E509" s="163" t="s">
        <v>112</v>
      </c>
      <c r="F509" s="189" t="s">
        <v>2046</v>
      </c>
      <c r="G509" s="183">
        <v>42675.0</v>
      </c>
      <c r="H509" s="42" t="str">
        <f t="shared" si="34"/>
        <v>2016</v>
      </c>
      <c r="I509" s="8" t="s">
        <v>186</v>
      </c>
      <c r="J509" s="181" t="s">
        <v>112</v>
      </c>
      <c r="K509" s="181" t="s">
        <v>112</v>
      </c>
      <c r="L509" s="167" t="s">
        <v>100</v>
      </c>
      <c r="M509" s="173" t="s">
        <v>177</v>
      </c>
      <c r="N509" s="163" t="s">
        <v>2047</v>
      </c>
      <c r="O509" s="8" t="s">
        <v>2048</v>
      </c>
      <c r="P509" s="163" t="s">
        <v>106</v>
      </c>
      <c r="Q509" s="181" t="s">
        <v>112</v>
      </c>
      <c r="R509" s="163">
        <v>3652471.0</v>
      </c>
      <c r="S509" s="246">
        <v>9696661.0</v>
      </c>
      <c r="T509" s="149">
        <v>-76.21220737</v>
      </c>
      <c r="U509" s="149">
        <v>-2.74380561</v>
      </c>
      <c r="V509" s="247" t="s">
        <v>900</v>
      </c>
      <c r="W509" s="181" t="s">
        <v>112</v>
      </c>
      <c r="X509" s="181" t="s">
        <v>112</v>
      </c>
      <c r="Y509" s="181" t="s">
        <v>112</v>
      </c>
      <c r="Z509" s="8" t="s">
        <v>69</v>
      </c>
      <c r="AA509" s="23" t="s">
        <v>115</v>
      </c>
      <c r="AB509" s="8" t="s">
        <v>378</v>
      </c>
      <c r="AE509" s="24"/>
      <c r="AM509" s="24"/>
    </row>
    <row r="510" ht="15.75" customHeight="1">
      <c r="A510" s="8">
        <v>754.0</v>
      </c>
      <c r="B510" s="163" t="s">
        <v>2049</v>
      </c>
      <c r="C510" s="167" t="s">
        <v>48</v>
      </c>
      <c r="D510" s="181" t="s">
        <v>112</v>
      </c>
      <c r="E510" s="163" t="s">
        <v>112</v>
      </c>
      <c r="F510" s="189" t="s">
        <v>795</v>
      </c>
      <c r="G510" s="183">
        <v>42675.0</v>
      </c>
      <c r="H510" s="42" t="str">
        <f t="shared" si="34"/>
        <v>2016</v>
      </c>
      <c r="I510" s="8" t="s">
        <v>186</v>
      </c>
      <c r="J510" s="181" t="s">
        <v>112</v>
      </c>
      <c r="K510" s="181" t="s">
        <v>112</v>
      </c>
      <c r="L510" s="163" t="s">
        <v>100</v>
      </c>
      <c r="M510" s="173" t="s">
        <v>112</v>
      </c>
      <c r="N510" s="163" t="s">
        <v>2050</v>
      </c>
      <c r="O510" s="8" t="s">
        <v>2051</v>
      </c>
      <c r="P510" s="163" t="s">
        <v>106</v>
      </c>
      <c r="Q510" s="181" t="s">
        <v>112</v>
      </c>
      <c r="R510" s="163">
        <v>3660909.0</v>
      </c>
      <c r="S510" s="246">
        <v>9695742.0</v>
      </c>
      <c r="T510" s="127" t="s">
        <v>112</v>
      </c>
      <c r="U510" s="127" t="s">
        <v>112</v>
      </c>
      <c r="V510" s="247" t="s">
        <v>900</v>
      </c>
      <c r="W510" s="181" t="s">
        <v>112</v>
      </c>
      <c r="X510" s="181" t="s">
        <v>112</v>
      </c>
      <c r="Y510" s="181" t="s">
        <v>112</v>
      </c>
      <c r="Z510" s="8" t="s">
        <v>69</v>
      </c>
      <c r="AA510" s="23" t="s">
        <v>115</v>
      </c>
      <c r="AB510" s="8" t="s">
        <v>378</v>
      </c>
      <c r="AE510" s="24"/>
      <c r="AM510" s="24"/>
    </row>
    <row r="511" ht="15.75" customHeight="1">
      <c r="A511" s="8">
        <v>762.0</v>
      </c>
      <c r="B511" s="163" t="s">
        <v>2052</v>
      </c>
      <c r="C511" s="167" t="s">
        <v>48</v>
      </c>
      <c r="D511" s="181" t="s">
        <v>112</v>
      </c>
      <c r="E511" s="163" t="s">
        <v>112</v>
      </c>
      <c r="F511" s="177">
        <v>42734.0</v>
      </c>
      <c r="G511" s="183">
        <v>42705.0</v>
      </c>
      <c r="H511" s="42" t="str">
        <f t="shared" si="34"/>
        <v>2016</v>
      </c>
      <c r="I511" s="8" t="s">
        <v>63</v>
      </c>
      <c r="J511" s="181" t="s">
        <v>112</v>
      </c>
      <c r="K511" s="181" t="s">
        <v>112</v>
      </c>
      <c r="L511" s="167" t="s">
        <v>100</v>
      </c>
      <c r="M511" s="168" t="s">
        <v>513</v>
      </c>
      <c r="N511" s="163" t="s">
        <v>112</v>
      </c>
      <c r="O511" s="8" t="s">
        <v>2053</v>
      </c>
      <c r="P511" s="163" t="s">
        <v>106</v>
      </c>
      <c r="Q511" s="181" t="s">
        <v>112</v>
      </c>
      <c r="R511" s="167">
        <v>3662281.0</v>
      </c>
      <c r="S511" s="248">
        <v>9695847.0</v>
      </c>
      <c r="T511" s="138" t="s">
        <v>112</v>
      </c>
      <c r="U511" s="138" t="s">
        <v>112</v>
      </c>
      <c r="V511" s="247" t="s">
        <v>673</v>
      </c>
      <c r="W511" s="181" t="s">
        <v>112</v>
      </c>
      <c r="X511" s="181" t="s">
        <v>112</v>
      </c>
      <c r="Y511" s="181" t="s">
        <v>112</v>
      </c>
      <c r="Z511" s="8" t="s">
        <v>69</v>
      </c>
      <c r="AA511" s="23" t="s">
        <v>115</v>
      </c>
      <c r="AB511" s="8"/>
      <c r="AE511" s="24"/>
      <c r="AM511" s="24"/>
    </row>
    <row r="512" ht="15.75" customHeight="1">
      <c r="A512" s="8">
        <v>759.0</v>
      </c>
      <c r="B512" s="163" t="s">
        <v>2054</v>
      </c>
      <c r="C512" s="167" t="s">
        <v>48</v>
      </c>
      <c r="D512" s="181" t="s">
        <v>112</v>
      </c>
      <c r="E512" s="163" t="s">
        <v>112</v>
      </c>
      <c r="F512" s="189" t="s">
        <v>2046</v>
      </c>
      <c r="G512" s="183">
        <v>42675.0</v>
      </c>
      <c r="H512" s="42" t="str">
        <f t="shared" si="34"/>
        <v>2016</v>
      </c>
      <c r="I512" s="8" t="s">
        <v>63</v>
      </c>
      <c r="J512" s="181" t="s">
        <v>112</v>
      </c>
      <c r="K512" s="181" t="s">
        <v>112</v>
      </c>
      <c r="L512" s="167" t="s">
        <v>100</v>
      </c>
      <c r="M512" s="173" t="s">
        <v>177</v>
      </c>
      <c r="N512" s="163" t="s">
        <v>2055</v>
      </c>
      <c r="O512" s="8" t="s">
        <v>2056</v>
      </c>
      <c r="P512" s="163" t="s">
        <v>106</v>
      </c>
      <c r="Q512" s="181" t="s">
        <v>112</v>
      </c>
      <c r="R512" s="163">
        <v>3671871.0</v>
      </c>
      <c r="S512" s="246">
        <v>9696496.0</v>
      </c>
      <c r="T512" s="149">
        <v>-76.19477494</v>
      </c>
      <c r="U512" s="149">
        <v>-2.74527639</v>
      </c>
      <c r="V512" s="247" t="s">
        <v>900</v>
      </c>
      <c r="W512" s="181" t="s">
        <v>112</v>
      </c>
      <c r="X512" s="181" t="s">
        <v>112</v>
      </c>
      <c r="Y512" s="181" t="s">
        <v>112</v>
      </c>
      <c r="Z512" s="8" t="s">
        <v>69</v>
      </c>
      <c r="AA512" s="23" t="s">
        <v>115</v>
      </c>
      <c r="AB512" s="8" t="s">
        <v>378</v>
      </c>
      <c r="AE512" s="24"/>
      <c r="AM512" s="24"/>
    </row>
    <row r="513" ht="15.75" customHeight="1">
      <c r="A513" s="8">
        <v>450.0</v>
      </c>
      <c r="B513" s="163" t="s">
        <v>2057</v>
      </c>
      <c r="C513" s="167" t="s">
        <v>48</v>
      </c>
      <c r="D513" s="163" t="s">
        <v>112</v>
      </c>
      <c r="E513" s="163" t="s">
        <v>112</v>
      </c>
      <c r="F513" s="172">
        <v>40346.0</v>
      </c>
      <c r="G513" s="169">
        <v>40330.0</v>
      </c>
      <c r="H513" s="42" t="str">
        <f t="shared" si="34"/>
        <v>2010</v>
      </c>
      <c r="I513" s="8" t="s">
        <v>846</v>
      </c>
      <c r="J513" s="163" t="s">
        <v>112</v>
      </c>
      <c r="K513" s="141" t="s">
        <v>99</v>
      </c>
      <c r="L513" s="167" t="s">
        <v>100</v>
      </c>
      <c r="M513" s="173" t="s">
        <v>177</v>
      </c>
      <c r="N513" s="174" t="s">
        <v>876</v>
      </c>
      <c r="O513" s="45" t="s">
        <v>785</v>
      </c>
      <c r="P513" s="163" t="s">
        <v>106</v>
      </c>
      <c r="Q513" s="163" t="s">
        <v>112</v>
      </c>
      <c r="R513" s="163" t="s">
        <v>112</v>
      </c>
      <c r="S513" s="248" t="s">
        <v>112</v>
      </c>
      <c r="T513" s="127" t="s">
        <v>112</v>
      </c>
      <c r="U513" s="127" t="s">
        <v>112</v>
      </c>
      <c r="V513" s="247" t="s">
        <v>2058</v>
      </c>
      <c r="W513" s="163" t="s">
        <v>112</v>
      </c>
      <c r="X513" s="163" t="s">
        <v>112</v>
      </c>
      <c r="Y513" s="163" t="s">
        <v>112</v>
      </c>
      <c r="Z513" s="47" t="s">
        <v>37</v>
      </c>
      <c r="AA513" s="23" t="s">
        <v>115</v>
      </c>
      <c r="AB513" s="8" t="s">
        <v>392</v>
      </c>
      <c r="AE513" s="24"/>
      <c r="AM513" s="24"/>
    </row>
    <row r="514" ht="15.75" customHeight="1">
      <c r="A514" s="8">
        <v>822.0</v>
      </c>
      <c r="B514" s="158" t="s">
        <v>2059</v>
      </c>
      <c r="C514" s="158" t="s">
        <v>57</v>
      </c>
      <c r="D514" s="158" t="s">
        <v>213</v>
      </c>
      <c r="E514" s="158" t="s">
        <v>112</v>
      </c>
      <c r="F514" s="205">
        <v>42870.0</v>
      </c>
      <c r="G514" s="164">
        <v>42856.0</v>
      </c>
      <c r="H514" s="20" t="str">
        <f t="shared" si="34"/>
        <v>2017</v>
      </c>
      <c r="I514" s="8" t="s">
        <v>186</v>
      </c>
      <c r="J514" s="158" t="s">
        <v>112</v>
      </c>
      <c r="K514" s="158" t="s">
        <v>112</v>
      </c>
      <c r="L514" s="158" t="s">
        <v>100</v>
      </c>
      <c r="M514" s="206" t="s">
        <v>112</v>
      </c>
      <c r="N514" s="170" t="s">
        <v>2060</v>
      </c>
      <c r="O514" s="23" t="s">
        <v>2061</v>
      </c>
      <c r="P514" s="158" t="s">
        <v>106</v>
      </c>
      <c r="Q514" s="158" t="s">
        <v>112</v>
      </c>
      <c r="R514" s="158" t="s">
        <v>112</v>
      </c>
      <c r="S514" s="158" t="s">
        <v>112</v>
      </c>
      <c r="T514" s="158">
        <v>-75.80296907</v>
      </c>
      <c r="U514" s="158">
        <v>-2.38837222</v>
      </c>
      <c r="V514" s="158" t="s">
        <v>2062</v>
      </c>
      <c r="W514" s="158" t="s">
        <v>112</v>
      </c>
      <c r="X514" s="158" t="s">
        <v>112</v>
      </c>
      <c r="Y514" s="158" t="s">
        <v>112</v>
      </c>
      <c r="Z514" s="8" t="s">
        <v>148</v>
      </c>
      <c r="AA514" s="23" t="s">
        <v>115</v>
      </c>
      <c r="AB514" s="8" t="s">
        <v>385</v>
      </c>
      <c r="AE514" s="24"/>
      <c r="AM514" s="24"/>
    </row>
    <row r="515" ht="15.75" customHeight="1">
      <c r="A515" s="8">
        <v>853.0</v>
      </c>
      <c r="B515" s="188" t="s">
        <v>2063</v>
      </c>
      <c r="C515" s="156" t="s">
        <v>48</v>
      </c>
      <c r="D515" s="157" t="s">
        <v>112</v>
      </c>
      <c r="E515" s="158" t="s">
        <v>112</v>
      </c>
      <c r="F515" s="186">
        <v>42956.0</v>
      </c>
      <c r="G515" s="160">
        <v>42948.0</v>
      </c>
      <c r="H515" s="20" t="str">
        <f t="shared" si="34"/>
        <v>2017</v>
      </c>
      <c r="I515" s="8" t="s">
        <v>176</v>
      </c>
      <c r="J515" s="157" t="s">
        <v>112</v>
      </c>
      <c r="K515" s="157" t="s">
        <v>112</v>
      </c>
      <c r="L515" s="156" t="s">
        <v>100</v>
      </c>
      <c r="M515" s="190" t="s">
        <v>513</v>
      </c>
      <c r="N515" s="158" t="s">
        <v>2064</v>
      </c>
      <c r="O515" s="8" t="s">
        <v>2065</v>
      </c>
      <c r="P515" s="158" t="s">
        <v>106</v>
      </c>
      <c r="Q515" s="157" t="s">
        <v>112</v>
      </c>
      <c r="R515" s="156" t="s">
        <v>112</v>
      </c>
      <c r="S515" s="156" t="s">
        <v>112</v>
      </c>
      <c r="T515" s="156" t="s">
        <v>112</v>
      </c>
      <c r="U515" s="156" t="s">
        <v>112</v>
      </c>
      <c r="V515" s="156" t="s">
        <v>2066</v>
      </c>
      <c r="W515" s="157" t="s">
        <v>112</v>
      </c>
      <c r="X515" s="157" t="s">
        <v>112</v>
      </c>
      <c r="Y515" s="157" t="s">
        <v>112</v>
      </c>
      <c r="Z515" s="8" t="s">
        <v>148</v>
      </c>
      <c r="AA515" s="23" t="s">
        <v>115</v>
      </c>
      <c r="AB515" s="8" t="s">
        <v>383</v>
      </c>
      <c r="AE515" s="24"/>
      <c r="AM515" s="24"/>
    </row>
    <row r="516" ht="15.75" customHeight="1">
      <c r="A516" s="8">
        <v>136.0</v>
      </c>
      <c r="B516" s="158" t="s">
        <v>2067</v>
      </c>
      <c r="C516" s="158" t="s">
        <v>57</v>
      </c>
      <c r="D516" s="158" t="s">
        <v>112</v>
      </c>
      <c r="E516" s="158" t="s">
        <v>112</v>
      </c>
      <c r="F516" s="158">
        <v>1987.0</v>
      </c>
      <c r="G516" s="164">
        <v>31959.0</v>
      </c>
      <c r="H516" s="20" t="str">
        <f t="shared" si="34"/>
        <v>1987</v>
      </c>
      <c r="I516" s="8" t="s">
        <v>176</v>
      </c>
      <c r="J516" s="158" t="s">
        <v>112</v>
      </c>
      <c r="K516" s="141" t="s">
        <v>99</v>
      </c>
      <c r="L516" s="158" t="s">
        <v>100</v>
      </c>
      <c r="M516" s="265" t="s">
        <v>187</v>
      </c>
      <c r="N516" s="266" t="s">
        <v>2068</v>
      </c>
      <c r="O516" s="21" t="s">
        <v>2069</v>
      </c>
      <c r="P516" s="158" t="s">
        <v>106</v>
      </c>
      <c r="Q516" s="158" t="s">
        <v>112</v>
      </c>
      <c r="R516" s="158" t="s">
        <v>112</v>
      </c>
      <c r="S516" s="158" t="s">
        <v>112</v>
      </c>
      <c r="T516" s="158" t="s">
        <v>112</v>
      </c>
      <c r="U516" s="158" t="s">
        <v>112</v>
      </c>
      <c r="V516" s="267" t="s">
        <v>2070</v>
      </c>
      <c r="W516" s="158" t="s">
        <v>112</v>
      </c>
      <c r="X516" s="158" t="s">
        <v>112</v>
      </c>
      <c r="Y516" s="158" t="s">
        <v>112</v>
      </c>
      <c r="Z516" s="23" t="s">
        <v>42</v>
      </c>
      <c r="AA516" s="23" t="s">
        <v>115</v>
      </c>
      <c r="AB516" s="8" t="s">
        <v>382</v>
      </c>
      <c r="AE516" s="24"/>
      <c r="AM516" s="24"/>
    </row>
    <row r="517" ht="15.75" customHeight="1">
      <c r="A517" s="8">
        <v>143.0</v>
      </c>
      <c r="B517" s="158" t="s">
        <v>2071</v>
      </c>
      <c r="C517" s="156" t="s">
        <v>57</v>
      </c>
      <c r="D517" s="158" t="s">
        <v>112</v>
      </c>
      <c r="E517" s="158" t="s">
        <v>112</v>
      </c>
      <c r="F517" s="190" t="s">
        <v>112</v>
      </c>
      <c r="G517" s="158">
        <v>1995.0</v>
      </c>
      <c r="H517" s="34">
        <v>1995.0</v>
      </c>
      <c r="I517" s="23" t="s">
        <v>186</v>
      </c>
      <c r="J517" s="158" t="s">
        <v>112</v>
      </c>
      <c r="K517" s="141" t="s">
        <v>99</v>
      </c>
      <c r="L517" s="158" t="s">
        <v>100</v>
      </c>
      <c r="M517" s="156" t="s">
        <v>187</v>
      </c>
      <c r="N517" s="268" t="s">
        <v>2072</v>
      </c>
      <c r="O517" s="22" t="s">
        <v>2073</v>
      </c>
      <c r="P517" s="158" t="s">
        <v>106</v>
      </c>
      <c r="Q517" s="158" t="s">
        <v>112</v>
      </c>
      <c r="R517" s="156" t="s">
        <v>112</v>
      </c>
      <c r="S517" s="156" t="s">
        <v>112</v>
      </c>
      <c r="T517" s="156" t="s">
        <v>112</v>
      </c>
      <c r="U517" s="156" t="s">
        <v>112</v>
      </c>
      <c r="V517" s="243" t="s">
        <v>2074</v>
      </c>
      <c r="W517" s="158" t="s">
        <v>112</v>
      </c>
      <c r="X517" s="157">
        <v>0.0</v>
      </c>
      <c r="Y517" s="157">
        <v>0.0</v>
      </c>
      <c r="Z517" s="23" t="s">
        <v>42</v>
      </c>
      <c r="AA517" s="23" t="s">
        <v>115</v>
      </c>
      <c r="AB517" s="8" t="s">
        <v>380</v>
      </c>
      <c r="AE517" s="24"/>
      <c r="AM517" s="24"/>
    </row>
    <row r="518" ht="15.75" customHeight="1">
      <c r="A518" s="8">
        <v>672.0</v>
      </c>
      <c r="B518" s="163" t="s">
        <v>2075</v>
      </c>
      <c r="C518" s="167" t="s">
        <v>51</v>
      </c>
      <c r="D518" s="163" t="s">
        <v>213</v>
      </c>
      <c r="E518" s="163" t="s">
        <v>112</v>
      </c>
      <c r="F518" s="189" t="s">
        <v>2076</v>
      </c>
      <c r="G518" s="169">
        <v>42430.0</v>
      </c>
      <c r="H518" s="42" t="str">
        <f t="shared" ref="H518:H546" si="35">TEXT(G518, "yyyy")</f>
        <v>2016</v>
      </c>
      <c r="I518" s="8" t="s">
        <v>176</v>
      </c>
      <c r="J518" s="163" t="s">
        <v>112</v>
      </c>
      <c r="K518" s="163" t="s">
        <v>112</v>
      </c>
      <c r="L518" s="163" t="s">
        <v>100</v>
      </c>
      <c r="M518" s="168" t="s">
        <v>513</v>
      </c>
      <c r="N518" s="163" t="s">
        <v>2077</v>
      </c>
      <c r="O518" s="8" t="s">
        <v>2078</v>
      </c>
      <c r="P518" s="163" t="s">
        <v>106</v>
      </c>
      <c r="Q518" s="163" t="s">
        <v>112</v>
      </c>
      <c r="R518" s="163" t="s">
        <v>112</v>
      </c>
      <c r="S518" s="246" t="s">
        <v>112</v>
      </c>
      <c r="T518" s="138">
        <v>-76.46170488</v>
      </c>
      <c r="U518" s="138">
        <v>-2.80294299</v>
      </c>
      <c r="V518" s="247" t="s">
        <v>446</v>
      </c>
      <c r="W518" s="163" t="s">
        <v>112</v>
      </c>
      <c r="X518" s="163" t="s">
        <v>112</v>
      </c>
      <c r="Y518" s="163" t="s">
        <v>112</v>
      </c>
      <c r="Z518" s="8" t="s">
        <v>69</v>
      </c>
      <c r="AA518" s="23" t="s">
        <v>115</v>
      </c>
      <c r="AB518" s="8" t="s">
        <v>378</v>
      </c>
      <c r="AE518" s="24"/>
      <c r="AM518" s="24"/>
    </row>
    <row r="519" ht="15.75" customHeight="1">
      <c r="A519" s="8">
        <v>673.0</v>
      </c>
      <c r="B519" s="163" t="s">
        <v>2079</v>
      </c>
      <c r="C519" s="167" t="s">
        <v>51</v>
      </c>
      <c r="D519" s="163" t="s">
        <v>213</v>
      </c>
      <c r="E519" s="163" t="s">
        <v>112</v>
      </c>
      <c r="F519" s="189" t="s">
        <v>439</v>
      </c>
      <c r="G519" s="169">
        <v>42430.0</v>
      </c>
      <c r="H519" s="42" t="str">
        <f t="shared" si="35"/>
        <v>2016</v>
      </c>
      <c r="I519" s="8" t="s">
        <v>176</v>
      </c>
      <c r="J519" s="163" t="s">
        <v>112</v>
      </c>
      <c r="K519" s="163" t="s">
        <v>112</v>
      </c>
      <c r="L519" s="163" t="s">
        <v>100</v>
      </c>
      <c r="M519" s="168" t="s">
        <v>513</v>
      </c>
      <c r="N519" s="163" t="s">
        <v>2080</v>
      </c>
      <c r="O519" s="8" t="s">
        <v>2081</v>
      </c>
      <c r="P519" s="163" t="s">
        <v>106</v>
      </c>
      <c r="Q519" s="163" t="s">
        <v>112</v>
      </c>
      <c r="R519" s="163" t="s">
        <v>112</v>
      </c>
      <c r="S519" s="246" t="s">
        <v>112</v>
      </c>
      <c r="T519" s="138">
        <v>-76.46187664</v>
      </c>
      <c r="U519" s="138">
        <v>-2.80281096</v>
      </c>
      <c r="V519" s="247" t="s">
        <v>446</v>
      </c>
      <c r="W519" s="163" t="s">
        <v>112</v>
      </c>
      <c r="X519" s="163" t="s">
        <v>112</v>
      </c>
      <c r="Y519" s="163" t="s">
        <v>112</v>
      </c>
      <c r="Z519" s="8" t="s">
        <v>69</v>
      </c>
      <c r="AA519" s="23" t="s">
        <v>115</v>
      </c>
      <c r="AB519" s="8" t="s">
        <v>378</v>
      </c>
      <c r="AE519" s="24"/>
      <c r="AM519" s="24"/>
    </row>
    <row r="520" ht="15.75" customHeight="1">
      <c r="A520" s="8">
        <v>674.0</v>
      </c>
      <c r="B520" s="163" t="s">
        <v>2082</v>
      </c>
      <c r="C520" s="167" t="s">
        <v>51</v>
      </c>
      <c r="D520" s="163" t="s">
        <v>213</v>
      </c>
      <c r="E520" s="163" t="s">
        <v>112</v>
      </c>
      <c r="F520" s="189" t="s">
        <v>439</v>
      </c>
      <c r="G520" s="169">
        <v>42430.0</v>
      </c>
      <c r="H520" s="42" t="str">
        <f t="shared" si="35"/>
        <v>2016</v>
      </c>
      <c r="I520" s="8" t="s">
        <v>176</v>
      </c>
      <c r="J520" s="163" t="s">
        <v>112</v>
      </c>
      <c r="K520" s="163" t="s">
        <v>112</v>
      </c>
      <c r="L520" s="163" t="s">
        <v>100</v>
      </c>
      <c r="M520" s="168" t="s">
        <v>513</v>
      </c>
      <c r="N520" s="163" t="s">
        <v>2083</v>
      </c>
      <c r="O520" s="8" t="s">
        <v>2084</v>
      </c>
      <c r="P520" s="163" t="s">
        <v>106</v>
      </c>
      <c r="Q520" s="163" t="s">
        <v>112</v>
      </c>
      <c r="R520" s="163" t="s">
        <v>112</v>
      </c>
      <c r="S520" s="246" t="s">
        <v>112</v>
      </c>
      <c r="T520" s="138">
        <v>-76.46184138</v>
      </c>
      <c r="U520" s="138">
        <v>-2.80275404</v>
      </c>
      <c r="V520" s="247" t="s">
        <v>446</v>
      </c>
      <c r="W520" s="163" t="s">
        <v>112</v>
      </c>
      <c r="X520" s="163" t="s">
        <v>112</v>
      </c>
      <c r="Y520" s="163" t="s">
        <v>112</v>
      </c>
      <c r="Z520" s="8" t="s">
        <v>69</v>
      </c>
      <c r="AA520" s="23" t="s">
        <v>115</v>
      </c>
      <c r="AB520" s="8" t="s">
        <v>378</v>
      </c>
      <c r="AE520" s="24"/>
      <c r="AM520" s="24"/>
    </row>
    <row r="521" ht="15.75" customHeight="1">
      <c r="A521" s="8">
        <v>675.0</v>
      </c>
      <c r="B521" s="163" t="s">
        <v>2085</v>
      </c>
      <c r="C521" s="167" t="s">
        <v>51</v>
      </c>
      <c r="D521" s="163" t="s">
        <v>213</v>
      </c>
      <c r="E521" s="163" t="s">
        <v>112</v>
      </c>
      <c r="F521" s="189" t="s">
        <v>439</v>
      </c>
      <c r="G521" s="169">
        <v>42430.0</v>
      </c>
      <c r="H521" s="42" t="str">
        <f t="shared" si="35"/>
        <v>2016</v>
      </c>
      <c r="I521" s="8" t="s">
        <v>186</v>
      </c>
      <c r="J521" s="163" t="s">
        <v>112</v>
      </c>
      <c r="K521" s="163" t="s">
        <v>112</v>
      </c>
      <c r="L521" s="163" t="s">
        <v>100</v>
      </c>
      <c r="M521" s="173" t="s">
        <v>112</v>
      </c>
      <c r="N521" s="163" t="s">
        <v>2086</v>
      </c>
      <c r="O521" s="8" t="s">
        <v>2087</v>
      </c>
      <c r="P521" s="163" t="s">
        <v>106</v>
      </c>
      <c r="Q521" s="163" t="s">
        <v>112</v>
      </c>
      <c r="R521" s="163" t="s">
        <v>112</v>
      </c>
      <c r="S521" s="246" t="s">
        <v>112</v>
      </c>
      <c r="T521" s="149">
        <v>-76.46188743</v>
      </c>
      <c r="U521" s="149">
        <v>-2.80276778</v>
      </c>
      <c r="V521" s="247" t="s">
        <v>190</v>
      </c>
      <c r="W521" s="163" t="s">
        <v>112</v>
      </c>
      <c r="X521" s="163" t="s">
        <v>112</v>
      </c>
      <c r="Y521" s="163" t="s">
        <v>112</v>
      </c>
      <c r="Z521" s="8" t="s">
        <v>69</v>
      </c>
      <c r="AA521" s="23" t="s">
        <v>115</v>
      </c>
      <c r="AB521" s="8" t="s">
        <v>378</v>
      </c>
      <c r="AE521" s="24"/>
      <c r="AM521" s="24"/>
    </row>
    <row r="522" ht="15.75" customHeight="1">
      <c r="A522" s="8">
        <v>676.0</v>
      </c>
      <c r="B522" s="163" t="s">
        <v>2088</v>
      </c>
      <c r="C522" s="167" t="s">
        <v>51</v>
      </c>
      <c r="D522" s="163" t="s">
        <v>213</v>
      </c>
      <c r="E522" s="163" t="s">
        <v>112</v>
      </c>
      <c r="F522" s="189" t="s">
        <v>439</v>
      </c>
      <c r="G522" s="169">
        <v>42430.0</v>
      </c>
      <c r="H522" s="42" t="str">
        <f t="shared" si="35"/>
        <v>2016</v>
      </c>
      <c r="I522" s="8" t="s">
        <v>186</v>
      </c>
      <c r="J522" s="163" t="s">
        <v>112</v>
      </c>
      <c r="K522" s="163" t="s">
        <v>112</v>
      </c>
      <c r="L522" s="163" t="s">
        <v>100</v>
      </c>
      <c r="M522" s="173" t="s">
        <v>112</v>
      </c>
      <c r="N522" s="163" t="s">
        <v>2089</v>
      </c>
      <c r="O522" s="8" t="s">
        <v>2090</v>
      </c>
      <c r="P522" s="163" t="s">
        <v>106</v>
      </c>
      <c r="Q522" s="163" t="s">
        <v>112</v>
      </c>
      <c r="R522" s="163" t="s">
        <v>112</v>
      </c>
      <c r="S522" s="246" t="s">
        <v>112</v>
      </c>
      <c r="T522" s="149">
        <v>-76.46177204</v>
      </c>
      <c r="U522" s="149">
        <v>-2.80287792</v>
      </c>
      <c r="V522" s="247" t="s">
        <v>190</v>
      </c>
      <c r="W522" s="163" t="s">
        <v>112</v>
      </c>
      <c r="X522" s="163" t="s">
        <v>112</v>
      </c>
      <c r="Y522" s="163" t="s">
        <v>112</v>
      </c>
      <c r="Z522" s="8" t="s">
        <v>69</v>
      </c>
      <c r="AA522" s="23" t="s">
        <v>115</v>
      </c>
      <c r="AB522" s="8" t="s">
        <v>378</v>
      </c>
      <c r="AE522" s="24"/>
      <c r="AM522" s="24"/>
    </row>
    <row r="523" ht="15.75" customHeight="1">
      <c r="A523" s="8">
        <v>677.0</v>
      </c>
      <c r="B523" s="163" t="s">
        <v>2091</v>
      </c>
      <c r="C523" s="167" t="s">
        <v>51</v>
      </c>
      <c r="D523" s="163" t="s">
        <v>213</v>
      </c>
      <c r="E523" s="163" t="s">
        <v>112</v>
      </c>
      <c r="F523" s="189" t="s">
        <v>439</v>
      </c>
      <c r="G523" s="169">
        <v>42430.0</v>
      </c>
      <c r="H523" s="42" t="str">
        <f t="shared" si="35"/>
        <v>2016</v>
      </c>
      <c r="I523" s="8" t="s">
        <v>186</v>
      </c>
      <c r="J523" s="163" t="s">
        <v>112</v>
      </c>
      <c r="K523" s="163" t="s">
        <v>112</v>
      </c>
      <c r="L523" s="163" t="s">
        <v>100</v>
      </c>
      <c r="M523" s="173" t="s">
        <v>112</v>
      </c>
      <c r="N523" s="163" t="s">
        <v>2092</v>
      </c>
      <c r="O523" s="8" t="s">
        <v>2090</v>
      </c>
      <c r="P523" s="163" t="s">
        <v>106</v>
      </c>
      <c r="Q523" s="163" t="s">
        <v>112</v>
      </c>
      <c r="R523" s="163" t="s">
        <v>112</v>
      </c>
      <c r="S523" s="246" t="s">
        <v>112</v>
      </c>
      <c r="T523" s="127">
        <v>-76.46185487</v>
      </c>
      <c r="U523" s="127">
        <v>-2.80272694</v>
      </c>
      <c r="V523" s="247" t="s">
        <v>190</v>
      </c>
      <c r="W523" s="163" t="s">
        <v>112</v>
      </c>
      <c r="X523" s="163" t="s">
        <v>112</v>
      </c>
      <c r="Y523" s="163" t="s">
        <v>112</v>
      </c>
      <c r="Z523" s="8" t="s">
        <v>69</v>
      </c>
      <c r="AA523" s="23" t="s">
        <v>115</v>
      </c>
      <c r="AB523" s="8" t="s">
        <v>378</v>
      </c>
      <c r="AE523" s="24"/>
      <c r="AM523" s="24"/>
    </row>
    <row r="524" ht="15.75" customHeight="1">
      <c r="A524" s="8">
        <v>680.0</v>
      </c>
      <c r="B524" s="163" t="s">
        <v>2093</v>
      </c>
      <c r="C524" s="163" t="s">
        <v>51</v>
      </c>
      <c r="D524" s="163" t="s">
        <v>213</v>
      </c>
      <c r="E524" s="163" t="s">
        <v>112</v>
      </c>
      <c r="F524" s="189" t="s">
        <v>439</v>
      </c>
      <c r="G524" s="169">
        <v>42430.0</v>
      </c>
      <c r="H524" s="42" t="str">
        <f t="shared" si="35"/>
        <v>2016</v>
      </c>
      <c r="I524" s="8" t="s">
        <v>176</v>
      </c>
      <c r="J524" s="163" t="s">
        <v>112</v>
      </c>
      <c r="K524" s="163" t="s">
        <v>112</v>
      </c>
      <c r="L524" s="163" t="s">
        <v>100</v>
      </c>
      <c r="M524" s="168" t="s">
        <v>513</v>
      </c>
      <c r="N524" s="163" t="s">
        <v>2094</v>
      </c>
      <c r="O524" s="8" t="s">
        <v>2095</v>
      </c>
      <c r="P524" s="163" t="s">
        <v>106</v>
      </c>
      <c r="Q524" s="163" t="s">
        <v>112</v>
      </c>
      <c r="R524" s="163" t="s">
        <v>112</v>
      </c>
      <c r="S524" s="246" t="s">
        <v>112</v>
      </c>
      <c r="T524" s="127">
        <v>-76.46185278</v>
      </c>
      <c r="U524" s="138">
        <v>-2.802743</v>
      </c>
      <c r="V524" s="269" t="s">
        <v>2096</v>
      </c>
      <c r="W524" s="163" t="s">
        <v>112</v>
      </c>
      <c r="X524" s="163" t="s">
        <v>112</v>
      </c>
      <c r="Y524" s="163" t="s">
        <v>112</v>
      </c>
      <c r="Z524" s="8" t="s">
        <v>69</v>
      </c>
      <c r="AA524" s="23" t="s">
        <v>115</v>
      </c>
      <c r="AB524" s="8" t="s">
        <v>378</v>
      </c>
      <c r="AE524" s="24"/>
      <c r="AM524" s="24"/>
    </row>
    <row r="525" ht="15.75" customHeight="1">
      <c r="A525" s="8">
        <v>681.0</v>
      </c>
      <c r="B525" s="163" t="s">
        <v>2097</v>
      </c>
      <c r="C525" s="163" t="s">
        <v>51</v>
      </c>
      <c r="D525" s="163" t="s">
        <v>213</v>
      </c>
      <c r="E525" s="163" t="s">
        <v>112</v>
      </c>
      <c r="F525" s="189" t="s">
        <v>439</v>
      </c>
      <c r="G525" s="169">
        <v>42430.0</v>
      </c>
      <c r="H525" s="42" t="str">
        <f t="shared" si="35"/>
        <v>2016</v>
      </c>
      <c r="I525" s="8" t="s">
        <v>176</v>
      </c>
      <c r="J525" s="163" t="s">
        <v>112</v>
      </c>
      <c r="K525" s="163" t="s">
        <v>112</v>
      </c>
      <c r="L525" s="163" t="s">
        <v>100</v>
      </c>
      <c r="M525" s="168" t="s">
        <v>513</v>
      </c>
      <c r="N525" s="163" t="s">
        <v>2098</v>
      </c>
      <c r="O525" s="8" t="s">
        <v>2090</v>
      </c>
      <c r="P525" s="163" t="s">
        <v>106</v>
      </c>
      <c r="Q525" s="163" t="s">
        <v>112</v>
      </c>
      <c r="R525" s="163" t="s">
        <v>112</v>
      </c>
      <c r="S525" s="246" t="s">
        <v>112</v>
      </c>
      <c r="T525" s="127">
        <v>-76.46131737</v>
      </c>
      <c r="U525" s="138">
        <v>-2.8023777</v>
      </c>
      <c r="V525" s="269" t="s">
        <v>2096</v>
      </c>
      <c r="W525" s="163" t="s">
        <v>112</v>
      </c>
      <c r="X525" s="163" t="s">
        <v>112</v>
      </c>
      <c r="Y525" s="163" t="s">
        <v>112</v>
      </c>
      <c r="Z525" s="8" t="s">
        <v>69</v>
      </c>
      <c r="AA525" s="23" t="s">
        <v>115</v>
      </c>
      <c r="AB525" s="8" t="s">
        <v>378</v>
      </c>
      <c r="AE525" s="24"/>
      <c r="AM525" s="24"/>
    </row>
    <row r="526" ht="15.75" customHeight="1">
      <c r="A526" s="8">
        <v>682.0</v>
      </c>
      <c r="B526" s="163" t="s">
        <v>2099</v>
      </c>
      <c r="C526" s="167" t="s">
        <v>51</v>
      </c>
      <c r="D526" s="163" t="s">
        <v>213</v>
      </c>
      <c r="E526" s="163" t="s">
        <v>112</v>
      </c>
      <c r="F526" s="189" t="s">
        <v>439</v>
      </c>
      <c r="G526" s="169">
        <v>42430.0</v>
      </c>
      <c r="H526" s="42" t="str">
        <f t="shared" si="35"/>
        <v>2016</v>
      </c>
      <c r="I526" s="8" t="s">
        <v>186</v>
      </c>
      <c r="J526" s="163" t="s">
        <v>112</v>
      </c>
      <c r="K526" s="163" t="s">
        <v>112</v>
      </c>
      <c r="L526" s="163" t="s">
        <v>100</v>
      </c>
      <c r="M526" s="173" t="s">
        <v>112</v>
      </c>
      <c r="N526" s="163" t="s">
        <v>2100</v>
      </c>
      <c r="O526" s="8" t="s">
        <v>2101</v>
      </c>
      <c r="P526" s="163" t="s">
        <v>106</v>
      </c>
      <c r="Q526" s="163" t="s">
        <v>112</v>
      </c>
      <c r="R526" s="163" t="s">
        <v>112</v>
      </c>
      <c r="S526" s="246" t="s">
        <v>112</v>
      </c>
      <c r="T526" s="127">
        <v>-76.46190153</v>
      </c>
      <c r="U526" s="138">
        <v>-2.80277841</v>
      </c>
      <c r="V526" s="269" t="s">
        <v>109</v>
      </c>
      <c r="W526" s="163" t="s">
        <v>112</v>
      </c>
      <c r="X526" s="163" t="s">
        <v>112</v>
      </c>
      <c r="Y526" s="163" t="s">
        <v>112</v>
      </c>
      <c r="Z526" s="8" t="s">
        <v>69</v>
      </c>
      <c r="AA526" s="23" t="s">
        <v>115</v>
      </c>
      <c r="AB526" s="8" t="s">
        <v>378</v>
      </c>
      <c r="AE526" s="24"/>
      <c r="AM526" s="24"/>
    </row>
    <row r="527" ht="15.75" customHeight="1">
      <c r="A527" s="8">
        <v>683.0</v>
      </c>
      <c r="B527" s="163" t="s">
        <v>2102</v>
      </c>
      <c r="C527" s="167" t="s">
        <v>51</v>
      </c>
      <c r="D527" s="163" t="s">
        <v>213</v>
      </c>
      <c r="E527" s="163" t="s">
        <v>112</v>
      </c>
      <c r="F527" s="189" t="s">
        <v>439</v>
      </c>
      <c r="G527" s="169">
        <v>42430.0</v>
      </c>
      <c r="H527" s="42" t="str">
        <f t="shared" si="35"/>
        <v>2016</v>
      </c>
      <c r="I527" s="8" t="s">
        <v>186</v>
      </c>
      <c r="J527" s="163" t="s">
        <v>112</v>
      </c>
      <c r="K527" s="163" t="s">
        <v>112</v>
      </c>
      <c r="L527" s="163" t="s">
        <v>100</v>
      </c>
      <c r="M527" s="173" t="s">
        <v>112</v>
      </c>
      <c r="N527" s="163" t="s">
        <v>2103</v>
      </c>
      <c r="O527" s="8" t="s">
        <v>2101</v>
      </c>
      <c r="P527" s="163" t="s">
        <v>106</v>
      </c>
      <c r="Q527" s="163" t="s">
        <v>112</v>
      </c>
      <c r="R527" s="163" t="s">
        <v>112</v>
      </c>
      <c r="S527" s="246" t="s">
        <v>112</v>
      </c>
      <c r="T527" s="127">
        <v>-76.46171161</v>
      </c>
      <c r="U527" s="138">
        <v>-2.80293362</v>
      </c>
      <c r="V527" s="269" t="s">
        <v>109</v>
      </c>
      <c r="W527" s="163" t="s">
        <v>112</v>
      </c>
      <c r="X527" s="163" t="s">
        <v>112</v>
      </c>
      <c r="Y527" s="163" t="s">
        <v>112</v>
      </c>
      <c r="Z527" s="8" t="s">
        <v>69</v>
      </c>
      <c r="AA527" s="23" t="s">
        <v>115</v>
      </c>
      <c r="AB527" s="8" t="s">
        <v>378</v>
      </c>
      <c r="AE527" s="24"/>
      <c r="AM527" s="24"/>
    </row>
    <row r="528" ht="15.75" customHeight="1">
      <c r="A528" s="8">
        <v>707.0</v>
      </c>
      <c r="B528" s="163" t="s">
        <v>2104</v>
      </c>
      <c r="C528" s="167" t="s">
        <v>51</v>
      </c>
      <c r="D528" s="163" t="s">
        <v>213</v>
      </c>
      <c r="E528" s="163" t="s">
        <v>112</v>
      </c>
      <c r="F528" s="189" t="s">
        <v>475</v>
      </c>
      <c r="G528" s="178">
        <v>42461.0</v>
      </c>
      <c r="H528" s="42" t="str">
        <f t="shared" si="35"/>
        <v>2016</v>
      </c>
      <c r="I528" s="8" t="s">
        <v>186</v>
      </c>
      <c r="J528" s="163" t="s">
        <v>112</v>
      </c>
      <c r="K528" s="163" t="s">
        <v>112</v>
      </c>
      <c r="L528" s="163" t="s">
        <v>100</v>
      </c>
      <c r="M528" s="173" t="s">
        <v>112</v>
      </c>
      <c r="N528" s="163" t="s">
        <v>2105</v>
      </c>
      <c r="O528" s="8" t="s">
        <v>579</v>
      </c>
      <c r="P528" s="163" t="s">
        <v>106</v>
      </c>
      <c r="Q528" s="163" t="s">
        <v>112</v>
      </c>
      <c r="R528" s="163" t="s">
        <v>112</v>
      </c>
      <c r="S528" s="246" t="s">
        <v>112</v>
      </c>
      <c r="T528" s="149">
        <v>-76.45471817</v>
      </c>
      <c r="U528" s="149">
        <v>-2.80240707</v>
      </c>
      <c r="V528" s="247" t="s">
        <v>580</v>
      </c>
      <c r="W528" s="163" t="s">
        <v>112</v>
      </c>
      <c r="X528" s="163" t="s">
        <v>112</v>
      </c>
      <c r="Y528" s="163" t="s">
        <v>112</v>
      </c>
      <c r="Z528" s="8" t="s">
        <v>69</v>
      </c>
      <c r="AA528" s="23" t="s">
        <v>115</v>
      </c>
      <c r="AB528" s="8" t="s">
        <v>378</v>
      </c>
      <c r="AE528" s="24"/>
      <c r="AM528" s="24"/>
    </row>
    <row r="529" ht="15.75" customHeight="1">
      <c r="A529" s="8">
        <v>721.0</v>
      </c>
      <c r="B529" s="163" t="s">
        <v>2106</v>
      </c>
      <c r="C529" s="167" t="s">
        <v>51</v>
      </c>
      <c r="D529" s="163" t="s">
        <v>112</v>
      </c>
      <c r="E529" s="163" t="s">
        <v>112</v>
      </c>
      <c r="F529" s="189" t="s">
        <v>2107</v>
      </c>
      <c r="G529" s="169">
        <v>42491.0</v>
      </c>
      <c r="H529" s="42" t="str">
        <f t="shared" si="35"/>
        <v>2016</v>
      </c>
      <c r="I529" s="8" t="s">
        <v>186</v>
      </c>
      <c r="J529" s="163" t="s">
        <v>112</v>
      </c>
      <c r="K529" s="163" t="s">
        <v>112</v>
      </c>
      <c r="L529" s="163" t="s">
        <v>100</v>
      </c>
      <c r="M529" s="173" t="s">
        <v>112</v>
      </c>
      <c r="N529" s="163" t="s">
        <v>2108</v>
      </c>
      <c r="O529" s="8" t="s">
        <v>2109</v>
      </c>
      <c r="P529" s="163" t="s">
        <v>106</v>
      </c>
      <c r="Q529" s="163" t="s">
        <v>112</v>
      </c>
      <c r="R529" s="163" t="s">
        <v>112</v>
      </c>
      <c r="S529" s="246" t="s">
        <v>112</v>
      </c>
      <c r="T529" s="127">
        <v>-76.43279787</v>
      </c>
      <c r="U529" s="127">
        <v>-2.80229331</v>
      </c>
      <c r="V529" s="247" t="s">
        <v>221</v>
      </c>
      <c r="W529" s="163" t="s">
        <v>112</v>
      </c>
      <c r="X529" s="163" t="s">
        <v>112</v>
      </c>
      <c r="Y529" s="163" t="s">
        <v>112</v>
      </c>
      <c r="Z529" s="8" t="s">
        <v>69</v>
      </c>
      <c r="AA529" s="23" t="s">
        <v>115</v>
      </c>
      <c r="AB529" s="8" t="s">
        <v>378</v>
      </c>
      <c r="AE529" s="24"/>
      <c r="AM529" s="24"/>
    </row>
    <row r="530" ht="15.75" customHeight="1">
      <c r="A530" s="8">
        <v>725.0</v>
      </c>
      <c r="B530" s="163" t="s">
        <v>2110</v>
      </c>
      <c r="C530" s="167" t="s">
        <v>51</v>
      </c>
      <c r="D530" s="163" t="s">
        <v>213</v>
      </c>
      <c r="E530" s="163" t="s">
        <v>112</v>
      </c>
      <c r="F530" s="189" t="s">
        <v>2111</v>
      </c>
      <c r="G530" s="169">
        <v>42491.0</v>
      </c>
      <c r="H530" s="42" t="str">
        <f t="shared" si="35"/>
        <v>2016</v>
      </c>
      <c r="I530" s="8" t="s">
        <v>186</v>
      </c>
      <c r="J530" s="163" t="s">
        <v>112</v>
      </c>
      <c r="K530" s="163" t="s">
        <v>112</v>
      </c>
      <c r="L530" s="163" t="s">
        <v>100</v>
      </c>
      <c r="M530" s="173" t="s">
        <v>112</v>
      </c>
      <c r="N530" s="163" t="s">
        <v>2112</v>
      </c>
      <c r="O530" s="8" t="s">
        <v>2113</v>
      </c>
      <c r="P530" s="163" t="s">
        <v>106</v>
      </c>
      <c r="Q530" s="163" t="s">
        <v>112</v>
      </c>
      <c r="R530" s="163" t="s">
        <v>112</v>
      </c>
      <c r="S530" s="246" t="s">
        <v>112</v>
      </c>
      <c r="T530" s="127">
        <v>-76.3496717</v>
      </c>
      <c r="U530" s="127">
        <v>-2.89041684</v>
      </c>
      <c r="V530" s="247" t="s">
        <v>221</v>
      </c>
      <c r="W530" s="163" t="s">
        <v>112</v>
      </c>
      <c r="X530" s="163" t="s">
        <v>112</v>
      </c>
      <c r="Y530" s="163" t="s">
        <v>112</v>
      </c>
      <c r="Z530" s="8" t="s">
        <v>69</v>
      </c>
      <c r="AA530" s="23" t="s">
        <v>115</v>
      </c>
      <c r="AB530" s="8" t="s">
        <v>378</v>
      </c>
      <c r="AE530" s="24"/>
      <c r="AM530" s="24"/>
    </row>
    <row r="531" ht="15.75" customHeight="1">
      <c r="A531" s="8">
        <v>729.0</v>
      </c>
      <c r="B531" s="163" t="s">
        <v>2114</v>
      </c>
      <c r="C531" s="167" t="s">
        <v>51</v>
      </c>
      <c r="D531" s="163" t="s">
        <v>112</v>
      </c>
      <c r="E531" s="163" t="s">
        <v>112</v>
      </c>
      <c r="F531" s="189" t="s">
        <v>2115</v>
      </c>
      <c r="G531" s="169">
        <v>42522.0</v>
      </c>
      <c r="H531" s="42" t="str">
        <f t="shared" si="35"/>
        <v>2016</v>
      </c>
      <c r="I531" s="8" t="s">
        <v>186</v>
      </c>
      <c r="J531" s="163" t="s">
        <v>112</v>
      </c>
      <c r="K531" s="163" t="s">
        <v>112</v>
      </c>
      <c r="L531" s="163" t="s">
        <v>100</v>
      </c>
      <c r="M531" s="173" t="s">
        <v>112</v>
      </c>
      <c r="N531" s="163" t="s">
        <v>2116</v>
      </c>
      <c r="O531" s="8"/>
      <c r="P531" s="163" t="s">
        <v>106</v>
      </c>
      <c r="Q531" s="163" t="s">
        <v>112</v>
      </c>
      <c r="R531" s="163" t="s">
        <v>112</v>
      </c>
      <c r="S531" s="246" t="s">
        <v>112</v>
      </c>
      <c r="T531" s="138">
        <v>-76.24479465</v>
      </c>
      <c r="U531" s="138">
        <v>-2.4722986</v>
      </c>
      <c r="V531" s="247" t="s">
        <v>480</v>
      </c>
      <c r="W531" s="163" t="s">
        <v>112</v>
      </c>
      <c r="X531" s="163" t="s">
        <v>112</v>
      </c>
      <c r="Y531" s="163" t="s">
        <v>112</v>
      </c>
      <c r="Z531" s="8" t="s">
        <v>69</v>
      </c>
      <c r="AA531" s="23" t="s">
        <v>115</v>
      </c>
      <c r="AB531" s="8" t="s">
        <v>378</v>
      </c>
      <c r="AE531" s="24"/>
      <c r="AM531" s="24"/>
    </row>
    <row r="532" ht="15.75" customHeight="1">
      <c r="A532" s="8">
        <v>732.0</v>
      </c>
      <c r="B532" s="163" t="s">
        <v>2117</v>
      </c>
      <c r="C532" s="167" t="s">
        <v>51</v>
      </c>
      <c r="D532" s="163" t="s">
        <v>213</v>
      </c>
      <c r="E532" s="163" t="s">
        <v>112</v>
      </c>
      <c r="F532" s="189" t="s">
        <v>2118</v>
      </c>
      <c r="G532" s="169">
        <v>42522.0</v>
      </c>
      <c r="H532" s="42" t="str">
        <f t="shared" si="35"/>
        <v>2016</v>
      </c>
      <c r="I532" s="8" t="s">
        <v>186</v>
      </c>
      <c r="J532" s="163" t="s">
        <v>112</v>
      </c>
      <c r="K532" s="163" t="s">
        <v>112</v>
      </c>
      <c r="L532" s="163" t="s">
        <v>100</v>
      </c>
      <c r="M532" s="173" t="s">
        <v>112</v>
      </c>
      <c r="N532" s="163" t="s">
        <v>2119</v>
      </c>
      <c r="O532" s="8" t="s">
        <v>2120</v>
      </c>
      <c r="P532" s="163" t="s">
        <v>106</v>
      </c>
      <c r="Q532" s="163" t="s">
        <v>112</v>
      </c>
      <c r="R532" s="163" t="s">
        <v>112</v>
      </c>
      <c r="S532" s="246" t="s">
        <v>112</v>
      </c>
      <c r="T532" s="127">
        <v>-76.43410508</v>
      </c>
      <c r="U532" s="127">
        <v>-2.78682334</v>
      </c>
      <c r="V532" s="269" t="s">
        <v>466</v>
      </c>
      <c r="W532" s="163" t="s">
        <v>112</v>
      </c>
      <c r="X532" s="163" t="s">
        <v>112</v>
      </c>
      <c r="Y532" s="163" t="s">
        <v>112</v>
      </c>
      <c r="Z532" s="8" t="s">
        <v>69</v>
      </c>
      <c r="AA532" s="23" t="s">
        <v>115</v>
      </c>
      <c r="AB532" s="8" t="s">
        <v>378</v>
      </c>
      <c r="AE532" s="24"/>
      <c r="AM532" s="24"/>
    </row>
    <row r="533" ht="15.75" customHeight="1">
      <c r="A533" s="8">
        <v>733.0</v>
      </c>
      <c r="B533" s="163" t="s">
        <v>2121</v>
      </c>
      <c r="C533" s="167" t="s">
        <v>51</v>
      </c>
      <c r="D533" s="163" t="s">
        <v>213</v>
      </c>
      <c r="E533" s="163" t="s">
        <v>112</v>
      </c>
      <c r="F533" s="189" t="s">
        <v>2122</v>
      </c>
      <c r="G533" s="169">
        <v>42522.0</v>
      </c>
      <c r="H533" s="42" t="str">
        <f t="shared" si="35"/>
        <v>2016</v>
      </c>
      <c r="I533" s="8" t="s">
        <v>186</v>
      </c>
      <c r="J533" s="163" t="s">
        <v>112</v>
      </c>
      <c r="K533" s="163" t="s">
        <v>112</v>
      </c>
      <c r="L533" s="163" t="s">
        <v>100</v>
      </c>
      <c r="M533" s="173" t="s">
        <v>112</v>
      </c>
      <c r="N533" s="158" t="s">
        <v>2123</v>
      </c>
      <c r="O533" s="8" t="s">
        <v>2124</v>
      </c>
      <c r="P533" s="163" t="s">
        <v>106</v>
      </c>
      <c r="Q533" s="163" t="s">
        <v>112</v>
      </c>
      <c r="R533" s="163" t="s">
        <v>112</v>
      </c>
      <c r="S533" s="246" t="s">
        <v>112</v>
      </c>
      <c r="T533" s="127">
        <v>-76.43444134</v>
      </c>
      <c r="U533" s="127">
        <v>-2.7874241299999998</v>
      </c>
      <c r="V533" s="269" t="s">
        <v>466</v>
      </c>
      <c r="W533" s="163" t="s">
        <v>112</v>
      </c>
      <c r="X533" s="163" t="s">
        <v>112</v>
      </c>
      <c r="Y533" s="163" t="s">
        <v>112</v>
      </c>
      <c r="Z533" s="8" t="s">
        <v>69</v>
      </c>
      <c r="AA533" s="23" t="s">
        <v>115</v>
      </c>
      <c r="AB533" s="8" t="s">
        <v>378</v>
      </c>
      <c r="AE533" s="24"/>
      <c r="AM533" s="24"/>
    </row>
    <row r="534" ht="15.75" customHeight="1">
      <c r="A534" s="8">
        <v>750.0</v>
      </c>
      <c r="B534" s="163" t="s">
        <v>2125</v>
      </c>
      <c r="C534" s="167" t="s">
        <v>48</v>
      </c>
      <c r="D534" s="181" t="s">
        <v>112</v>
      </c>
      <c r="E534" s="163" t="s">
        <v>112</v>
      </c>
      <c r="F534" s="189" t="s">
        <v>2126</v>
      </c>
      <c r="G534" s="183">
        <v>42675.0</v>
      </c>
      <c r="H534" s="42" t="str">
        <f t="shared" si="35"/>
        <v>2016</v>
      </c>
      <c r="I534" s="8" t="s">
        <v>63</v>
      </c>
      <c r="J534" s="181" t="s">
        <v>112</v>
      </c>
      <c r="K534" s="181" t="s">
        <v>112</v>
      </c>
      <c r="L534" s="163" t="s">
        <v>100</v>
      </c>
      <c r="M534" s="173" t="s">
        <v>112</v>
      </c>
      <c r="N534" s="163" t="s">
        <v>2127</v>
      </c>
      <c r="O534" s="8" t="s">
        <v>2128</v>
      </c>
      <c r="P534" s="163" t="s">
        <v>106</v>
      </c>
      <c r="Q534" s="181" t="s">
        <v>112</v>
      </c>
      <c r="R534" s="163" t="s">
        <v>112</v>
      </c>
      <c r="S534" s="246" t="s">
        <v>112</v>
      </c>
      <c r="T534" s="127">
        <v>-75.79342459</v>
      </c>
      <c r="U534" s="127">
        <v>-3.01058108</v>
      </c>
      <c r="V534" s="247" t="s">
        <v>900</v>
      </c>
      <c r="W534" s="181" t="s">
        <v>112</v>
      </c>
      <c r="X534" s="181" t="s">
        <v>112</v>
      </c>
      <c r="Y534" s="181" t="s">
        <v>112</v>
      </c>
      <c r="Z534" s="8" t="s">
        <v>69</v>
      </c>
      <c r="AA534" s="23" t="s">
        <v>115</v>
      </c>
      <c r="AB534" s="8" t="s">
        <v>378</v>
      </c>
      <c r="AE534" s="24"/>
      <c r="AM534" s="24"/>
    </row>
    <row r="535" ht="15.75" customHeight="1">
      <c r="A535" s="8">
        <v>752.0</v>
      </c>
      <c r="B535" s="163" t="s">
        <v>2129</v>
      </c>
      <c r="C535" s="167" t="s">
        <v>48</v>
      </c>
      <c r="D535" s="181" t="s">
        <v>112</v>
      </c>
      <c r="E535" s="163" t="s">
        <v>112</v>
      </c>
      <c r="F535" s="189" t="s">
        <v>2130</v>
      </c>
      <c r="G535" s="183">
        <v>42675.0</v>
      </c>
      <c r="H535" s="42" t="str">
        <f t="shared" si="35"/>
        <v>2016</v>
      </c>
      <c r="I535" s="8" t="s">
        <v>172</v>
      </c>
      <c r="J535" s="181" t="s">
        <v>112</v>
      </c>
      <c r="K535" s="181" t="s">
        <v>112</v>
      </c>
      <c r="L535" s="163" t="s">
        <v>100</v>
      </c>
      <c r="M535" s="178" t="s">
        <v>112</v>
      </c>
      <c r="N535" s="163" t="s">
        <v>2131</v>
      </c>
      <c r="O535" s="8" t="s">
        <v>2132</v>
      </c>
      <c r="P535" s="163" t="s">
        <v>106</v>
      </c>
      <c r="Q535" s="181" t="s">
        <v>112</v>
      </c>
      <c r="R535" s="167" t="s">
        <v>112</v>
      </c>
      <c r="S535" s="248" t="s">
        <v>112</v>
      </c>
      <c r="T535" s="138">
        <v>-75.79347411</v>
      </c>
      <c r="U535" s="138">
        <v>-3.01229032</v>
      </c>
      <c r="V535" s="247" t="s">
        <v>673</v>
      </c>
      <c r="W535" s="181" t="s">
        <v>112</v>
      </c>
      <c r="X535" s="181" t="s">
        <v>112</v>
      </c>
      <c r="Y535" s="181" t="s">
        <v>112</v>
      </c>
      <c r="Z535" s="8" t="s">
        <v>69</v>
      </c>
      <c r="AA535" s="23" t="s">
        <v>115</v>
      </c>
      <c r="AB535" s="8" t="s">
        <v>378</v>
      </c>
      <c r="AE535" s="24"/>
      <c r="AM535" s="24"/>
    </row>
    <row r="536" ht="15.75" customHeight="1">
      <c r="A536" s="8">
        <v>665.0</v>
      </c>
      <c r="B536" s="163" t="s">
        <v>2133</v>
      </c>
      <c r="C536" s="167" t="s">
        <v>48</v>
      </c>
      <c r="D536" s="163" t="s">
        <v>112</v>
      </c>
      <c r="E536" s="163" t="s">
        <v>112</v>
      </c>
      <c r="F536" s="177">
        <v>42411.0</v>
      </c>
      <c r="G536" s="169">
        <v>42401.0</v>
      </c>
      <c r="H536" s="42" t="str">
        <f t="shared" si="35"/>
        <v>2016</v>
      </c>
      <c r="I536" s="8" t="s">
        <v>176</v>
      </c>
      <c r="J536" s="163" t="s">
        <v>112</v>
      </c>
      <c r="K536" s="163" t="s">
        <v>112</v>
      </c>
      <c r="L536" s="167" t="s">
        <v>1336</v>
      </c>
      <c r="M536" s="168" t="s">
        <v>177</v>
      </c>
      <c r="N536" s="163" t="s">
        <v>112</v>
      </c>
      <c r="O536" s="8"/>
      <c r="P536" s="163" t="s">
        <v>106</v>
      </c>
      <c r="Q536" s="163" t="s">
        <v>112</v>
      </c>
      <c r="R536" s="167" t="s">
        <v>112</v>
      </c>
      <c r="S536" s="248" t="s">
        <v>112</v>
      </c>
      <c r="T536" s="138" t="s">
        <v>112</v>
      </c>
      <c r="U536" s="138" t="s">
        <v>112</v>
      </c>
      <c r="V536" s="247" t="s">
        <v>1339</v>
      </c>
      <c r="W536" s="163" t="s">
        <v>112</v>
      </c>
      <c r="X536" s="163" t="s">
        <v>112</v>
      </c>
      <c r="Y536" s="163" t="s">
        <v>112</v>
      </c>
      <c r="Z536" s="8" t="s">
        <v>69</v>
      </c>
      <c r="AA536" s="23" t="s">
        <v>115</v>
      </c>
      <c r="AB536" s="8" t="s">
        <v>370</v>
      </c>
      <c r="AE536" s="24"/>
      <c r="AM536" s="24"/>
    </row>
    <row r="537" ht="15.75" customHeight="1">
      <c r="A537" s="8">
        <v>770.0</v>
      </c>
      <c r="B537" s="163" t="s">
        <v>2134</v>
      </c>
      <c r="C537" s="163" t="s">
        <v>57</v>
      </c>
      <c r="D537" s="181" t="s">
        <v>112</v>
      </c>
      <c r="E537" s="163" t="s">
        <v>112</v>
      </c>
      <c r="F537" s="204">
        <v>42751.0</v>
      </c>
      <c r="G537" s="169">
        <v>42736.0</v>
      </c>
      <c r="H537" s="42" t="str">
        <f t="shared" si="35"/>
        <v>2017</v>
      </c>
      <c r="I537" s="8" t="s">
        <v>176</v>
      </c>
      <c r="J537" s="163" t="s">
        <v>112</v>
      </c>
      <c r="K537" s="163" t="s">
        <v>112</v>
      </c>
      <c r="L537" s="163" t="s">
        <v>100</v>
      </c>
      <c r="M537" s="270" t="s">
        <v>177</v>
      </c>
      <c r="N537" s="163" t="s">
        <v>2135</v>
      </c>
      <c r="O537" s="8" t="s">
        <v>2136</v>
      </c>
      <c r="P537" s="163" t="s">
        <v>106</v>
      </c>
      <c r="Q537" s="181" t="s">
        <v>112</v>
      </c>
      <c r="R537" s="163" t="s">
        <v>112</v>
      </c>
      <c r="S537" s="246" t="s">
        <v>112</v>
      </c>
      <c r="T537" s="127" t="s">
        <v>112</v>
      </c>
      <c r="U537" s="127" t="s">
        <v>112</v>
      </c>
      <c r="V537" s="269" t="s">
        <v>1226</v>
      </c>
      <c r="W537" s="163" t="s">
        <v>112</v>
      </c>
      <c r="X537" s="163" t="s">
        <v>112</v>
      </c>
      <c r="Y537" s="163" t="s">
        <v>112</v>
      </c>
      <c r="Z537" s="8" t="s">
        <v>69</v>
      </c>
      <c r="AA537" s="23" t="s">
        <v>115</v>
      </c>
      <c r="AB537" s="8" t="s">
        <v>369</v>
      </c>
      <c r="AE537" s="24"/>
      <c r="AM537" s="24"/>
    </row>
    <row r="538" ht="15.75" customHeight="1">
      <c r="A538" s="8">
        <v>834.0</v>
      </c>
      <c r="B538" s="158" t="s">
        <v>2137</v>
      </c>
      <c r="C538" s="156" t="s">
        <v>48</v>
      </c>
      <c r="D538" s="158" t="s">
        <v>112</v>
      </c>
      <c r="E538" s="158" t="s">
        <v>112</v>
      </c>
      <c r="F538" s="186">
        <v>42873.0</v>
      </c>
      <c r="G538" s="164">
        <v>42856.0</v>
      </c>
      <c r="H538" s="20" t="str">
        <f t="shared" si="35"/>
        <v>2017</v>
      </c>
      <c r="I538" s="8" t="s">
        <v>186</v>
      </c>
      <c r="J538" s="158" t="s">
        <v>112</v>
      </c>
      <c r="K538" s="158" t="s">
        <v>112</v>
      </c>
      <c r="L538" s="156" t="s">
        <v>100</v>
      </c>
      <c r="M538" s="190" t="s">
        <v>513</v>
      </c>
      <c r="N538" s="158" t="s">
        <v>2138</v>
      </c>
      <c r="O538" s="8" t="s">
        <v>2139</v>
      </c>
      <c r="P538" s="158" t="s">
        <v>106</v>
      </c>
      <c r="Q538" s="158" t="s">
        <v>112</v>
      </c>
      <c r="R538" s="156" t="s">
        <v>112</v>
      </c>
      <c r="S538" s="156" t="s">
        <v>112</v>
      </c>
      <c r="T538" s="156">
        <v>-76.19257027</v>
      </c>
      <c r="U538" s="156">
        <v>-2.56188563</v>
      </c>
      <c r="V538" s="156" t="s">
        <v>862</v>
      </c>
      <c r="W538" s="158" t="s">
        <v>112</v>
      </c>
      <c r="X538" s="158" t="s">
        <v>112</v>
      </c>
      <c r="Y538" s="158" t="s">
        <v>112</v>
      </c>
      <c r="Z538" s="8" t="s">
        <v>148</v>
      </c>
      <c r="AA538" s="23" t="s">
        <v>144</v>
      </c>
      <c r="AB538" s="8" t="s">
        <v>364</v>
      </c>
      <c r="AE538" s="24"/>
      <c r="AM538" s="24"/>
    </row>
    <row r="539" ht="15.75" customHeight="1">
      <c r="A539" s="8">
        <v>873.0</v>
      </c>
      <c r="B539" s="158" t="s">
        <v>2140</v>
      </c>
      <c r="C539" s="158" t="s">
        <v>57</v>
      </c>
      <c r="D539" s="158" t="s">
        <v>213</v>
      </c>
      <c r="E539" s="158" t="s">
        <v>112</v>
      </c>
      <c r="F539" s="205">
        <v>43059.0</v>
      </c>
      <c r="G539" s="161">
        <v>43040.0</v>
      </c>
      <c r="H539" s="20" t="str">
        <f t="shared" si="35"/>
        <v>2017</v>
      </c>
      <c r="I539" s="8" t="s">
        <v>176</v>
      </c>
      <c r="J539" s="158" t="s">
        <v>112</v>
      </c>
      <c r="K539" s="158" t="s">
        <v>112</v>
      </c>
      <c r="L539" s="158" t="s">
        <v>100</v>
      </c>
      <c r="M539" s="190" t="s">
        <v>513</v>
      </c>
      <c r="N539" s="166" t="s">
        <v>2141</v>
      </c>
      <c r="O539" s="8" t="s">
        <v>2142</v>
      </c>
      <c r="P539" s="158" t="s">
        <v>106</v>
      </c>
      <c r="Q539" s="158" t="s">
        <v>112</v>
      </c>
      <c r="R539" s="158" t="s">
        <v>112</v>
      </c>
      <c r="S539" s="158" t="s">
        <v>112</v>
      </c>
      <c r="T539" s="158" t="s">
        <v>2143</v>
      </c>
      <c r="U539" s="158" t="s">
        <v>2144</v>
      </c>
      <c r="V539" s="158" t="s">
        <v>1454</v>
      </c>
      <c r="W539" s="158" t="s">
        <v>112</v>
      </c>
      <c r="X539" s="158" t="s">
        <v>112</v>
      </c>
      <c r="Y539" s="158" t="s">
        <v>112</v>
      </c>
      <c r="Z539" s="8" t="s">
        <v>148</v>
      </c>
      <c r="AA539" s="23" t="s">
        <v>144</v>
      </c>
      <c r="AB539" s="8" t="s">
        <v>363</v>
      </c>
      <c r="AE539" s="24"/>
      <c r="AM539" s="24"/>
    </row>
    <row r="540" ht="15.75" customHeight="1">
      <c r="A540" s="8">
        <v>788.0</v>
      </c>
      <c r="B540" s="158" t="s">
        <v>2145</v>
      </c>
      <c r="C540" s="158" t="s">
        <v>51</v>
      </c>
      <c r="D540" s="158" t="s">
        <v>112</v>
      </c>
      <c r="E540" s="158" t="s">
        <v>112</v>
      </c>
      <c r="F540" s="165">
        <v>42807.0</v>
      </c>
      <c r="G540" s="164">
        <v>42795.0</v>
      </c>
      <c r="H540" s="20" t="str">
        <f t="shared" si="35"/>
        <v>2017</v>
      </c>
      <c r="I540" s="8" t="s">
        <v>176</v>
      </c>
      <c r="J540" s="158" t="s">
        <v>112</v>
      </c>
      <c r="K540" s="158" t="s">
        <v>112</v>
      </c>
      <c r="L540" s="158" t="s">
        <v>100</v>
      </c>
      <c r="M540" s="190" t="s">
        <v>513</v>
      </c>
      <c r="N540" s="158" t="s">
        <v>2146</v>
      </c>
      <c r="O540" s="8" t="s">
        <v>2147</v>
      </c>
      <c r="P540" s="158" t="s">
        <v>106</v>
      </c>
      <c r="Q540" s="158" t="s">
        <v>112</v>
      </c>
      <c r="R540" s="158" t="s">
        <v>112</v>
      </c>
      <c r="S540" s="158" t="s">
        <v>112</v>
      </c>
      <c r="T540" s="158" t="s">
        <v>112</v>
      </c>
      <c r="U540" s="158" t="s">
        <v>112</v>
      </c>
      <c r="V540" s="166" t="s">
        <v>548</v>
      </c>
      <c r="W540" s="158" t="s">
        <v>112</v>
      </c>
      <c r="X540" s="158" t="s">
        <v>112</v>
      </c>
      <c r="Y540" s="158" t="s">
        <v>112</v>
      </c>
      <c r="Z540" s="8" t="s">
        <v>148</v>
      </c>
      <c r="AA540" s="23" t="s">
        <v>144</v>
      </c>
      <c r="AB540" s="8" t="s">
        <v>360</v>
      </c>
      <c r="AE540" s="24"/>
      <c r="AM540" s="24"/>
    </row>
    <row r="541" ht="15.75" customHeight="1">
      <c r="A541" s="8">
        <v>787.0</v>
      </c>
      <c r="B541" s="158" t="s">
        <v>2148</v>
      </c>
      <c r="C541" s="158" t="s">
        <v>57</v>
      </c>
      <c r="D541" s="158" t="s">
        <v>112</v>
      </c>
      <c r="E541" s="158" t="s">
        <v>112</v>
      </c>
      <c r="F541" s="165">
        <v>42798.0</v>
      </c>
      <c r="G541" s="161">
        <v>42795.0</v>
      </c>
      <c r="H541" s="20" t="str">
        <f t="shared" si="35"/>
        <v>2017</v>
      </c>
      <c r="I541" s="8" t="s">
        <v>176</v>
      </c>
      <c r="J541" s="158" t="s">
        <v>112</v>
      </c>
      <c r="K541" s="158" t="s">
        <v>112</v>
      </c>
      <c r="L541" s="158" t="s">
        <v>100</v>
      </c>
      <c r="M541" s="190" t="s">
        <v>513</v>
      </c>
      <c r="N541" s="158" t="s">
        <v>2149</v>
      </c>
      <c r="O541" s="8" t="s">
        <v>2150</v>
      </c>
      <c r="P541" s="158" t="s">
        <v>106</v>
      </c>
      <c r="Q541" s="158" t="s">
        <v>112</v>
      </c>
      <c r="R541" s="158" t="s">
        <v>112</v>
      </c>
      <c r="S541" s="158" t="s">
        <v>112</v>
      </c>
      <c r="T541" s="158" t="s">
        <v>112</v>
      </c>
      <c r="U541" s="158" t="s">
        <v>112</v>
      </c>
      <c r="V541" s="158" t="s">
        <v>1196</v>
      </c>
      <c r="W541" s="158" t="s">
        <v>112</v>
      </c>
      <c r="X541" s="158" t="s">
        <v>112</v>
      </c>
      <c r="Y541" s="158" t="s">
        <v>112</v>
      </c>
      <c r="Z541" s="8" t="s">
        <v>148</v>
      </c>
      <c r="AA541" s="23" t="s">
        <v>144</v>
      </c>
      <c r="AB541" s="8" t="s">
        <v>359</v>
      </c>
      <c r="AE541" s="24"/>
      <c r="AM541" s="24"/>
    </row>
    <row r="542" ht="15.75" customHeight="1">
      <c r="A542" s="8">
        <v>798.0</v>
      </c>
      <c r="B542" s="158" t="s">
        <v>2151</v>
      </c>
      <c r="C542" s="158" t="s">
        <v>51</v>
      </c>
      <c r="D542" s="158" t="s">
        <v>112</v>
      </c>
      <c r="E542" s="158" t="s">
        <v>112</v>
      </c>
      <c r="F542" s="205">
        <v>42844.0</v>
      </c>
      <c r="G542" s="164">
        <v>42826.0</v>
      </c>
      <c r="H542" s="20" t="str">
        <f t="shared" si="35"/>
        <v>2017</v>
      </c>
      <c r="I542" s="8" t="s">
        <v>186</v>
      </c>
      <c r="J542" s="158" t="s">
        <v>112</v>
      </c>
      <c r="K542" s="158" t="s">
        <v>112</v>
      </c>
      <c r="L542" s="158" t="s">
        <v>100</v>
      </c>
      <c r="M542" s="211" t="s">
        <v>112</v>
      </c>
      <c r="N542" s="158" t="s">
        <v>2152</v>
      </c>
      <c r="O542" s="8" t="s">
        <v>2153</v>
      </c>
      <c r="P542" s="158" t="s">
        <v>106</v>
      </c>
      <c r="Q542" s="158" t="s">
        <v>112</v>
      </c>
      <c r="R542" s="158" t="s">
        <v>112</v>
      </c>
      <c r="S542" s="158" t="s">
        <v>112</v>
      </c>
      <c r="T542" s="158" t="s">
        <v>112</v>
      </c>
      <c r="U542" s="158" t="s">
        <v>112</v>
      </c>
      <c r="V542" s="158" t="s">
        <v>190</v>
      </c>
      <c r="W542" s="158" t="s">
        <v>112</v>
      </c>
      <c r="X542" s="158" t="s">
        <v>112</v>
      </c>
      <c r="Y542" s="158" t="s">
        <v>112</v>
      </c>
      <c r="Z542" s="8" t="s">
        <v>148</v>
      </c>
      <c r="AA542" s="23" t="s">
        <v>144</v>
      </c>
      <c r="AB542" s="8" t="s">
        <v>359</v>
      </c>
      <c r="AE542" s="24"/>
      <c r="AM542" s="24"/>
    </row>
    <row r="543" ht="15.75" customHeight="1">
      <c r="A543" s="8">
        <v>814.0</v>
      </c>
      <c r="B543" s="158" t="s">
        <v>2154</v>
      </c>
      <c r="C543" s="158" t="s">
        <v>57</v>
      </c>
      <c r="D543" s="158" t="s">
        <v>213</v>
      </c>
      <c r="E543" s="158" t="s">
        <v>112</v>
      </c>
      <c r="F543" s="205">
        <v>42869.0</v>
      </c>
      <c r="G543" s="164">
        <v>42856.0</v>
      </c>
      <c r="H543" s="20" t="str">
        <f t="shared" si="35"/>
        <v>2017</v>
      </c>
      <c r="I543" s="8" t="s">
        <v>176</v>
      </c>
      <c r="J543" s="158" t="s">
        <v>112</v>
      </c>
      <c r="K543" s="158" t="s">
        <v>112</v>
      </c>
      <c r="L543" s="158" t="s">
        <v>100</v>
      </c>
      <c r="M543" s="190" t="s">
        <v>513</v>
      </c>
      <c r="N543" s="158" t="s">
        <v>2155</v>
      </c>
      <c r="O543" s="8" t="s">
        <v>2156</v>
      </c>
      <c r="P543" s="158" t="s">
        <v>106</v>
      </c>
      <c r="Q543" s="158" t="s">
        <v>112</v>
      </c>
      <c r="R543" s="158" t="s">
        <v>112</v>
      </c>
      <c r="S543" s="158" t="s">
        <v>112</v>
      </c>
      <c r="T543" s="158">
        <v>-75.85124676</v>
      </c>
      <c r="U543" s="158">
        <v>-2.36196709</v>
      </c>
      <c r="V543" s="158" t="s">
        <v>1454</v>
      </c>
      <c r="W543" s="158" t="s">
        <v>112</v>
      </c>
      <c r="X543" s="158" t="s">
        <v>112</v>
      </c>
      <c r="Y543" s="158" t="s">
        <v>112</v>
      </c>
      <c r="Z543" s="8" t="s">
        <v>148</v>
      </c>
      <c r="AA543" s="23" t="s">
        <v>144</v>
      </c>
      <c r="AB543" s="8" t="s">
        <v>358</v>
      </c>
      <c r="AE543" s="24"/>
      <c r="AM543" s="24"/>
    </row>
    <row r="544" ht="15.75" customHeight="1">
      <c r="A544" s="8">
        <v>784.0</v>
      </c>
      <c r="B544" s="163" t="s">
        <v>2157</v>
      </c>
      <c r="C544" s="163" t="s">
        <v>57</v>
      </c>
      <c r="D544" s="163" t="s">
        <v>112</v>
      </c>
      <c r="E544" s="163" t="s">
        <v>112</v>
      </c>
      <c r="F544" s="205">
        <v>42797.0</v>
      </c>
      <c r="G544" s="178">
        <v>42795.0</v>
      </c>
      <c r="H544" s="42" t="str">
        <f t="shared" si="35"/>
        <v>2017</v>
      </c>
      <c r="I544" s="8" t="s">
        <v>176</v>
      </c>
      <c r="J544" s="163" t="s">
        <v>112</v>
      </c>
      <c r="K544" s="163" t="s">
        <v>112</v>
      </c>
      <c r="L544" s="163" t="s">
        <v>100</v>
      </c>
      <c r="M544" s="202" t="s">
        <v>187</v>
      </c>
      <c r="N544" s="163" t="s">
        <v>2158</v>
      </c>
      <c r="O544" s="8" t="s">
        <v>2159</v>
      </c>
      <c r="P544" s="163" t="s">
        <v>106</v>
      </c>
      <c r="Q544" s="163" t="s">
        <v>112</v>
      </c>
      <c r="R544" s="163" t="s">
        <v>112</v>
      </c>
      <c r="S544" s="246" t="s">
        <v>112</v>
      </c>
      <c r="T544" s="127">
        <v>-75.80275417</v>
      </c>
      <c r="U544" s="127">
        <v>-2.38617791</v>
      </c>
      <c r="V544" s="269" t="s">
        <v>2160</v>
      </c>
      <c r="W544" s="163" t="s">
        <v>112</v>
      </c>
      <c r="X544" s="163" t="s">
        <v>112</v>
      </c>
      <c r="Y544" s="163" t="s">
        <v>112</v>
      </c>
      <c r="Z544" s="8" t="s">
        <v>148</v>
      </c>
      <c r="AA544" s="23" t="s">
        <v>144</v>
      </c>
      <c r="AB544" s="8" t="s">
        <v>357</v>
      </c>
      <c r="AE544" s="24"/>
      <c r="AM544" s="24"/>
    </row>
    <row r="545" ht="15.75" customHeight="1">
      <c r="A545" s="8">
        <v>785.0</v>
      </c>
      <c r="B545" s="158" t="s">
        <v>2161</v>
      </c>
      <c r="C545" s="158" t="s">
        <v>57</v>
      </c>
      <c r="D545" s="158" t="s">
        <v>213</v>
      </c>
      <c r="E545" s="158" t="s">
        <v>112</v>
      </c>
      <c r="F545" s="205">
        <v>42797.0</v>
      </c>
      <c r="G545" s="161">
        <v>42795.0</v>
      </c>
      <c r="H545" s="20" t="str">
        <f t="shared" si="35"/>
        <v>2017</v>
      </c>
      <c r="I545" s="8" t="s">
        <v>176</v>
      </c>
      <c r="J545" s="158" t="s">
        <v>112</v>
      </c>
      <c r="K545" s="158" t="s">
        <v>112</v>
      </c>
      <c r="L545" s="158" t="s">
        <v>100</v>
      </c>
      <c r="M545" s="190" t="s">
        <v>513</v>
      </c>
      <c r="N545" s="158" t="s">
        <v>2162</v>
      </c>
      <c r="O545" s="8" t="s">
        <v>2163</v>
      </c>
      <c r="P545" s="158" t="s">
        <v>106</v>
      </c>
      <c r="Q545" s="158" t="s">
        <v>112</v>
      </c>
      <c r="R545" s="158" t="s">
        <v>112</v>
      </c>
      <c r="S545" s="158" t="s">
        <v>112</v>
      </c>
      <c r="T545" s="158" t="s">
        <v>2164</v>
      </c>
      <c r="U545" s="158" t="s">
        <v>2165</v>
      </c>
      <c r="V545" s="158" t="s">
        <v>2166</v>
      </c>
      <c r="W545" s="158" t="s">
        <v>112</v>
      </c>
      <c r="X545" s="158" t="s">
        <v>112</v>
      </c>
      <c r="Y545" s="158" t="s">
        <v>112</v>
      </c>
      <c r="Z545" s="8" t="s">
        <v>148</v>
      </c>
      <c r="AA545" s="23" t="s">
        <v>144</v>
      </c>
      <c r="AB545" s="8" t="s">
        <v>357</v>
      </c>
      <c r="AE545" s="24"/>
      <c r="AM545" s="24"/>
    </row>
    <row r="546" ht="15.75" customHeight="1">
      <c r="A546" s="8">
        <v>782.0</v>
      </c>
      <c r="B546" s="271" t="s">
        <v>2167</v>
      </c>
      <c r="C546" s="163" t="s">
        <v>57</v>
      </c>
      <c r="D546" s="181" t="s">
        <v>112</v>
      </c>
      <c r="E546" s="163" t="s">
        <v>112</v>
      </c>
      <c r="F546" s="205">
        <v>42787.0</v>
      </c>
      <c r="G546" s="169">
        <v>42767.0</v>
      </c>
      <c r="H546" s="42" t="str">
        <f t="shared" si="35"/>
        <v>2017</v>
      </c>
      <c r="I546" s="8" t="s">
        <v>176</v>
      </c>
      <c r="J546" s="163" t="s">
        <v>112</v>
      </c>
      <c r="K546" s="163" t="s">
        <v>112</v>
      </c>
      <c r="L546" s="163" t="s">
        <v>100</v>
      </c>
      <c r="M546" s="168" t="s">
        <v>513</v>
      </c>
      <c r="N546" s="163" t="s">
        <v>2168</v>
      </c>
      <c r="O546" s="8" t="s">
        <v>2150</v>
      </c>
      <c r="P546" s="163" t="s">
        <v>106</v>
      </c>
      <c r="Q546" s="181" t="s">
        <v>112</v>
      </c>
      <c r="R546" s="163" t="s">
        <v>112</v>
      </c>
      <c r="S546" s="246" t="s">
        <v>112</v>
      </c>
      <c r="T546" s="127" t="s">
        <v>112</v>
      </c>
      <c r="U546" s="127" t="s">
        <v>112</v>
      </c>
      <c r="V546" s="269" t="s">
        <v>1196</v>
      </c>
      <c r="W546" s="163" t="s">
        <v>112</v>
      </c>
      <c r="X546" s="163" t="s">
        <v>112</v>
      </c>
      <c r="Y546" s="163" t="s">
        <v>112</v>
      </c>
      <c r="Z546" s="8" t="s">
        <v>148</v>
      </c>
      <c r="AA546" s="23" t="s">
        <v>144</v>
      </c>
      <c r="AB546" s="8" t="s">
        <v>344</v>
      </c>
      <c r="AE546" s="24"/>
      <c r="AM546" s="24"/>
    </row>
    <row r="547" ht="15.75" customHeight="1">
      <c r="A547" s="8">
        <v>2.0</v>
      </c>
      <c r="B547" s="146" t="s">
        <v>2169</v>
      </c>
      <c r="C547" s="128" t="s">
        <v>51</v>
      </c>
      <c r="D547" s="128" t="s">
        <v>683</v>
      </c>
      <c r="E547" s="128" t="s">
        <v>90</v>
      </c>
      <c r="F547" s="272">
        <v>43104.0</v>
      </c>
      <c r="G547" s="146" t="s">
        <v>112</v>
      </c>
      <c r="H547" s="28" t="s">
        <v>112</v>
      </c>
      <c r="I547" s="8" t="s">
        <v>1580</v>
      </c>
      <c r="J547" s="128" t="s">
        <v>163</v>
      </c>
      <c r="K547" s="128" t="s">
        <v>99</v>
      </c>
      <c r="L547" s="146" t="s">
        <v>100</v>
      </c>
      <c r="M547" s="141" t="s">
        <v>150</v>
      </c>
      <c r="N547" s="128" t="s">
        <v>2170</v>
      </c>
      <c r="O547" s="8" t="s">
        <v>2171</v>
      </c>
      <c r="P547" s="128" t="s">
        <v>106</v>
      </c>
      <c r="Q547" s="128" t="s">
        <v>112</v>
      </c>
      <c r="R547" s="128" t="s">
        <v>112</v>
      </c>
      <c r="S547" s="128" t="s">
        <v>112</v>
      </c>
      <c r="T547" s="128" t="s">
        <v>112</v>
      </c>
      <c r="U547" s="128" t="s">
        <v>112</v>
      </c>
      <c r="V547" s="128" t="s">
        <v>190</v>
      </c>
      <c r="W547" s="128" t="s">
        <v>112</v>
      </c>
      <c r="X547" s="128">
        <v>0.0</v>
      </c>
      <c r="Y547" s="128" t="s">
        <v>112</v>
      </c>
      <c r="Z547" s="23" t="s">
        <v>42</v>
      </c>
      <c r="AA547" s="23" t="s">
        <v>115</v>
      </c>
      <c r="AB547" s="8" t="s">
        <v>343</v>
      </c>
      <c r="AE547" s="24"/>
      <c r="AM547" s="24"/>
    </row>
    <row r="548" ht="15.75" customHeight="1">
      <c r="A548" s="8">
        <v>831.0</v>
      </c>
      <c r="B548" s="158" t="s">
        <v>2172</v>
      </c>
      <c r="C548" s="156" t="s">
        <v>48</v>
      </c>
      <c r="D548" s="158" t="s">
        <v>112</v>
      </c>
      <c r="E548" s="158" t="s">
        <v>112</v>
      </c>
      <c r="F548" s="205">
        <v>42873.0</v>
      </c>
      <c r="G548" s="164">
        <v>42856.0</v>
      </c>
      <c r="H548" s="20" t="str">
        <f t="shared" ref="H548:H838" si="36">TEXT(G548, "yyyy")</f>
        <v>2017</v>
      </c>
      <c r="I548" s="8" t="s">
        <v>186</v>
      </c>
      <c r="J548" s="158" t="s">
        <v>112</v>
      </c>
      <c r="K548" s="158" t="s">
        <v>112</v>
      </c>
      <c r="L548" s="156" t="s">
        <v>100</v>
      </c>
      <c r="M548" s="190" t="s">
        <v>513</v>
      </c>
      <c r="N548" s="158" t="s">
        <v>2173</v>
      </c>
      <c r="O548" s="8" t="s">
        <v>2174</v>
      </c>
      <c r="P548" s="158" t="s">
        <v>106</v>
      </c>
      <c r="Q548" s="158" t="s">
        <v>112</v>
      </c>
      <c r="R548" s="158" t="s">
        <v>112</v>
      </c>
      <c r="S548" s="158" t="s">
        <v>112</v>
      </c>
      <c r="T548" s="156">
        <v>-76.1926808</v>
      </c>
      <c r="U548" s="156">
        <v>-2.56167928</v>
      </c>
      <c r="V548" s="156" t="s">
        <v>862</v>
      </c>
      <c r="W548" s="158" t="s">
        <v>112</v>
      </c>
      <c r="X548" s="158" t="s">
        <v>112</v>
      </c>
      <c r="Y548" s="158" t="s">
        <v>112</v>
      </c>
      <c r="Z548" s="8" t="s">
        <v>148</v>
      </c>
      <c r="AA548" s="23" t="s">
        <v>144</v>
      </c>
      <c r="AB548" s="8" t="s">
        <v>341</v>
      </c>
      <c r="AE548" s="24"/>
      <c r="AM548" s="24"/>
    </row>
    <row r="549" ht="15.75" customHeight="1">
      <c r="A549" s="8">
        <v>833.0</v>
      </c>
      <c r="B549" s="158" t="s">
        <v>2175</v>
      </c>
      <c r="C549" s="156" t="s">
        <v>48</v>
      </c>
      <c r="D549" s="158" t="s">
        <v>112</v>
      </c>
      <c r="E549" s="158" t="s">
        <v>112</v>
      </c>
      <c r="F549" s="205">
        <v>42873.0</v>
      </c>
      <c r="G549" s="164">
        <v>42856.0</v>
      </c>
      <c r="H549" s="20" t="str">
        <f t="shared" si="36"/>
        <v>2017</v>
      </c>
      <c r="I549" s="8" t="s">
        <v>172</v>
      </c>
      <c r="J549" s="158" t="s">
        <v>112</v>
      </c>
      <c r="K549" s="158" t="s">
        <v>112</v>
      </c>
      <c r="L549" s="156" t="s">
        <v>100</v>
      </c>
      <c r="M549" s="190" t="s">
        <v>513</v>
      </c>
      <c r="N549" s="158" t="s">
        <v>2176</v>
      </c>
      <c r="O549" s="8" t="s">
        <v>2177</v>
      </c>
      <c r="P549" s="158" t="s">
        <v>106</v>
      </c>
      <c r="Q549" s="158" t="s">
        <v>112</v>
      </c>
      <c r="R549" s="158" t="s">
        <v>112</v>
      </c>
      <c r="S549" s="158" t="s">
        <v>112</v>
      </c>
      <c r="T549" s="156">
        <v>-76.19246198</v>
      </c>
      <c r="U549" s="156">
        <v>-2.56184906</v>
      </c>
      <c r="V549" s="156" t="s">
        <v>862</v>
      </c>
      <c r="W549" s="158" t="s">
        <v>112</v>
      </c>
      <c r="X549" s="158" t="s">
        <v>112</v>
      </c>
      <c r="Y549" s="158" t="s">
        <v>112</v>
      </c>
      <c r="Z549" s="8" t="s">
        <v>148</v>
      </c>
      <c r="AA549" s="23" t="s">
        <v>144</v>
      </c>
      <c r="AB549" s="8" t="s">
        <v>341</v>
      </c>
      <c r="AE549" s="24"/>
      <c r="AM549" s="24"/>
    </row>
    <row r="550" ht="15.75" customHeight="1">
      <c r="A550" s="8">
        <v>840.0</v>
      </c>
      <c r="B550" s="158" t="s">
        <v>2178</v>
      </c>
      <c r="C550" s="156" t="s">
        <v>48</v>
      </c>
      <c r="D550" s="158" t="s">
        <v>112</v>
      </c>
      <c r="E550" s="158" t="s">
        <v>112</v>
      </c>
      <c r="F550" s="205">
        <v>42876.0</v>
      </c>
      <c r="G550" s="164">
        <v>42856.0</v>
      </c>
      <c r="H550" s="20" t="str">
        <f t="shared" si="36"/>
        <v>2017</v>
      </c>
      <c r="I550" s="8" t="s">
        <v>176</v>
      </c>
      <c r="J550" s="158" t="s">
        <v>112</v>
      </c>
      <c r="K550" s="158" t="s">
        <v>112</v>
      </c>
      <c r="L550" s="156" t="s">
        <v>100</v>
      </c>
      <c r="M550" s="190" t="s">
        <v>513</v>
      </c>
      <c r="N550" s="158" t="s">
        <v>2179</v>
      </c>
      <c r="O550" s="8" t="s">
        <v>2180</v>
      </c>
      <c r="P550" s="158" t="s">
        <v>106</v>
      </c>
      <c r="Q550" s="158" t="s">
        <v>112</v>
      </c>
      <c r="R550" s="158" t="s">
        <v>112</v>
      </c>
      <c r="S550" s="158" t="s">
        <v>112</v>
      </c>
      <c r="T550" s="156">
        <v>-76.13243872</v>
      </c>
      <c r="U550" s="156">
        <v>-2.45534805</v>
      </c>
      <c r="V550" s="156" t="s">
        <v>862</v>
      </c>
      <c r="W550" s="158" t="s">
        <v>112</v>
      </c>
      <c r="X550" s="158" t="s">
        <v>112</v>
      </c>
      <c r="Y550" s="158" t="s">
        <v>112</v>
      </c>
      <c r="Z550" s="8" t="s">
        <v>148</v>
      </c>
      <c r="AA550" s="23" t="s">
        <v>144</v>
      </c>
      <c r="AB550" s="8" t="s">
        <v>341</v>
      </c>
      <c r="AE550" s="24"/>
      <c r="AM550" s="24"/>
    </row>
    <row r="551" ht="15.75" customHeight="1">
      <c r="A551" s="8">
        <v>775.0</v>
      </c>
      <c r="B551" s="188" t="s">
        <v>2181</v>
      </c>
      <c r="C551" s="163" t="s">
        <v>57</v>
      </c>
      <c r="D551" s="181" t="s">
        <v>112</v>
      </c>
      <c r="E551" s="163" t="s">
        <v>112</v>
      </c>
      <c r="F551" s="204">
        <v>42767.0</v>
      </c>
      <c r="G551" s="169">
        <v>42767.0</v>
      </c>
      <c r="H551" s="42" t="str">
        <f t="shared" si="36"/>
        <v>2017</v>
      </c>
      <c r="I551" s="8" t="s">
        <v>176</v>
      </c>
      <c r="J551" s="163" t="s">
        <v>112</v>
      </c>
      <c r="K551" s="163" t="s">
        <v>112</v>
      </c>
      <c r="L551" s="163" t="s">
        <v>100</v>
      </c>
      <c r="M551" s="270" t="s">
        <v>513</v>
      </c>
      <c r="N551" s="163" t="s">
        <v>2182</v>
      </c>
      <c r="O551" s="8" t="s">
        <v>2183</v>
      </c>
      <c r="P551" s="163" t="s">
        <v>106</v>
      </c>
      <c r="Q551" s="181" t="s">
        <v>112</v>
      </c>
      <c r="R551" s="163" t="s">
        <v>112</v>
      </c>
      <c r="S551" s="246" t="s">
        <v>112</v>
      </c>
      <c r="T551" s="127" t="s">
        <v>112</v>
      </c>
      <c r="U551" s="127" t="s">
        <v>112</v>
      </c>
      <c r="V551" s="269" t="s">
        <v>2184</v>
      </c>
      <c r="W551" s="163" t="s">
        <v>112</v>
      </c>
      <c r="X551" s="163" t="s">
        <v>112</v>
      </c>
      <c r="Y551" s="163" t="s">
        <v>112</v>
      </c>
      <c r="Z551" s="8" t="s">
        <v>69</v>
      </c>
      <c r="AA551" s="23" t="s">
        <v>115</v>
      </c>
      <c r="AB551" s="8" t="s">
        <v>340</v>
      </c>
      <c r="AE551" s="24"/>
      <c r="AM551" s="24"/>
    </row>
    <row r="552" ht="15.75" customHeight="1">
      <c r="A552" s="8">
        <v>912.0</v>
      </c>
      <c r="B552" s="158" t="s">
        <v>2185</v>
      </c>
      <c r="C552" s="158" t="s">
        <v>51</v>
      </c>
      <c r="D552" s="158" t="s">
        <v>112</v>
      </c>
      <c r="E552" s="158" t="s">
        <v>112</v>
      </c>
      <c r="F552" s="205">
        <v>43179.0</v>
      </c>
      <c r="G552" s="164">
        <v>43160.0</v>
      </c>
      <c r="H552" s="20" t="str">
        <f t="shared" si="36"/>
        <v>2018</v>
      </c>
      <c r="I552" s="8" t="s">
        <v>186</v>
      </c>
      <c r="J552" s="158" t="s">
        <v>112</v>
      </c>
      <c r="K552" s="158" t="s">
        <v>112</v>
      </c>
      <c r="L552" s="158" t="s">
        <v>100</v>
      </c>
      <c r="M552" s="211" t="s">
        <v>112</v>
      </c>
      <c r="N552" s="166" t="s">
        <v>492</v>
      </c>
      <c r="O552" s="8" t="s">
        <v>449</v>
      </c>
      <c r="P552" s="158" t="s">
        <v>106</v>
      </c>
      <c r="Q552" s="158" t="s">
        <v>112</v>
      </c>
      <c r="R552" s="158" t="s">
        <v>112</v>
      </c>
      <c r="S552" s="158" t="s">
        <v>112</v>
      </c>
      <c r="T552" s="158" t="s">
        <v>112</v>
      </c>
      <c r="U552" s="158" t="s">
        <v>112</v>
      </c>
      <c r="V552" s="158" t="s">
        <v>190</v>
      </c>
      <c r="W552" s="158" t="s">
        <v>112</v>
      </c>
      <c r="X552" s="158" t="s">
        <v>112</v>
      </c>
      <c r="Y552" s="158" t="s">
        <v>112</v>
      </c>
      <c r="Z552" s="8" t="s">
        <v>148</v>
      </c>
      <c r="AA552" s="23" t="s">
        <v>115</v>
      </c>
      <c r="AB552" s="8" t="s">
        <v>338</v>
      </c>
      <c r="AE552" s="24"/>
      <c r="AM552" s="24"/>
    </row>
    <row r="553" ht="15.75" customHeight="1">
      <c r="A553" s="8">
        <v>922.0</v>
      </c>
      <c r="B553" s="158" t="s">
        <v>2186</v>
      </c>
      <c r="C553" s="158" t="s">
        <v>57</v>
      </c>
      <c r="D553" s="158" t="s">
        <v>112</v>
      </c>
      <c r="E553" s="158" t="s">
        <v>112</v>
      </c>
      <c r="F553" s="205">
        <v>43195.0</v>
      </c>
      <c r="G553" s="161">
        <v>43191.0</v>
      </c>
      <c r="H553" s="20" t="str">
        <f t="shared" si="36"/>
        <v>2018</v>
      </c>
      <c r="I553" s="8" t="s">
        <v>176</v>
      </c>
      <c r="J553" s="158" t="s">
        <v>112</v>
      </c>
      <c r="K553" s="158" t="s">
        <v>112</v>
      </c>
      <c r="L553" s="158" t="s">
        <v>100</v>
      </c>
      <c r="M553" s="156" t="s">
        <v>513</v>
      </c>
      <c r="N553" s="158" t="s">
        <v>2187</v>
      </c>
      <c r="O553" s="8"/>
      <c r="P553" s="158" t="s">
        <v>106</v>
      </c>
      <c r="Q553" s="158" t="s">
        <v>112</v>
      </c>
      <c r="R553" s="158" t="s">
        <v>112</v>
      </c>
      <c r="S553" s="158" t="s">
        <v>112</v>
      </c>
      <c r="T553" s="158" t="s">
        <v>112</v>
      </c>
      <c r="U553" s="158" t="s">
        <v>112</v>
      </c>
      <c r="V553" s="158" t="s">
        <v>1073</v>
      </c>
      <c r="W553" s="158" t="s">
        <v>112</v>
      </c>
      <c r="X553" s="158" t="s">
        <v>112</v>
      </c>
      <c r="Y553" s="158" t="s">
        <v>112</v>
      </c>
      <c r="Z553" s="8" t="s">
        <v>148</v>
      </c>
      <c r="AA553" s="23" t="s">
        <v>144</v>
      </c>
      <c r="AB553" s="8" t="s">
        <v>337</v>
      </c>
      <c r="AE553" s="24"/>
      <c r="AM553" s="24"/>
    </row>
    <row r="554" ht="15.75" customHeight="1">
      <c r="A554" s="8">
        <v>789.0</v>
      </c>
      <c r="B554" s="158" t="s">
        <v>2188</v>
      </c>
      <c r="C554" s="158" t="s">
        <v>51</v>
      </c>
      <c r="D554" s="158" t="s">
        <v>112</v>
      </c>
      <c r="E554" s="158" t="s">
        <v>112</v>
      </c>
      <c r="F554" s="165">
        <v>42812.0</v>
      </c>
      <c r="G554" s="164">
        <v>42795.0</v>
      </c>
      <c r="H554" s="20" t="str">
        <f t="shared" si="36"/>
        <v>2017</v>
      </c>
      <c r="I554" s="8" t="s">
        <v>172</v>
      </c>
      <c r="J554" s="158" t="s">
        <v>112</v>
      </c>
      <c r="K554" s="158" t="s">
        <v>112</v>
      </c>
      <c r="L554" s="158" t="s">
        <v>100</v>
      </c>
      <c r="M554" s="211" t="s">
        <v>112</v>
      </c>
      <c r="N554" s="158" t="s">
        <v>2189</v>
      </c>
      <c r="O554" s="8"/>
      <c r="P554" s="158" t="s">
        <v>106</v>
      </c>
      <c r="Q554" s="158" t="s">
        <v>112</v>
      </c>
      <c r="R554" s="158" t="s">
        <v>112</v>
      </c>
      <c r="S554" s="158" t="s">
        <v>112</v>
      </c>
      <c r="T554" s="158" t="s">
        <v>112</v>
      </c>
      <c r="U554" s="158" t="s">
        <v>112</v>
      </c>
      <c r="V554" s="158" t="s">
        <v>548</v>
      </c>
      <c r="W554" s="158" t="s">
        <v>112</v>
      </c>
      <c r="X554" s="158" t="s">
        <v>112</v>
      </c>
      <c r="Y554" s="158" t="s">
        <v>112</v>
      </c>
      <c r="Z554" s="8" t="s">
        <v>148</v>
      </c>
      <c r="AA554" s="23" t="s">
        <v>144</v>
      </c>
      <c r="AB554" s="8" t="s">
        <v>336</v>
      </c>
      <c r="AE554" s="24"/>
      <c r="AM554" s="24"/>
    </row>
    <row r="555" ht="15.75" customHeight="1">
      <c r="A555" s="8">
        <v>929.0</v>
      </c>
      <c r="B555" s="158" t="s">
        <v>2190</v>
      </c>
      <c r="C555" s="156" t="s">
        <v>48</v>
      </c>
      <c r="D555" s="157" t="s">
        <v>112</v>
      </c>
      <c r="E555" s="158" t="s">
        <v>112</v>
      </c>
      <c r="F555" s="205">
        <v>43222.0</v>
      </c>
      <c r="G555" s="160">
        <v>43221.0</v>
      </c>
      <c r="H555" s="20" t="str">
        <f t="shared" si="36"/>
        <v>2018</v>
      </c>
      <c r="I555" s="8" t="s">
        <v>176</v>
      </c>
      <c r="J555" s="157" t="s">
        <v>112</v>
      </c>
      <c r="K555" s="157" t="s">
        <v>112</v>
      </c>
      <c r="L555" s="156" t="s">
        <v>100</v>
      </c>
      <c r="M555" s="211" t="s">
        <v>513</v>
      </c>
      <c r="N555" s="158" t="s">
        <v>2191</v>
      </c>
      <c r="O555" s="8" t="s">
        <v>2192</v>
      </c>
      <c r="P555" s="158" t="s">
        <v>106</v>
      </c>
      <c r="Q555" s="157" t="s">
        <v>112</v>
      </c>
      <c r="R555" s="158" t="s">
        <v>112</v>
      </c>
      <c r="S555" s="158" t="s">
        <v>112</v>
      </c>
      <c r="T555" s="158" t="s">
        <v>112</v>
      </c>
      <c r="U555" s="158" t="s">
        <v>112</v>
      </c>
      <c r="V555" s="158" t="s">
        <v>2193</v>
      </c>
      <c r="W555" s="157" t="s">
        <v>112</v>
      </c>
      <c r="X555" s="157" t="s">
        <v>112</v>
      </c>
      <c r="Y555" s="157" t="s">
        <v>112</v>
      </c>
      <c r="Z555" s="8" t="s">
        <v>148</v>
      </c>
      <c r="AA555" s="23" t="s">
        <v>144</v>
      </c>
      <c r="AB555" s="8" t="s">
        <v>335</v>
      </c>
      <c r="AE555" s="24"/>
      <c r="AM555" s="24"/>
    </row>
    <row r="556" ht="15.75" customHeight="1">
      <c r="A556" s="8">
        <v>867.0</v>
      </c>
      <c r="B556" s="158" t="s">
        <v>2194</v>
      </c>
      <c r="C556" s="158" t="s">
        <v>57</v>
      </c>
      <c r="D556" s="158" t="s">
        <v>112</v>
      </c>
      <c r="E556" s="158" t="s">
        <v>112</v>
      </c>
      <c r="F556" s="205">
        <v>43003.0</v>
      </c>
      <c r="G556" s="161">
        <v>42979.0</v>
      </c>
      <c r="H556" s="20" t="str">
        <f t="shared" si="36"/>
        <v>2017</v>
      </c>
      <c r="I556" s="8" t="s">
        <v>172</v>
      </c>
      <c r="J556" s="158" t="s">
        <v>112</v>
      </c>
      <c r="K556" s="158" t="s">
        <v>112</v>
      </c>
      <c r="L556" s="158" t="s">
        <v>100</v>
      </c>
      <c r="M556" s="156" t="s">
        <v>513</v>
      </c>
      <c r="N556" s="158" t="s">
        <v>2195</v>
      </c>
      <c r="O556" s="29" t="s">
        <v>2196</v>
      </c>
      <c r="P556" s="158" t="s">
        <v>106</v>
      </c>
      <c r="Q556" s="158" t="s">
        <v>112</v>
      </c>
      <c r="R556" s="158" t="s">
        <v>112</v>
      </c>
      <c r="S556" s="158" t="s">
        <v>112</v>
      </c>
      <c r="T556" s="158" t="s">
        <v>112</v>
      </c>
      <c r="U556" s="158" t="s">
        <v>112</v>
      </c>
      <c r="V556" s="158" t="s">
        <v>1226</v>
      </c>
      <c r="W556" s="158" t="s">
        <v>112</v>
      </c>
      <c r="X556" s="158" t="s">
        <v>112</v>
      </c>
      <c r="Y556" s="158" t="s">
        <v>112</v>
      </c>
      <c r="Z556" s="8" t="s">
        <v>148</v>
      </c>
      <c r="AA556" s="23" t="s">
        <v>144</v>
      </c>
      <c r="AB556" s="8" t="s">
        <v>334</v>
      </c>
      <c r="AE556" s="24"/>
      <c r="AM556" s="24"/>
    </row>
    <row r="557" ht="15.75" customHeight="1">
      <c r="A557" s="8">
        <v>855.0</v>
      </c>
      <c r="B557" s="158" t="s">
        <v>2197</v>
      </c>
      <c r="C557" s="158" t="s">
        <v>51</v>
      </c>
      <c r="D557" s="158" t="s">
        <v>112</v>
      </c>
      <c r="E557" s="158" t="s">
        <v>112</v>
      </c>
      <c r="F557" s="205">
        <v>42968.0</v>
      </c>
      <c r="G557" s="164">
        <v>42948.0</v>
      </c>
      <c r="H557" s="20" t="str">
        <f t="shared" si="36"/>
        <v>2017</v>
      </c>
      <c r="I557" s="8" t="s">
        <v>63</v>
      </c>
      <c r="J557" s="158" t="s">
        <v>112</v>
      </c>
      <c r="K557" s="158" t="s">
        <v>112</v>
      </c>
      <c r="L557" s="158" t="s">
        <v>100</v>
      </c>
      <c r="M557" s="211" t="s">
        <v>112</v>
      </c>
      <c r="N557" s="156" t="s">
        <v>2198</v>
      </c>
      <c r="O557" s="8"/>
      <c r="P557" s="158" t="s">
        <v>106</v>
      </c>
      <c r="Q557" s="158" t="s">
        <v>112</v>
      </c>
      <c r="R557" s="158" t="s">
        <v>112</v>
      </c>
      <c r="S557" s="158" t="s">
        <v>112</v>
      </c>
      <c r="T557" s="158" t="s">
        <v>112</v>
      </c>
      <c r="U557" s="158" t="s">
        <v>112</v>
      </c>
      <c r="V557" s="158" t="s">
        <v>548</v>
      </c>
      <c r="W557" s="158" t="s">
        <v>112</v>
      </c>
      <c r="X557" s="158" t="s">
        <v>112</v>
      </c>
      <c r="Y557" s="158" t="s">
        <v>112</v>
      </c>
      <c r="Z557" s="8" t="s">
        <v>148</v>
      </c>
      <c r="AA557" s="23" t="s">
        <v>115</v>
      </c>
      <c r="AB557" s="8" t="s">
        <v>333</v>
      </c>
      <c r="AE557" s="24"/>
      <c r="AM557" s="24"/>
    </row>
    <row r="558" ht="15.75" customHeight="1">
      <c r="A558" s="8">
        <v>895.0</v>
      </c>
      <c r="B558" s="158" t="s">
        <v>2199</v>
      </c>
      <c r="C558" s="156" t="s">
        <v>48</v>
      </c>
      <c r="D558" s="157" t="s">
        <v>112</v>
      </c>
      <c r="E558" s="158" t="s">
        <v>112</v>
      </c>
      <c r="F558" s="186">
        <v>43165.0</v>
      </c>
      <c r="G558" s="160">
        <v>43160.0</v>
      </c>
      <c r="H558" s="20" t="str">
        <f t="shared" si="36"/>
        <v>2018</v>
      </c>
      <c r="I558" s="8" t="s">
        <v>186</v>
      </c>
      <c r="J558" s="157" t="s">
        <v>112</v>
      </c>
      <c r="K558" s="157" t="s">
        <v>112</v>
      </c>
      <c r="L558" s="158" t="s">
        <v>100</v>
      </c>
      <c r="M558" s="161" t="s">
        <v>112</v>
      </c>
      <c r="N558" s="156" t="s">
        <v>2200</v>
      </c>
      <c r="O558" s="23" t="s">
        <v>2201</v>
      </c>
      <c r="P558" s="158" t="s">
        <v>106</v>
      </c>
      <c r="Q558" s="157" t="s">
        <v>112</v>
      </c>
      <c r="R558" s="156" t="s">
        <v>112</v>
      </c>
      <c r="S558" s="156" t="s">
        <v>112</v>
      </c>
      <c r="T558" s="156" t="s">
        <v>112</v>
      </c>
      <c r="U558" s="156" t="s">
        <v>112</v>
      </c>
      <c r="V558" s="156" t="s">
        <v>673</v>
      </c>
      <c r="W558" s="157" t="s">
        <v>112</v>
      </c>
      <c r="X558" s="157" t="s">
        <v>112</v>
      </c>
      <c r="Y558" s="157" t="s">
        <v>112</v>
      </c>
      <c r="Z558" s="8" t="s">
        <v>148</v>
      </c>
      <c r="AA558" s="23" t="s">
        <v>144</v>
      </c>
      <c r="AB558" s="8" t="s">
        <v>332</v>
      </c>
      <c r="AE558" s="24"/>
      <c r="AM558" s="24"/>
    </row>
    <row r="559" ht="15.75" customHeight="1">
      <c r="A559" s="8">
        <v>823.0</v>
      </c>
      <c r="B559" s="158" t="s">
        <v>2202</v>
      </c>
      <c r="C559" s="158" t="s">
        <v>57</v>
      </c>
      <c r="D559" s="158" t="s">
        <v>213</v>
      </c>
      <c r="E559" s="158" t="s">
        <v>112</v>
      </c>
      <c r="F559" s="205">
        <v>42870.0</v>
      </c>
      <c r="G559" s="164">
        <v>42856.0</v>
      </c>
      <c r="H559" s="20" t="str">
        <f t="shared" si="36"/>
        <v>2017</v>
      </c>
      <c r="I559" s="8" t="s">
        <v>186</v>
      </c>
      <c r="J559" s="158" t="s">
        <v>112</v>
      </c>
      <c r="K559" s="158" t="s">
        <v>112</v>
      </c>
      <c r="L559" s="158" t="s">
        <v>100</v>
      </c>
      <c r="M559" s="206" t="s">
        <v>112</v>
      </c>
      <c r="N559" s="158" t="s">
        <v>2203</v>
      </c>
      <c r="O559" s="8" t="s">
        <v>2204</v>
      </c>
      <c r="P559" s="158" t="s">
        <v>106</v>
      </c>
      <c r="Q559" s="158" t="s">
        <v>112</v>
      </c>
      <c r="R559" s="158" t="s">
        <v>112</v>
      </c>
      <c r="S559" s="158" t="s">
        <v>112</v>
      </c>
      <c r="T559" s="158" t="s">
        <v>112</v>
      </c>
      <c r="U559" s="158" t="s">
        <v>112</v>
      </c>
      <c r="V559" s="158" t="s">
        <v>2205</v>
      </c>
      <c r="W559" s="158" t="s">
        <v>112</v>
      </c>
      <c r="X559" s="158" t="s">
        <v>112</v>
      </c>
      <c r="Y559" s="158" t="s">
        <v>112</v>
      </c>
      <c r="Z559" s="8" t="s">
        <v>148</v>
      </c>
      <c r="AA559" s="23" t="s">
        <v>144</v>
      </c>
      <c r="AB559" s="8" t="s">
        <v>331</v>
      </c>
      <c r="AE559" s="24"/>
      <c r="AM559" s="24"/>
    </row>
    <row r="560" ht="15.75" customHeight="1">
      <c r="A560" s="8">
        <v>921.0</v>
      </c>
      <c r="B560" s="188" t="s">
        <v>2206</v>
      </c>
      <c r="C560" s="163" t="s">
        <v>57</v>
      </c>
      <c r="D560" s="163" t="s">
        <v>112</v>
      </c>
      <c r="E560" s="163" t="s">
        <v>112</v>
      </c>
      <c r="F560" s="205">
        <v>43189.0</v>
      </c>
      <c r="G560" s="178">
        <v>43160.0</v>
      </c>
      <c r="H560" s="42" t="str">
        <f t="shared" si="36"/>
        <v>2018</v>
      </c>
      <c r="I560" s="8" t="s">
        <v>176</v>
      </c>
      <c r="J560" s="163" t="s">
        <v>112</v>
      </c>
      <c r="K560" s="163" t="s">
        <v>112</v>
      </c>
      <c r="L560" s="163" t="s">
        <v>100</v>
      </c>
      <c r="M560" s="167" t="s">
        <v>513</v>
      </c>
      <c r="N560" s="163" t="s">
        <v>2207</v>
      </c>
      <c r="O560" s="8" t="s">
        <v>2208</v>
      </c>
      <c r="P560" s="163" t="s">
        <v>106</v>
      </c>
      <c r="Q560" s="163" t="s">
        <v>112</v>
      </c>
      <c r="R560" s="163" t="s">
        <v>112</v>
      </c>
      <c r="S560" s="246" t="s">
        <v>112</v>
      </c>
      <c r="T560" s="127" t="s">
        <v>112</v>
      </c>
      <c r="U560" s="127" t="s">
        <v>112</v>
      </c>
      <c r="V560" s="269" t="s">
        <v>1073</v>
      </c>
      <c r="W560" s="163" t="s">
        <v>112</v>
      </c>
      <c r="X560" s="163" t="s">
        <v>112</v>
      </c>
      <c r="Y560" s="163" t="s">
        <v>112</v>
      </c>
      <c r="Z560" s="8" t="s">
        <v>148</v>
      </c>
      <c r="AA560" s="23" t="s">
        <v>144</v>
      </c>
      <c r="AB560" s="8" t="s">
        <v>331</v>
      </c>
      <c r="AE560" s="24"/>
      <c r="AM560" s="24"/>
    </row>
    <row r="561" ht="15.75" customHeight="1">
      <c r="A561" s="8">
        <v>791.0</v>
      </c>
      <c r="B561" s="158" t="s">
        <v>2209</v>
      </c>
      <c r="C561" s="158" t="s">
        <v>51</v>
      </c>
      <c r="D561" s="158" t="s">
        <v>112</v>
      </c>
      <c r="E561" s="158" t="s">
        <v>112</v>
      </c>
      <c r="F561" s="205">
        <v>42826.0</v>
      </c>
      <c r="G561" s="164">
        <v>42826.0</v>
      </c>
      <c r="H561" s="20" t="str">
        <f t="shared" si="36"/>
        <v>2017</v>
      </c>
      <c r="I561" s="8" t="s">
        <v>172</v>
      </c>
      <c r="J561" s="158" t="s">
        <v>112</v>
      </c>
      <c r="K561" s="158" t="s">
        <v>112</v>
      </c>
      <c r="L561" s="158" t="s">
        <v>100</v>
      </c>
      <c r="M561" s="211" t="s">
        <v>112</v>
      </c>
      <c r="N561" s="156" t="s">
        <v>2210</v>
      </c>
      <c r="O561" s="8"/>
      <c r="P561" s="158" t="s">
        <v>106</v>
      </c>
      <c r="Q561" s="158" t="s">
        <v>112</v>
      </c>
      <c r="R561" s="158" t="s">
        <v>112</v>
      </c>
      <c r="S561" s="158" t="s">
        <v>112</v>
      </c>
      <c r="T561" s="158" t="s">
        <v>112</v>
      </c>
      <c r="U561" s="158" t="s">
        <v>112</v>
      </c>
      <c r="V561" s="158" t="s">
        <v>548</v>
      </c>
      <c r="W561" s="158" t="s">
        <v>112</v>
      </c>
      <c r="X561" s="158" t="s">
        <v>112</v>
      </c>
      <c r="Y561" s="158" t="s">
        <v>112</v>
      </c>
      <c r="Z561" s="8" t="s">
        <v>148</v>
      </c>
      <c r="AA561" s="23" t="s">
        <v>144</v>
      </c>
      <c r="AB561" s="8" t="s">
        <v>330</v>
      </c>
      <c r="AE561" s="24"/>
      <c r="AM561" s="24"/>
    </row>
    <row r="562" ht="15.75" customHeight="1">
      <c r="A562" s="8">
        <v>792.0</v>
      </c>
      <c r="B562" s="158" t="s">
        <v>2211</v>
      </c>
      <c r="C562" s="158" t="s">
        <v>51</v>
      </c>
      <c r="D562" s="158" t="s">
        <v>112</v>
      </c>
      <c r="E562" s="158" t="s">
        <v>112</v>
      </c>
      <c r="F562" s="205">
        <v>42829.0</v>
      </c>
      <c r="G562" s="164">
        <v>42826.0</v>
      </c>
      <c r="H562" s="20" t="str">
        <f t="shared" si="36"/>
        <v>2017</v>
      </c>
      <c r="I562" s="8" t="s">
        <v>176</v>
      </c>
      <c r="J562" s="158" t="s">
        <v>112</v>
      </c>
      <c r="K562" s="158" t="s">
        <v>112</v>
      </c>
      <c r="L562" s="158" t="s">
        <v>100</v>
      </c>
      <c r="M562" s="190" t="s">
        <v>513</v>
      </c>
      <c r="N562" s="156" t="s">
        <v>2212</v>
      </c>
      <c r="O562" s="8"/>
      <c r="P562" s="158" t="s">
        <v>106</v>
      </c>
      <c r="Q562" s="158" t="s">
        <v>112</v>
      </c>
      <c r="R562" s="158" t="s">
        <v>112</v>
      </c>
      <c r="S562" s="158" t="s">
        <v>112</v>
      </c>
      <c r="T562" s="158" t="s">
        <v>112</v>
      </c>
      <c r="U562" s="158" t="s">
        <v>112</v>
      </c>
      <c r="V562" s="158" t="s">
        <v>548</v>
      </c>
      <c r="W562" s="158" t="s">
        <v>112</v>
      </c>
      <c r="X562" s="158" t="s">
        <v>112</v>
      </c>
      <c r="Y562" s="158" t="s">
        <v>112</v>
      </c>
      <c r="Z562" s="8" t="s">
        <v>148</v>
      </c>
      <c r="AA562" s="23" t="s">
        <v>144</v>
      </c>
      <c r="AB562" s="8" t="s">
        <v>330</v>
      </c>
      <c r="AE562" s="24"/>
      <c r="AM562" s="24"/>
    </row>
    <row r="563" ht="15.75" customHeight="1">
      <c r="A563" s="8">
        <v>793.0</v>
      </c>
      <c r="B563" s="158" t="s">
        <v>2213</v>
      </c>
      <c r="C563" s="158" t="s">
        <v>51</v>
      </c>
      <c r="D563" s="158" t="s">
        <v>112</v>
      </c>
      <c r="E563" s="158" t="s">
        <v>112</v>
      </c>
      <c r="F563" s="205">
        <v>42829.0</v>
      </c>
      <c r="G563" s="164">
        <v>42826.0</v>
      </c>
      <c r="H563" s="20" t="str">
        <f t="shared" si="36"/>
        <v>2017</v>
      </c>
      <c r="I563" s="8" t="s">
        <v>186</v>
      </c>
      <c r="J563" s="158" t="s">
        <v>112</v>
      </c>
      <c r="K563" s="158" t="s">
        <v>112</v>
      </c>
      <c r="L563" s="158" t="s">
        <v>100</v>
      </c>
      <c r="M563" s="211" t="s">
        <v>112</v>
      </c>
      <c r="N563" s="158" t="s">
        <v>112</v>
      </c>
      <c r="O563" s="8"/>
      <c r="P563" s="158" t="s">
        <v>106</v>
      </c>
      <c r="Q563" s="158" t="s">
        <v>112</v>
      </c>
      <c r="R563" s="158" t="s">
        <v>112</v>
      </c>
      <c r="S563" s="158" t="s">
        <v>112</v>
      </c>
      <c r="T563" s="158" t="s">
        <v>112</v>
      </c>
      <c r="U563" s="158" t="s">
        <v>112</v>
      </c>
      <c r="V563" s="158" t="s">
        <v>548</v>
      </c>
      <c r="W563" s="158" t="s">
        <v>112</v>
      </c>
      <c r="X563" s="158" t="s">
        <v>112</v>
      </c>
      <c r="Y563" s="158" t="s">
        <v>112</v>
      </c>
      <c r="Z563" s="8" t="s">
        <v>148</v>
      </c>
      <c r="AA563" s="23" t="s">
        <v>144</v>
      </c>
      <c r="AB563" s="8" t="s">
        <v>330</v>
      </c>
      <c r="AE563" s="24"/>
      <c r="AM563" s="24"/>
    </row>
    <row r="564" ht="15.75" customHeight="1">
      <c r="A564" s="8">
        <v>794.0</v>
      </c>
      <c r="B564" s="158" t="s">
        <v>2214</v>
      </c>
      <c r="C564" s="158" t="s">
        <v>51</v>
      </c>
      <c r="D564" s="158" t="s">
        <v>112</v>
      </c>
      <c r="E564" s="158" t="s">
        <v>112</v>
      </c>
      <c r="F564" s="205">
        <v>42829.0</v>
      </c>
      <c r="G564" s="164">
        <v>42826.0</v>
      </c>
      <c r="H564" s="20" t="str">
        <f t="shared" si="36"/>
        <v>2017</v>
      </c>
      <c r="I564" s="8" t="s">
        <v>186</v>
      </c>
      <c r="J564" s="158" t="s">
        <v>112</v>
      </c>
      <c r="K564" s="158" t="s">
        <v>112</v>
      </c>
      <c r="L564" s="158" t="s">
        <v>100</v>
      </c>
      <c r="M564" s="211" t="s">
        <v>112</v>
      </c>
      <c r="N564" s="158" t="s">
        <v>2215</v>
      </c>
      <c r="O564" s="8"/>
      <c r="P564" s="158" t="s">
        <v>106</v>
      </c>
      <c r="Q564" s="158" t="s">
        <v>112</v>
      </c>
      <c r="R564" s="158" t="s">
        <v>112</v>
      </c>
      <c r="S564" s="158" t="s">
        <v>112</v>
      </c>
      <c r="T564" s="158" t="s">
        <v>112</v>
      </c>
      <c r="U564" s="158" t="s">
        <v>112</v>
      </c>
      <c r="V564" s="158" t="s">
        <v>548</v>
      </c>
      <c r="W564" s="158" t="s">
        <v>112</v>
      </c>
      <c r="X564" s="158" t="s">
        <v>112</v>
      </c>
      <c r="Y564" s="158" t="s">
        <v>112</v>
      </c>
      <c r="Z564" s="8" t="s">
        <v>148</v>
      </c>
      <c r="AA564" s="23" t="s">
        <v>144</v>
      </c>
      <c r="AB564" s="8" t="s">
        <v>330</v>
      </c>
      <c r="AE564" s="24"/>
      <c r="AM564" s="24"/>
    </row>
    <row r="565" ht="15.75" customHeight="1">
      <c r="A565" s="8">
        <v>795.0</v>
      </c>
      <c r="B565" s="158" t="s">
        <v>2216</v>
      </c>
      <c r="C565" s="158" t="s">
        <v>51</v>
      </c>
      <c r="D565" s="158" t="s">
        <v>112</v>
      </c>
      <c r="E565" s="158" t="s">
        <v>112</v>
      </c>
      <c r="F565" s="205">
        <v>42837.0</v>
      </c>
      <c r="G565" s="164">
        <v>42826.0</v>
      </c>
      <c r="H565" s="20" t="str">
        <f t="shared" si="36"/>
        <v>2017</v>
      </c>
      <c r="I565" s="8" t="s">
        <v>176</v>
      </c>
      <c r="J565" s="158" t="s">
        <v>112</v>
      </c>
      <c r="K565" s="158" t="s">
        <v>112</v>
      </c>
      <c r="L565" s="158" t="s">
        <v>100</v>
      </c>
      <c r="M565" s="190" t="s">
        <v>513</v>
      </c>
      <c r="N565" s="158" t="s">
        <v>112</v>
      </c>
      <c r="O565" s="8"/>
      <c r="P565" s="158" t="s">
        <v>106</v>
      </c>
      <c r="Q565" s="158" t="s">
        <v>112</v>
      </c>
      <c r="R565" s="158" t="s">
        <v>112</v>
      </c>
      <c r="S565" s="158" t="s">
        <v>112</v>
      </c>
      <c r="T565" s="158" t="s">
        <v>112</v>
      </c>
      <c r="U565" s="158" t="s">
        <v>112</v>
      </c>
      <c r="V565" s="158" t="s">
        <v>2217</v>
      </c>
      <c r="W565" s="158" t="s">
        <v>112</v>
      </c>
      <c r="X565" s="158" t="s">
        <v>112</v>
      </c>
      <c r="Y565" s="158" t="s">
        <v>112</v>
      </c>
      <c r="Z565" s="8" t="s">
        <v>148</v>
      </c>
      <c r="AA565" s="23" t="s">
        <v>144</v>
      </c>
      <c r="AB565" s="8" t="s">
        <v>330</v>
      </c>
      <c r="AE565" s="24"/>
      <c r="AM565" s="24"/>
    </row>
    <row r="566" ht="15.75" customHeight="1">
      <c r="A566" s="8">
        <v>806.0</v>
      </c>
      <c r="B566" s="158" t="s">
        <v>2218</v>
      </c>
      <c r="C566" s="158" t="s">
        <v>51</v>
      </c>
      <c r="D566" s="158" t="s">
        <v>112</v>
      </c>
      <c r="E566" s="158" t="s">
        <v>112</v>
      </c>
      <c r="F566" s="205">
        <v>42866.0</v>
      </c>
      <c r="G566" s="164">
        <v>42856.0</v>
      </c>
      <c r="H566" s="20" t="str">
        <f t="shared" si="36"/>
        <v>2017</v>
      </c>
      <c r="I566" s="8" t="s">
        <v>172</v>
      </c>
      <c r="J566" s="158" t="s">
        <v>112</v>
      </c>
      <c r="K566" s="158" t="s">
        <v>112</v>
      </c>
      <c r="L566" s="158" t="s">
        <v>100</v>
      </c>
      <c r="M566" s="211" t="s">
        <v>112</v>
      </c>
      <c r="N566" s="158" t="s">
        <v>2219</v>
      </c>
      <c r="O566" s="8"/>
      <c r="P566" s="158" t="s">
        <v>106</v>
      </c>
      <c r="Q566" s="158" t="s">
        <v>112</v>
      </c>
      <c r="R566" s="158" t="s">
        <v>112</v>
      </c>
      <c r="S566" s="158" t="s">
        <v>112</v>
      </c>
      <c r="T566" s="158" t="s">
        <v>112</v>
      </c>
      <c r="U566" s="158" t="s">
        <v>112</v>
      </c>
      <c r="V566" s="158" t="s">
        <v>631</v>
      </c>
      <c r="W566" s="158" t="s">
        <v>112</v>
      </c>
      <c r="X566" s="158" t="s">
        <v>112</v>
      </c>
      <c r="Y566" s="158" t="s">
        <v>112</v>
      </c>
      <c r="Z566" s="8" t="s">
        <v>148</v>
      </c>
      <c r="AA566" s="23" t="s">
        <v>144</v>
      </c>
      <c r="AB566" s="8" t="s">
        <v>330</v>
      </c>
      <c r="AE566" s="24"/>
      <c r="AM566" s="24"/>
    </row>
    <row r="567" ht="15.75" customHeight="1">
      <c r="A567" s="8">
        <v>808.0</v>
      </c>
      <c r="B567" s="158" t="s">
        <v>2220</v>
      </c>
      <c r="C567" s="158" t="s">
        <v>57</v>
      </c>
      <c r="D567" s="158" t="s">
        <v>112</v>
      </c>
      <c r="E567" s="158" t="s">
        <v>112</v>
      </c>
      <c r="F567" s="205">
        <v>42868.0</v>
      </c>
      <c r="G567" s="164">
        <v>42856.0</v>
      </c>
      <c r="H567" s="20" t="str">
        <f t="shared" si="36"/>
        <v>2017</v>
      </c>
      <c r="I567" s="8" t="s">
        <v>186</v>
      </c>
      <c r="J567" s="158" t="s">
        <v>112</v>
      </c>
      <c r="K567" s="158" t="s">
        <v>112</v>
      </c>
      <c r="L567" s="158" t="s">
        <v>100</v>
      </c>
      <c r="M567" s="211" t="s">
        <v>112</v>
      </c>
      <c r="N567" s="158" t="s">
        <v>2221</v>
      </c>
      <c r="O567" s="8" t="s">
        <v>2222</v>
      </c>
      <c r="P567" s="158" t="s">
        <v>106</v>
      </c>
      <c r="Q567" s="158" t="s">
        <v>112</v>
      </c>
      <c r="R567" s="158" t="s">
        <v>112</v>
      </c>
      <c r="S567" s="158" t="s">
        <v>112</v>
      </c>
      <c r="T567" s="158" t="s">
        <v>112</v>
      </c>
      <c r="U567" s="158" t="s">
        <v>112</v>
      </c>
      <c r="V567" s="158" t="s">
        <v>2223</v>
      </c>
      <c r="W567" s="158" t="s">
        <v>112</v>
      </c>
      <c r="X567" s="158" t="s">
        <v>112</v>
      </c>
      <c r="Y567" s="158" t="s">
        <v>112</v>
      </c>
      <c r="Z567" s="8" t="s">
        <v>148</v>
      </c>
      <c r="AA567" s="23" t="s">
        <v>144</v>
      </c>
      <c r="AB567" s="8" t="s">
        <v>330</v>
      </c>
      <c r="AE567" s="24"/>
      <c r="AM567" s="24"/>
    </row>
    <row r="568" ht="15.75" customHeight="1">
      <c r="A568" s="8">
        <v>809.0</v>
      </c>
      <c r="B568" s="158" t="s">
        <v>2224</v>
      </c>
      <c r="C568" s="158" t="s">
        <v>57</v>
      </c>
      <c r="D568" s="158" t="s">
        <v>213</v>
      </c>
      <c r="E568" s="158" t="s">
        <v>112</v>
      </c>
      <c r="F568" s="205">
        <v>42868.0</v>
      </c>
      <c r="G568" s="164">
        <v>42856.0</v>
      </c>
      <c r="H568" s="20" t="str">
        <f t="shared" si="36"/>
        <v>2017</v>
      </c>
      <c r="I568" s="8" t="s">
        <v>186</v>
      </c>
      <c r="J568" s="158" t="s">
        <v>112</v>
      </c>
      <c r="K568" s="158" t="s">
        <v>112</v>
      </c>
      <c r="L568" s="158" t="s">
        <v>100</v>
      </c>
      <c r="M568" s="206" t="s">
        <v>112</v>
      </c>
      <c r="N568" s="158" t="s">
        <v>112</v>
      </c>
      <c r="O568" s="8" t="s">
        <v>2208</v>
      </c>
      <c r="P568" s="158" t="s">
        <v>106</v>
      </c>
      <c r="Q568" s="158" t="s">
        <v>112</v>
      </c>
      <c r="R568" s="158" t="s">
        <v>112</v>
      </c>
      <c r="S568" s="158" t="s">
        <v>112</v>
      </c>
      <c r="T568" s="158" t="s">
        <v>112</v>
      </c>
      <c r="U568" s="158" t="s">
        <v>112</v>
      </c>
      <c r="V568" s="158" t="s">
        <v>2205</v>
      </c>
      <c r="W568" s="158" t="s">
        <v>112</v>
      </c>
      <c r="X568" s="158" t="s">
        <v>112</v>
      </c>
      <c r="Y568" s="158" t="s">
        <v>112</v>
      </c>
      <c r="Z568" s="8" t="s">
        <v>148</v>
      </c>
      <c r="AA568" s="23" t="s">
        <v>144</v>
      </c>
      <c r="AB568" s="8" t="s">
        <v>330</v>
      </c>
      <c r="AE568" s="24"/>
      <c r="AM568" s="24"/>
    </row>
    <row r="569" ht="15.75" customHeight="1">
      <c r="A569" s="8">
        <v>821.0</v>
      </c>
      <c r="B569" s="158" t="s">
        <v>2225</v>
      </c>
      <c r="C569" s="158" t="s">
        <v>57</v>
      </c>
      <c r="D569" s="158" t="s">
        <v>213</v>
      </c>
      <c r="E569" s="158" t="s">
        <v>112</v>
      </c>
      <c r="F569" s="205">
        <v>42870.0</v>
      </c>
      <c r="G569" s="164">
        <v>42856.0</v>
      </c>
      <c r="H569" s="20" t="str">
        <f t="shared" si="36"/>
        <v>2017</v>
      </c>
      <c r="I569" s="8" t="s">
        <v>176</v>
      </c>
      <c r="J569" s="158" t="s">
        <v>112</v>
      </c>
      <c r="K569" s="158" t="s">
        <v>112</v>
      </c>
      <c r="L569" s="158" t="s">
        <v>100</v>
      </c>
      <c r="M569" s="190" t="s">
        <v>513</v>
      </c>
      <c r="N569" s="158" t="s">
        <v>112</v>
      </c>
      <c r="O569" s="8" t="s">
        <v>2226</v>
      </c>
      <c r="P569" s="158" t="s">
        <v>106</v>
      </c>
      <c r="Q569" s="158" t="s">
        <v>112</v>
      </c>
      <c r="R569" s="158" t="s">
        <v>112</v>
      </c>
      <c r="S569" s="158" t="s">
        <v>112</v>
      </c>
      <c r="T569" s="158" t="s">
        <v>112</v>
      </c>
      <c r="U569" s="158" t="s">
        <v>112</v>
      </c>
      <c r="V569" s="158" t="s">
        <v>2227</v>
      </c>
      <c r="W569" s="158" t="s">
        <v>112</v>
      </c>
      <c r="X569" s="158" t="s">
        <v>112</v>
      </c>
      <c r="Y569" s="158" t="s">
        <v>112</v>
      </c>
      <c r="Z569" s="8" t="s">
        <v>148</v>
      </c>
      <c r="AA569" s="23" t="s">
        <v>144</v>
      </c>
      <c r="AB569" s="8" t="s">
        <v>330</v>
      </c>
      <c r="AE569" s="24"/>
      <c r="AM569" s="24"/>
    </row>
    <row r="570" ht="15.75" customHeight="1">
      <c r="A570" s="8">
        <v>829.0</v>
      </c>
      <c r="B570" s="158" t="s">
        <v>2228</v>
      </c>
      <c r="C570" s="158" t="s">
        <v>57</v>
      </c>
      <c r="D570" s="158" t="s">
        <v>213</v>
      </c>
      <c r="E570" s="158" t="s">
        <v>112</v>
      </c>
      <c r="F570" s="205">
        <v>42871.0</v>
      </c>
      <c r="G570" s="164">
        <v>42856.0</v>
      </c>
      <c r="H570" s="20" t="str">
        <f t="shared" si="36"/>
        <v>2017</v>
      </c>
      <c r="I570" s="8" t="s">
        <v>186</v>
      </c>
      <c r="J570" s="158" t="s">
        <v>112</v>
      </c>
      <c r="K570" s="158" t="s">
        <v>112</v>
      </c>
      <c r="L570" s="158" t="s">
        <v>100</v>
      </c>
      <c r="M570" s="206" t="s">
        <v>112</v>
      </c>
      <c r="N570" s="158" t="s">
        <v>2229</v>
      </c>
      <c r="O570" s="8" t="s">
        <v>2230</v>
      </c>
      <c r="P570" s="158" t="s">
        <v>106</v>
      </c>
      <c r="Q570" s="158" t="s">
        <v>112</v>
      </c>
      <c r="R570" s="158" t="s">
        <v>112</v>
      </c>
      <c r="S570" s="158" t="s">
        <v>112</v>
      </c>
      <c r="T570" s="158" t="s">
        <v>112</v>
      </c>
      <c r="U570" s="158" t="s">
        <v>112</v>
      </c>
      <c r="V570" s="158" t="s">
        <v>2231</v>
      </c>
      <c r="W570" s="158" t="s">
        <v>112</v>
      </c>
      <c r="X570" s="158" t="s">
        <v>112</v>
      </c>
      <c r="Y570" s="158" t="s">
        <v>112</v>
      </c>
      <c r="Z570" s="8" t="s">
        <v>148</v>
      </c>
      <c r="AA570" s="23" t="s">
        <v>144</v>
      </c>
      <c r="AB570" s="8" t="s">
        <v>330</v>
      </c>
      <c r="AE570" s="24"/>
      <c r="AM570" s="24"/>
    </row>
    <row r="571" ht="15.75" customHeight="1">
      <c r="A571" s="8">
        <v>830.0</v>
      </c>
      <c r="B571" s="158" t="s">
        <v>2232</v>
      </c>
      <c r="C571" s="156" t="s">
        <v>48</v>
      </c>
      <c r="D571" s="158" t="s">
        <v>112</v>
      </c>
      <c r="E571" s="158" t="s">
        <v>112</v>
      </c>
      <c r="F571" s="205">
        <v>42873.0</v>
      </c>
      <c r="G571" s="164">
        <v>42856.0</v>
      </c>
      <c r="H571" s="20" t="str">
        <f t="shared" si="36"/>
        <v>2017</v>
      </c>
      <c r="I571" s="8" t="s">
        <v>63</v>
      </c>
      <c r="J571" s="158" t="s">
        <v>112</v>
      </c>
      <c r="K571" s="158" t="s">
        <v>112</v>
      </c>
      <c r="L571" s="156" t="s">
        <v>100</v>
      </c>
      <c r="M571" s="190" t="s">
        <v>112</v>
      </c>
      <c r="N571" s="158" t="s">
        <v>112</v>
      </c>
      <c r="O571" s="8"/>
      <c r="P571" s="158" t="s">
        <v>106</v>
      </c>
      <c r="Q571" s="156" t="s">
        <v>112</v>
      </c>
      <c r="R571" s="156" t="s">
        <v>112</v>
      </c>
      <c r="S571" s="156" t="s">
        <v>112</v>
      </c>
      <c r="T571" s="156" t="s">
        <v>112</v>
      </c>
      <c r="U571" s="156" t="s">
        <v>112</v>
      </c>
      <c r="V571" s="156" t="s">
        <v>844</v>
      </c>
      <c r="W571" s="158" t="s">
        <v>112</v>
      </c>
      <c r="X571" s="158" t="s">
        <v>112</v>
      </c>
      <c r="Y571" s="158" t="s">
        <v>112</v>
      </c>
      <c r="Z571" s="8" t="s">
        <v>148</v>
      </c>
      <c r="AA571" s="23" t="s">
        <v>144</v>
      </c>
      <c r="AB571" s="8" t="s">
        <v>330</v>
      </c>
      <c r="AE571" s="24"/>
      <c r="AM571" s="24"/>
    </row>
    <row r="572" ht="15.75" customHeight="1">
      <c r="A572" s="8">
        <v>839.0</v>
      </c>
      <c r="B572" s="158" t="s">
        <v>2233</v>
      </c>
      <c r="C572" s="156" t="s">
        <v>48</v>
      </c>
      <c r="D572" s="158" t="s">
        <v>112</v>
      </c>
      <c r="E572" s="158" t="s">
        <v>112</v>
      </c>
      <c r="F572" s="205">
        <v>42876.0</v>
      </c>
      <c r="G572" s="164">
        <v>42856.0</v>
      </c>
      <c r="H572" s="20" t="str">
        <f t="shared" si="36"/>
        <v>2017</v>
      </c>
      <c r="I572" s="8" t="s">
        <v>186</v>
      </c>
      <c r="J572" s="158" t="s">
        <v>112</v>
      </c>
      <c r="K572" s="158" t="s">
        <v>112</v>
      </c>
      <c r="L572" s="156" t="s">
        <v>100</v>
      </c>
      <c r="M572" s="190" t="s">
        <v>112</v>
      </c>
      <c r="N572" s="158" t="s">
        <v>112</v>
      </c>
      <c r="O572" s="8" t="s">
        <v>2234</v>
      </c>
      <c r="P572" s="158" t="s">
        <v>106</v>
      </c>
      <c r="Q572" s="156" t="s">
        <v>112</v>
      </c>
      <c r="R572" s="156" t="s">
        <v>112</v>
      </c>
      <c r="S572" s="156" t="s">
        <v>112</v>
      </c>
      <c r="T572" s="156" t="s">
        <v>112</v>
      </c>
      <c r="U572" s="156" t="s">
        <v>112</v>
      </c>
      <c r="V572" s="156" t="s">
        <v>844</v>
      </c>
      <c r="W572" s="158" t="s">
        <v>112</v>
      </c>
      <c r="X572" s="158" t="s">
        <v>112</v>
      </c>
      <c r="Y572" s="158" t="s">
        <v>112</v>
      </c>
      <c r="Z572" s="8" t="s">
        <v>148</v>
      </c>
      <c r="AA572" s="23" t="s">
        <v>144</v>
      </c>
      <c r="AB572" s="8" t="s">
        <v>330</v>
      </c>
      <c r="AE572" s="24"/>
      <c r="AM572" s="24"/>
    </row>
    <row r="573" ht="15.75" customHeight="1">
      <c r="A573" s="8">
        <v>842.0</v>
      </c>
      <c r="B573" s="158" t="s">
        <v>2235</v>
      </c>
      <c r="C573" s="158" t="s">
        <v>57</v>
      </c>
      <c r="D573" s="158" t="s">
        <v>213</v>
      </c>
      <c r="E573" s="158" t="s">
        <v>112</v>
      </c>
      <c r="F573" s="205">
        <v>42877.0</v>
      </c>
      <c r="G573" s="164">
        <v>42856.0</v>
      </c>
      <c r="H573" s="20" t="str">
        <f t="shared" si="36"/>
        <v>2017</v>
      </c>
      <c r="I573" s="8" t="s">
        <v>186</v>
      </c>
      <c r="J573" s="158" t="s">
        <v>112</v>
      </c>
      <c r="K573" s="158" t="s">
        <v>112</v>
      </c>
      <c r="L573" s="158" t="s">
        <v>100</v>
      </c>
      <c r="M573" s="211" t="s">
        <v>112</v>
      </c>
      <c r="N573" s="158" t="s">
        <v>2236</v>
      </c>
      <c r="O573" s="8" t="s">
        <v>2237</v>
      </c>
      <c r="P573" s="158" t="s">
        <v>106</v>
      </c>
      <c r="Q573" s="158" t="s">
        <v>112</v>
      </c>
      <c r="R573" s="158" t="s">
        <v>112</v>
      </c>
      <c r="S573" s="158" t="s">
        <v>112</v>
      </c>
      <c r="T573" s="158" t="s">
        <v>112</v>
      </c>
      <c r="U573" s="158" t="s">
        <v>112</v>
      </c>
      <c r="V573" s="158" t="s">
        <v>1454</v>
      </c>
      <c r="W573" s="158" t="s">
        <v>112</v>
      </c>
      <c r="X573" s="158" t="s">
        <v>112</v>
      </c>
      <c r="Y573" s="158" t="s">
        <v>112</v>
      </c>
      <c r="Z573" s="8" t="s">
        <v>148</v>
      </c>
      <c r="AA573" s="23" t="s">
        <v>144</v>
      </c>
      <c r="AB573" s="8" t="s">
        <v>330</v>
      </c>
      <c r="AE573" s="24"/>
      <c r="AM573" s="24"/>
    </row>
    <row r="574" ht="15.75" customHeight="1">
      <c r="A574" s="8">
        <v>849.0</v>
      </c>
      <c r="B574" s="158" t="s">
        <v>2238</v>
      </c>
      <c r="C574" s="158" t="s">
        <v>57</v>
      </c>
      <c r="D574" s="158" t="s">
        <v>112</v>
      </c>
      <c r="E574" s="158" t="s">
        <v>112</v>
      </c>
      <c r="F574" s="205">
        <v>42887.0</v>
      </c>
      <c r="G574" s="164">
        <v>42887.0</v>
      </c>
      <c r="H574" s="20" t="str">
        <f t="shared" si="36"/>
        <v>2017</v>
      </c>
      <c r="I574" s="8" t="s">
        <v>176</v>
      </c>
      <c r="J574" s="158" t="s">
        <v>112</v>
      </c>
      <c r="K574" s="158" t="s">
        <v>112</v>
      </c>
      <c r="L574" s="158" t="s">
        <v>100</v>
      </c>
      <c r="M574" s="190" t="s">
        <v>513</v>
      </c>
      <c r="N574" s="158" t="s">
        <v>2239</v>
      </c>
      <c r="O574" s="8"/>
      <c r="P574" s="158" t="s">
        <v>106</v>
      </c>
      <c r="Q574" s="158" t="s">
        <v>112</v>
      </c>
      <c r="R574" s="158" t="s">
        <v>112</v>
      </c>
      <c r="S574" s="158" t="s">
        <v>112</v>
      </c>
      <c r="T574" s="158" t="s">
        <v>112</v>
      </c>
      <c r="U574" s="158" t="s">
        <v>112</v>
      </c>
      <c r="V574" s="158" t="s">
        <v>1454</v>
      </c>
      <c r="W574" s="158" t="s">
        <v>112</v>
      </c>
      <c r="X574" s="158" t="s">
        <v>112</v>
      </c>
      <c r="Y574" s="158" t="s">
        <v>112</v>
      </c>
      <c r="Z574" s="8" t="s">
        <v>148</v>
      </c>
      <c r="AA574" s="23" t="s">
        <v>144</v>
      </c>
      <c r="AB574" s="8" t="s">
        <v>330</v>
      </c>
      <c r="AE574" s="24"/>
      <c r="AM574" s="24"/>
    </row>
    <row r="575" ht="15.75" customHeight="1">
      <c r="A575" s="8">
        <v>850.0</v>
      </c>
      <c r="B575" s="158" t="s">
        <v>2240</v>
      </c>
      <c r="C575" s="156" t="s">
        <v>48</v>
      </c>
      <c r="D575" s="158" t="s">
        <v>112</v>
      </c>
      <c r="E575" s="158" t="s">
        <v>112</v>
      </c>
      <c r="F575" s="186">
        <v>42899.0</v>
      </c>
      <c r="G575" s="164">
        <v>42887.0</v>
      </c>
      <c r="H575" s="20" t="str">
        <f t="shared" si="36"/>
        <v>2017</v>
      </c>
      <c r="I575" s="8" t="s">
        <v>176</v>
      </c>
      <c r="J575" s="158" t="s">
        <v>112</v>
      </c>
      <c r="K575" s="158" t="s">
        <v>112</v>
      </c>
      <c r="L575" s="156" t="s">
        <v>1336</v>
      </c>
      <c r="M575" s="190" t="s">
        <v>177</v>
      </c>
      <c r="N575" s="158" t="s">
        <v>2241</v>
      </c>
      <c r="O575" s="8" t="s">
        <v>2242</v>
      </c>
      <c r="P575" s="158" t="s">
        <v>106</v>
      </c>
      <c r="Q575" s="158" t="s">
        <v>112</v>
      </c>
      <c r="R575" s="156" t="s">
        <v>112</v>
      </c>
      <c r="S575" s="156" t="s">
        <v>112</v>
      </c>
      <c r="T575" s="156" t="s">
        <v>112</v>
      </c>
      <c r="U575" s="156" t="s">
        <v>112</v>
      </c>
      <c r="V575" s="156" t="s">
        <v>1339</v>
      </c>
      <c r="W575" s="158" t="s">
        <v>112</v>
      </c>
      <c r="X575" s="158" t="s">
        <v>112</v>
      </c>
      <c r="Y575" s="158" t="s">
        <v>112</v>
      </c>
      <c r="Z575" s="8" t="s">
        <v>148</v>
      </c>
      <c r="AA575" s="23" t="s">
        <v>144</v>
      </c>
      <c r="AB575" s="8" t="s">
        <v>330</v>
      </c>
      <c r="AE575" s="24"/>
      <c r="AM575" s="24"/>
    </row>
    <row r="576" ht="15.75" customHeight="1">
      <c r="A576" s="8">
        <v>852.0</v>
      </c>
      <c r="B576" s="158" t="s">
        <v>2243</v>
      </c>
      <c r="C576" s="156" t="s">
        <v>48</v>
      </c>
      <c r="D576" s="158" t="s">
        <v>112</v>
      </c>
      <c r="E576" s="158" t="s">
        <v>112</v>
      </c>
      <c r="F576" s="186">
        <v>42930.0</v>
      </c>
      <c r="G576" s="164">
        <v>42917.0</v>
      </c>
      <c r="H576" s="20" t="str">
        <f t="shared" si="36"/>
        <v>2017</v>
      </c>
      <c r="I576" s="8" t="s">
        <v>63</v>
      </c>
      <c r="J576" s="158" t="s">
        <v>112</v>
      </c>
      <c r="K576" s="158" t="s">
        <v>112</v>
      </c>
      <c r="L576" s="156" t="s">
        <v>1336</v>
      </c>
      <c r="M576" s="161" t="s">
        <v>112</v>
      </c>
      <c r="N576" s="158" t="s">
        <v>112</v>
      </c>
      <c r="O576" s="8"/>
      <c r="P576" s="158" t="s">
        <v>106</v>
      </c>
      <c r="Q576" s="158" t="s">
        <v>112</v>
      </c>
      <c r="R576" s="156" t="s">
        <v>112</v>
      </c>
      <c r="S576" s="156" t="s">
        <v>112</v>
      </c>
      <c r="T576" s="156" t="s">
        <v>112</v>
      </c>
      <c r="U576" s="156" t="s">
        <v>112</v>
      </c>
      <c r="V576" s="156" t="s">
        <v>1339</v>
      </c>
      <c r="W576" s="158" t="s">
        <v>112</v>
      </c>
      <c r="X576" s="158" t="s">
        <v>112</v>
      </c>
      <c r="Y576" s="158" t="s">
        <v>112</v>
      </c>
      <c r="Z576" s="8" t="s">
        <v>148</v>
      </c>
      <c r="AA576" s="23" t="s">
        <v>144</v>
      </c>
      <c r="AB576" s="8" t="s">
        <v>330</v>
      </c>
      <c r="AE576" s="24"/>
      <c r="AM576" s="24"/>
    </row>
    <row r="577" ht="15.75" customHeight="1">
      <c r="A577" s="8">
        <v>854.0</v>
      </c>
      <c r="B577" s="158" t="s">
        <v>2244</v>
      </c>
      <c r="C577" s="158" t="s">
        <v>57</v>
      </c>
      <c r="D577" s="158" t="s">
        <v>112</v>
      </c>
      <c r="E577" s="158" t="s">
        <v>112</v>
      </c>
      <c r="F577" s="165">
        <v>42958.0</v>
      </c>
      <c r="G577" s="164">
        <v>42948.0</v>
      </c>
      <c r="H577" s="20" t="str">
        <f t="shared" si="36"/>
        <v>2017</v>
      </c>
      <c r="I577" s="8" t="s">
        <v>63</v>
      </c>
      <c r="J577" s="158" t="s">
        <v>112</v>
      </c>
      <c r="K577" s="158" t="s">
        <v>112</v>
      </c>
      <c r="L577" s="158" t="s">
        <v>100</v>
      </c>
      <c r="M577" s="265" t="s">
        <v>112</v>
      </c>
      <c r="N577" s="158" t="s">
        <v>2245</v>
      </c>
      <c r="O577" s="8"/>
      <c r="P577" s="158" t="s">
        <v>106</v>
      </c>
      <c r="Q577" s="158" t="s">
        <v>112</v>
      </c>
      <c r="R577" s="158" t="s">
        <v>112</v>
      </c>
      <c r="S577" s="158" t="s">
        <v>112</v>
      </c>
      <c r="T577" s="158" t="s">
        <v>112</v>
      </c>
      <c r="U577" s="158" t="s">
        <v>112</v>
      </c>
      <c r="V577" s="158" t="s">
        <v>2246</v>
      </c>
      <c r="W577" s="158" t="s">
        <v>112</v>
      </c>
      <c r="X577" s="158" t="s">
        <v>112</v>
      </c>
      <c r="Y577" s="158" t="s">
        <v>112</v>
      </c>
      <c r="Z577" s="8" t="s">
        <v>148</v>
      </c>
      <c r="AA577" s="23" t="s">
        <v>144</v>
      </c>
      <c r="AB577" s="8" t="s">
        <v>330</v>
      </c>
      <c r="AE577" s="24"/>
      <c r="AM577" s="24"/>
    </row>
    <row r="578" ht="15.75" customHeight="1">
      <c r="A578" s="8">
        <v>856.0</v>
      </c>
      <c r="B578" s="158" t="s">
        <v>2247</v>
      </c>
      <c r="C578" s="158" t="s">
        <v>51</v>
      </c>
      <c r="D578" s="158" t="s">
        <v>112</v>
      </c>
      <c r="E578" s="158" t="s">
        <v>112</v>
      </c>
      <c r="F578" s="205">
        <v>42970.0</v>
      </c>
      <c r="G578" s="164">
        <v>42948.0</v>
      </c>
      <c r="H578" s="20" t="str">
        <f t="shared" si="36"/>
        <v>2017</v>
      </c>
      <c r="I578" s="8" t="s">
        <v>172</v>
      </c>
      <c r="J578" s="158" t="s">
        <v>112</v>
      </c>
      <c r="K578" s="158" t="s">
        <v>112</v>
      </c>
      <c r="L578" s="158" t="s">
        <v>100</v>
      </c>
      <c r="M578" s="211" t="s">
        <v>112</v>
      </c>
      <c r="N578" s="158" t="s">
        <v>2248</v>
      </c>
      <c r="O578" s="8"/>
      <c r="P578" s="158" t="s">
        <v>106</v>
      </c>
      <c r="Q578" s="158" t="s">
        <v>112</v>
      </c>
      <c r="R578" s="158" t="s">
        <v>112</v>
      </c>
      <c r="S578" s="158" t="s">
        <v>112</v>
      </c>
      <c r="T578" s="158" t="s">
        <v>112</v>
      </c>
      <c r="U578" s="158" t="s">
        <v>112</v>
      </c>
      <c r="V578" s="158" t="s">
        <v>548</v>
      </c>
      <c r="W578" s="158" t="s">
        <v>112</v>
      </c>
      <c r="X578" s="158" t="s">
        <v>112</v>
      </c>
      <c r="Y578" s="158" t="s">
        <v>112</v>
      </c>
      <c r="Z578" s="8" t="s">
        <v>148</v>
      </c>
      <c r="AA578" s="23" t="s">
        <v>144</v>
      </c>
      <c r="AB578" s="8" t="s">
        <v>330</v>
      </c>
      <c r="AE578" s="24"/>
      <c r="AM578" s="24"/>
    </row>
    <row r="579" ht="15.75" customHeight="1">
      <c r="A579" s="8">
        <v>857.0</v>
      </c>
      <c r="B579" s="158" t="s">
        <v>2249</v>
      </c>
      <c r="C579" s="158" t="s">
        <v>51</v>
      </c>
      <c r="D579" s="158" t="s">
        <v>112</v>
      </c>
      <c r="E579" s="158" t="s">
        <v>112</v>
      </c>
      <c r="F579" s="205">
        <v>42970.0</v>
      </c>
      <c r="G579" s="164">
        <v>42948.0</v>
      </c>
      <c r="H579" s="20" t="str">
        <f t="shared" si="36"/>
        <v>2017</v>
      </c>
      <c r="I579" s="8" t="s">
        <v>172</v>
      </c>
      <c r="J579" s="158" t="s">
        <v>112</v>
      </c>
      <c r="K579" s="158" t="s">
        <v>112</v>
      </c>
      <c r="L579" s="158" t="s">
        <v>100</v>
      </c>
      <c r="M579" s="211" t="s">
        <v>112</v>
      </c>
      <c r="N579" s="158" t="s">
        <v>2250</v>
      </c>
      <c r="O579" s="8"/>
      <c r="P579" s="158" t="s">
        <v>106</v>
      </c>
      <c r="Q579" s="158" t="s">
        <v>112</v>
      </c>
      <c r="R579" s="158" t="s">
        <v>112</v>
      </c>
      <c r="S579" s="158" t="s">
        <v>112</v>
      </c>
      <c r="T579" s="158" t="s">
        <v>112</v>
      </c>
      <c r="U579" s="158" t="s">
        <v>112</v>
      </c>
      <c r="V579" s="158" t="s">
        <v>548</v>
      </c>
      <c r="W579" s="158" t="s">
        <v>112</v>
      </c>
      <c r="X579" s="158" t="s">
        <v>112</v>
      </c>
      <c r="Y579" s="158" t="s">
        <v>112</v>
      </c>
      <c r="Z579" s="8" t="s">
        <v>148</v>
      </c>
      <c r="AA579" s="23" t="s">
        <v>144</v>
      </c>
      <c r="AB579" s="8" t="s">
        <v>330</v>
      </c>
      <c r="AE579" s="24"/>
      <c r="AM579" s="24"/>
    </row>
    <row r="580" ht="15.75" customHeight="1">
      <c r="A580" s="8">
        <v>858.0</v>
      </c>
      <c r="B580" s="188" t="s">
        <v>2251</v>
      </c>
      <c r="C580" s="156" t="s">
        <v>48</v>
      </c>
      <c r="D580" s="157" t="s">
        <v>112</v>
      </c>
      <c r="E580" s="158" t="s">
        <v>112</v>
      </c>
      <c r="F580" s="186">
        <v>42992.0</v>
      </c>
      <c r="G580" s="160">
        <v>42979.0</v>
      </c>
      <c r="H580" s="20" t="str">
        <f t="shared" si="36"/>
        <v>2017</v>
      </c>
      <c r="I580" s="8" t="s">
        <v>176</v>
      </c>
      <c r="J580" s="157" t="s">
        <v>112</v>
      </c>
      <c r="K580" s="157" t="s">
        <v>112</v>
      </c>
      <c r="L580" s="156" t="s">
        <v>100</v>
      </c>
      <c r="M580" s="190" t="s">
        <v>513</v>
      </c>
      <c r="N580" s="158" t="s">
        <v>2252</v>
      </c>
      <c r="O580" s="8" t="s">
        <v>2253</v>
      </c>
      <c r="P580" s="158" t="s">
        <v>106</v>
      </c>
      <c r="Q580" s="157" t="s">
        <v>112</v>
      </c>
      <c r="R580" s="156" t="s">
        <v>112</v>
      </c>
      <c r="S580" s="156" t="s">
        <v>112</v>
      </c>
      <c r="T580" s="156" t="s">
        <v>112</v>
      </c>
      <c r="U580" s="156" t="s">
        <v>112</v>
      </c>
      <c r="V580" s="156" t="s">
        <v>480</v>
      </c>
      <c r="W580" s="157" t="s">
        <v>112</v>
      </c>
      <c r="X580" s="157" t="s">
        <v>112</v>
      </c>
      <c r="Y580" s="157" t="s">
        <v>112</v>
      </c>
      <c r="Z580" s="8" t="s">
        <v>148</v>
      </c>
      <c r="AA580" s="23" t="s">
        <v>144</v>
      </c>
      <c r="AB580" s="8" t="s">
        <v>330</v>
      </c>
      <c r="AE580" s="24"/>
      <c r="AM580" s="24"/>
    </row>
    <row r="581" ht="15.75" customHeight="1">
      <c r="A581" s="8">
        <v>869.0</v>
      </c>
      <c r="B581" s="158" t="s">
        <v>2254</v>
      </c>
      <c r="C581" s="158" t="s">
        <v>57</v>
      </c>
      <c r="D581" s="158" t="s">
        <v>112</v>
      </c>
      <c r="E581" s="158" t="s">
        <v>112</v>
      </c>
      <c r="F581" s="205">
        <v>43009.0</v>
      </c>
      <c r="G581" s="161">
        <v>43009.0</v>
      </c>
      <c r="H581" s="20" t="str">
        <f t="shared" si="36"/>
        <v>2017</v>
      </c>
      <c r="I581" s="8" t="s">
        <v>172</v>
      </c>
      <c r="J581" s="158" t="s">
        <v>112</v>
      </c>
      <c r="K581" s="158" t="s">
        <v>112</v>
      </c>
      <c r="L581" s="158" t="s">
        <v>100</v>
      </c>
      <c r="M581" s="206" t="s">
        <v>112</v>
      </c>
      <c r="N581" s="158" t="s">
        <v>2255</v>
      </c>
      <c r="O581" s="8"/>
      <c r="P581" s="158" t="s">
        <v>106</v>
      </c>
      <c r="Q581" s="158" t="s">
        <v>112</v>
      </c>
      <c r="R581" s="158" t="s">
        <v>112</v>
      </c>
      <c r="S581" s="158" t="s">
        <v>112</v>
      </c>
      <c r="T581" s="158" t="s">
        <v>112</v>
      </c>
      <c r="U581" s="158" t="s">
        <v>112</v>
      </c>
      <c r="V581" s="158" t="s">
        <v>2256</v>
      </c>
      <c r="W581" s="158" t="s">
        <v>112</v>
      </c>
      <c r="X581" s="158" t="s">
        <v>112</v>
      </c>
      <c r="Y581" s="158" t="s">
        <v>112</v>
      </c>
      <c r="Z581" s="8" t="s">
        <v>148</v>
      </c>
      <c r="AA581" s="23" t="s">
        <v>144</v>
      </c>
      <c r="AB581" s="8" t="s">
        <v>330</v>
      </c>
      <c r="AE581" s="24"/>
      <c r="AM581" s="24"/>
    </row>
    <row r="582" ht="15.75" customHeight="1">
      <c r="A582" s="8">
        <v>870.0</v>
      </c>
      <c r="B582" s="158" t="s">
        <v>2257</v>
      </c>
      <c r="C582" s="158" t="s">
        <v>57</v>
      </c>
      <c r="D582" s="158" t="s">
        <v>112</v>
      </c>
      <c r="E582" s="158" t="s">
        <v>112</v>
      </c>
      <c r="F582" s="205">
        <v>43022.0</v>
      </c>
      <c r="G582" s="161">
        <v>43009.0</v>
      </c>
      <c r="H582" s="20" t="str">
        <f t="shared" si="36"/>
        <v>2017</v>
      </c>
      <c r="I582" s="8" t="s">
        <v>176</v>
      </c>
      <c r="J582" s="158" t="s">
        <v>112</v>
      </c>
      <c r="K582" s="158" t="s">
        <v>112</v>
      </c>
      <c r="L582" s="158" t="s">
        <v>100</v>
      </c>
      <c r="M582" s="190" t="s">
        <v>513</v>
      </c>
      <c r="N582" s="158" t="s">
        <v>112</v>
      </c>
      <c r="O582" s="8"/>
      <c r="P582" s="158" t="s">
        <v>106</v>
      </c>
      <c r="Q582" s="158" t="s">
        <v>112</v>
      </c>
      <c r="R582" s="158" t="s">
        <v>112</v>
      </c>
      <c r="S582" s="158" t="s">
        <v>112</v>
      </c>
      <c r="T582" s="158" t="s">
        <v>112</v>
      </c>
      <c r="U582" s="158" t="s">
        <v>112</v>
      </c>
      <c r="V582" s="158" t="s">
        <v>1184</v>
      </c>
      <c r="W582" s="158" t="s">
        <v>112</v>
      </c>
      <c r="X582" s="158" t="s">
        <v>112</v>
      </c>
      <c r="Y582" s="158" t="s">
        <v>112</v>
      </c>
      <c r="Z582" s="8" t="s">
        <v>148</v>
      </c>
      <c r="AA582" s="23" t="s">
        <v>144</v>
      </c>
      <c r="AB582" s="8" t="s">
        <v>330</v>
      </c>
      <c r="AE582" s="24"/>
      <c r="AM582" s="24"/>
    </row>
    <row r="583" ht="15.75" customHeight="1">
      <c r="A583" s="8">
        <v>871.0</v>
      </c>
      <c r="B583" s="158" t="s">
        <v>2258</v>
      </c>
      <c r="C583" s="156" t="s">
        <v>48</v>
      </c>
      <c r="D583" s="158" t="s">
        <v>112</v>
      </c>
      <c r="E583" s="158" t="s">
        <v>112</v>
      </c>
      <c r="F583" s="205">
        <v>43054.0</v>
      </c>
      <c r="G583" s="164">
        <v>43040.0</v>
      </c>
      <c r="H583" s="20" t="str">
        <f t="shared" si="36"/>
        <v>2017</v>
      </c>
      <c r="I583" s="8" t="s">
        <v>63</v>
      </c>
      <c r="J583" s="158" t="s">
        <v>112</v>
      </c>
      <c r="K583" s="158" t="s">
        <v>112</v>
      </c>
      <c r="L583" s="156" t="s">
        <v>112</v>
      </c>
      <c r="M583" s="211" t="s">
        <v>112</v>
      </c>
      <c r="N583" s="158" t="s">
        <v>112</v>
      </c>
      <c r="O583" s="8"/>
      <c r="P583" s="158" t="s">
        <v>106</v>
      </c>
      <c r="Q583" s="158" t="s">
        <v>112</v>
      </c>
      <c r="R583" s="158" t="s">
        <v>112</v>
      </c>
      <c r="S583" s="158" t="s">
        <v>112</v>
      </c>
      <c r="T583" s="158" t="s">
        <v>112</v>
      </c>
      <c r="U583" s="158" t="s">
        <v>112</v>
      </c>
      <c r="V583" s="156" t="s">
        <v>480</v>
      </c>
      <c r="W583" s="158" t="s">
        <v>112</v>
      </c>
      <c r="X583" s="158" t="s">
        <v>112</v>
      </c>
      <c r="Y583" s="158" t="s">
        <v>112</v>
      </c>
      <c r="Z583" s="8" t="s">
        <v>148</v>
      </c>
      <c r="AA583" s="23" t="s">
        <v>144</v>
      </c>
      <c r="AB583" s="8" t="s">
        <v>330</v>
      </c>
      <c r="AE583" s="24"/>
      <c r="AM583" s="24"/>
    </row>
    <row r="584" ht="15.75" customHeight="1">
      <c r="A584" s="8">
        <v>872.0</v>
      </c>
      <c r="B584" s="158" t="s">
        <v>2259</v>
      </c>
      <c r="C584" s="158" t="s">
        <v>51</v>
      </c>
      <c r="D584" s="158" t="s">
        <v>213</v>
      </c>
      <c r="E584" s="158" t="s">
        <v>112</v>
      </c>
      <c r="F584" s="205">
        <v>43054.0</v>
      </c>
      <c r="G584" s="164">
        <v>43040.0</v>
      </c>
      <c r="H584" s="20" t="str">
        <f t="shared" si="36"/>
        <v>2017</v>
      </c>
      <c r="I584" s="8" t="s">
        <v>176</v>
      </c>
      <c r="J584" s="158" t="s">
        <v>112</v>
      </c>
      <c r="K584" s="158" t="s">
        <v>112</v>
      </c>
      <c r="L584" s="158" t="s">
        <v>100</v>
      </c>
      <c r="M584" s="190" t="s">
        <v>513</v>
      </c>
      <c r="N584" s="158" t="s">
        <v>2260</v>
      </c>
      <c r="O584" s="8" t="s">
        <v>2261</v>
      </c>
      <c r="P584" s="158" t="s">
        <v>106</v>
      </c>
      <c r="Q584" s="158" t="s">
        <v>112</v>
      </c>
      <c r="R584" s="158" t="s">
        <v>112</v>
      </c>
      <c r="S584" s="158" t="s">
        <v>112</v>
      </c>
      <c r="T584" s="158" t="s">
        <v>112</v>
      </c>
      <c r="U584" s="158" t="s">
        <v>112</v>
      </c>
      <c r="V584" s="158" t="s">
        <v>2262</v>
      </c>
      <c r="W584" s="158" t="s">
        <v>112</v>
      </c>
      <c r="X584" s="158" t="s">
        <v>112</v>
      </c>
      <c r="Y584" s="158" t="s">
        <v>112</v>
      </c>
      <c r="Z584" s="8" t="s">
        <v>148</v>
      </c>
      <c r="AA584" s="23" t="s">
        <v>144</v>
      </c>
      <c r="AB584" s="8" t="s">
        <v>330</v>
      </c>
      <c r="AE584" s="24"/>
      <c r="AM584" s="24"/>
    </row>
    <row r="585" ht="15.75" customHeight="1">
      <c r="A585" s="8">
        <v>877.0</v>
      </c>
      <c r="B585" s="158" t="s">
        <v>2263</v>
      </c>
      <c r="C585" s="158" t="s">
        <v>57</v>
      </c>
      <c r="D585" s="158" t="s">
        <v>213</v>
      </c>
      <c r="E585" s="158" t="s">
        <v>112</v>
      </c>
      <c r="F585" s="205">
        <v>43077.0</v>
      </c>
      <c r="G585" s="161">
        <v>43070.0</v>
      </c>
      <c r="H585" s="20" t="str">
        <f t="shared" si="36"/>
        <v>2017</v>
      </c>
      <c r="I585" s="8" t="s">
        <v>176</v>
      </c>
      <c r="J585" s="158" t="s">
        <v>112</v>
      </c>
      <c r="K585" s="158" t="s">
        <v>112</v>
      </c>
      <c r="L585" s="158" t="s">
        <v>100</v>
      </c>
      <c r="M585" s="190" t="s">
        <v>513</v>
      </c>
      <c r="N585" s="158" t="s">
        <v>2264</v>
      </c>
      <c r="O585" s="8" t="s">
        <v>2265</v>
      </c>
      <c r="P585" s="158" t="s">
        <v>106</v>
      </c>
      <c r="Q585" s="158" t="s">
        <v>112</v>
      </c>
      <c r="R585" s="158" t="s">
        <v>112</v>
      </c>
      <c r="S585" s="158" t="s">
        <v>112</v>
      </c>
      <c r="T585" s="158" t="s">
        <v>112</v>
      </c>
      <c r="U585" s="158" t="s">
        <v>112</v>
      </c>
      <c r="V585" s="158" t="s">
        <v>1454</v>
      </c>
      <c r="W585" s="158" t="s">
        <v>112</v>
      </c>
      <c r="X585" s="158" t="s">
        <v>112</v>
      </c>
      <c r="Y585" s="158" t="s">
        <v>112</v>
      </c>
      <c r="Z585" s="8" t="s">
        <v>148</v>
      </c>
      <c r="AA585" s="23" t="s">
        <v>144</v>
      </c>
      <c r="AB585" s="8" t="s">
        <v>330</v>
      </c>
      <c r="AE585" s="24"/>
      <c r="AM585" s="24"/>
    </row>
    <row r="586" ht="15.75" customHeight="1">
      <c r="A586" s="8">
        <v>879.0</v>
      </c>
      <c r="B586" s="158" t="s">
        <v>2266</v>
      </c>
      <c r="C586" s="158" t="s">
        <v>51</v>
      </c>
      <c r="D586" s="158" t="s">
        <v>112</v>
      </c>
      <c r="E586" s="158" t="s">
        <v>112</v>
      </c>
      <c r="F586" s="205">
        <v>43088.0</v>
      </c>
      <c r="G586" s="164">
        <v>43070.0</v>
      </c>
      <c r="H586" s="20" t="str">
        <f t="shared" si="36"/>
        <v>2017</v>
      </c>
      <c r="I586" s="8" t="s">
        <v>172</v>
      </c>
      <c r="J586" s="158" t="s">
        <v>112</v>
      </c>
      <c r="K586" s="158" t="s">
        <v>112</v>
      </c>
      <c r="L586" s="158" t="s">
        <v>100</v>
      </c>
      <c r="M586" s="211" t="s">
        <v>112</v>
      </c>
      <c r="N586" s="158" t="s">
        <v>2189</v>
      </c>
      <c r="O586" s="8"/>
      <c r="P586" s="158" t="s">
        <v>106</v>
      </c>
      <c r="Q586" s="158" t="s">
        <v>112</v>
      </c>
      <c r="R586" s="158" t="s">
        <v>112</v>
      </c>
      <c r="S586" s="158" t="s">
        <v>112</v>
      </c>
      <c r="T586" s="158" t="s">
        <v>112</v>
      </c>
      <c r="U586" s="158" t="s">
        <v>112</v>
      </c>
      <c r="V586" s="158" t="s">
        <v>466</v>
      </c>
      <c r="W586" s="158" t="s">
        <v>112</v>
      </c>
      <c r="X586" s="158" t="s">
        <v>112</v>
      </c>
      <c r="Y586" s="158" t="s">
        <v>112</v>
      </c>
      <c r="Z586" s="8" t="s">
        <v>148</v>
      </c>
      <c r="AA586" s="23" t="s">
        <v>144</v>
      </c>
      <c r="AB586" s="8" t="s">
        <v>330</v>
      </c>
      <c r="AE586" s="24"/>
      <c r="AM586" s="24"/>
    </row>
    <row r="587" ht="15.75" customHeight="1">
      <c r="A587" s="8">
        <v>886.0</v>
      </c>
      <c r="B587" s="158" t="s">
        <v>2267</v>
      </c>
      <c r="C587" s="158" t="s">
        <v>51</v>
      </c>
      <c r="D587" s="158" t="s">
        <v>112</v>
      </c>
      <c r="E587" s="158" t="s">
        <v>112</v>
      </c>
      <c r="F587" s="205">
        <v>43123.0</v>
      </c>
      <c r="G587" s="164">
        <v>43101.0</v>
      </c>
      <c r="H587" s="20" t="str">
        <f t="shared" si="36"/>
        <v>2018</v>
      </c>
      <c r="I587" s="8" t="s">
        <v>186</v>
      </c>
      <c r="J587" s="158" t="s">
        <v>112</v>
      </c>
      <c r="K587" s="158" t="s">
        <v>112</v>
      </c>
      <c r="L587" s="158" t="s">
        <v>100</v>
      </c>
      <c r="M587" s="211" t="s">
        <v>112</v>
      </c>
      <c r="N587" s="158" t="s">
        <v>112</v>
      </c>
      <c r="O587" s="8"/>
      <c r="P587" s="158" t="s">
        <v>106</v>
      </c>
      <c r="Q587" s="158" t="s">
        <v>112</v>
      </c>
      <c r="R587" s="158" t="s">
        <v>112</v>
      </c>
      <c r="S587" s="158" t="s">
        <v>112</v>
      </c>
      <c r="T587" s="158" t="s">
        <v>112</v>
      </c>
      <c r="U587" s="158" t="s">
        <v>112</v>
      </c>
      <c r="V587" s="158" t="s">
        <v>548</v>
      </c>
      <c r="W587" s="158" t="s">
        <v>112</v>
      </c>
      <c r="X587" s="158" t="s">
        <v>112</v>
      </c>
      <c r="Y587" s="158" t="s">
        <v>112</v>
      </c>
      <c r="Z587" s="8" t="s">
        <v>148</v>
      </c>
      <c r="AA587" s="23" t="s">
        <v>144</v>
      </c>
      <c r="AB587" s="8" t="s">
        <v>330</v>
      </c>
      <c r="AE587" s="24"/>
      <c r="AM587" s="24"/>
    </row>
    <row r="588" ht="15.75" customHeight="1">
      <c r="A588" s="8">
        <v>887.0</v>
      </c>
      <c r="B588" s="158" t="s">
        <v>2268</v>
      </c>
      <c r="C588" s="158" t="s">
        <v>51</v>
      </c>
      <c r="D588" s="158" t="s">
        <v>112</v>
      </c>
      <c r="E588" s="158" t="s">
        <v>112</v>
      </c>
      <c r="F588" s="205">
        <v>43131.0</v>
      </c>
      <c r="G588" s="164">
        <v>43101.0</v>
      </c>
      <c r="H588" s="20" t="str">
        <f t="shared" si="36"/>
        <v>2018</v>
      </c>
      <c r="I588" s="8" t="s">
        <v>63</v>
      </c>
      <c r="J588" s="158" t="s">
        <v>112</v>
      </c>
      <c r="K588" s="158" t="s">
        <v>112</v>
      </c>
      <c r="L588" s="158" t="s">
        <v>100</v>
      </c>
      <c r="M588" s="211" t="s">
        <v>112</v>
      </c>
      <c r="N588" s="158" t="s">
        <v>2269</v>
      </c>
      <c r="O588" s="8" t="s">
        <v>2270</v>
      </c>
      <c r="P588" s="158" t="s">
        <v>106</v>
      </c>
      <c r="Q588" s="158" t="s">
        <v>112</v>
      </c>
      <c r="R588" s="158" t="s">
        <v>112</v>
      </c>
      <c r="S588" s="158" t="s">
        <v>112</v>
      </c>
      <c r="T588" s="158" t="s">
        <v>112</v>
      </c>
      <c r="U588" s="158" t="s">
        <v>112</v>
      </c>
      <c r="V588" s="158" t="s">
        <v>190</v>
      </c>
      <c r="W588" s="158" t="s">
        <v>112</v>
      </c>
      <c r="X588" s="158" t="s">
        <v>112</v>
      </c>
      <c r="Y588" s="158" t="s">
        <v>112</v>
      </c>
      <c r="Z588" s="8" t="s">
        <v>148</v>
      </c>
      <c r="AA588" s="23" t="s">
        <v>144</v>
      </c>
      <c r="AB588" s="8" t="s">
        <v>330</v>
      </c>
      <c r="AE588" s="24"/>
      <c r="AM588" s="24"/>
    </row>
    <row r="589" ht="15.75" customHeight="1">
      <c r="A589" s="8">
        <v>888.0</v>
      </c>
      <c r="B589" s="158" t="s">
        <v>2271</v>
      </c>
      <c r="C589" s="158" t="s">
        <v>51</v>
      </c>
      <c r="D589" s="158" t="s">
        <v>112</v>
      </c>
      <c r="E589" s="158" t="s">
        <v>112</v>
      </c>
      <c r="F589" s="205">
        <v>43134.0</v>
      </c>
      <c r="G589" s="164">
        <v>43132.0</v>
      </c>
      <c r="H589" s="20" t="str">
        <f t="shared" si="36"/>
        <v>2018</v>
      </c>
      <c r="I589" s="8" t="s">
        <v>63</v>
      </c>
      <c r="J589" s="158" t="s">
        <v>112</v>
      </c>
      <c r="K589" s="158" t="s">
        <v>112</v>
      </c>
      <c r="L589" s="158" t="s">
        <v>100</v>
      </c>
      <c r="M589" s="211" t="s">
        <v>112</v>
      </c>
      <c r="N589" s="158" t="s">
        <v>2272</v>
      </c>
      <c r="O589" s="8" t="s">
        <v>2270</v>
      </c>
      <c r="P589" s="158" t="s">
        <v>106</v>
      </c>
      <c r="Q589" s="158" t="s">
        <v>112</v>
      </c>
      <c r="R589" s="158" t="s">
        <v>112</v>
      </c>
      <c r="S589" s="158" t="s">
        <v>112</v>
      </c>
      <c r="T589" s="158" t="s">
        <v>112</v>
      </c>
      <c r="U589" s="158" t="s">
        <v>112</v>
      </c>
      <c r="V589" s="158" t="s">
        <v>190</v>
      </c>
      <c r="W589" s="158" t="s">
        <v>112</v>
      </c>
      <c r="X589" s="158" t="s">
        <v>112</v>
      </c>
      <c r="Y589" s="158" t="s">
        <v>112</v>
      </c>
      <c r="Z589" s="8" t="s">
        <v>148</v>
      </c>
      <c r="AA589" s="23" t="s">
        <v>144</v>
      </c>
      <c r="AB589" s="8" t="s">
        <v>330</v>
      </c>
      <c r="AE589" s="24"/>
      <c r="AM589" s="24"/>
    </row>
    <row r="590" ht="15.75" customHeight="1">
      <c r="A590" s="8">
        <v>891.0</v>
      </c>
      <c r="B590" s="158" t="s">
        <v>2273</v>
      </c>
      <c r="C590" s="158" t="s">
        <v>51</v>
      </c>
      <c r="D590" s="158" t="s">
        <v>112</v>
      </c>
      <c r="E590" s="158" t="s">
        <v>112</v>
      </c>
      <c r="F590" s="205">
        <v>43147.0</v>
      </c>
      <c r="G590" s="164">
        <v>43132.0</v>
      </c>
      <c r="H590" s="20" t="str">
        <f t="shared" si="36"/>
        <v>2018</v>
      </c>
      <c r="I590" s="8" t="s">
        <v>186</v>
      </c>
      <c r="J590" s="158" t="s">
        <v>112</v>
      </c>
      <c r="K590" s="158" t="s">
        <v>112</v>
      </c>
      <c r="L590" s="158" t="s">
        <v>100</v>
      </c>
      <c r="M590" s="211" t="s">
        <v>112</v>
      </c>
      <c r="N590" s="158" t="s">
        <v>112</v>
      </c>
      <c r="O590" s="8"/>
      <c r="P590" s="158" t="s">
        <v>106</v>
      </c>
      <c r="Q590" s="158" t="s">
        <v>112</v>
      </c>
      <c r="R590" s="158" t="s">
        <v>112</v>
      </c>
      <c r="S590" s="158" t="s">
        <v>112</v>
      </c>
      <c r="T590" s="158" t="s">
        <v>112</v>
      </c>
      <c r="U590" s="158" t="s">
        <v>112</v>
      </c>
      <c r="V590" s="158" t="s">
        <v>548</v>
      </c>
      <c r="W590" s="158" t="s">
        <v>112</v>
      </c>
      <c r="X590" s="158" t="s">
        <v>112</v>
      </c>
      <c r="Y590" s="158" t="s">
        <v>112</v>
      </c>
      <c r="Z590" s="8" t="s">
        <v>148</v>
      </c>
      <c r="AA590" s="23" t="s">
        <v>144</v>
      </c>
      <c r="AB590" s="8" t="s">
        <v>330</v>
      </c>
      <c r="AE590" s="24"/>
      <c r="AM590" s="24"/>
    </row>
    <row r="591" ht="15.75" customHeight="1">
      <c r="A591" s="8">
        <v>896.0</v>
      </c>
      <c r="B591" s="158" t="s">
        <v>2274</v>
      </c>
      <c r="C591" s="158" t="s">
        <v>51</v>
      </c>
      <c r="D591" s="158" t="s">
        <v>112</v>
      </c>
      <c r="E591" s="158" t="s">
        <v>112</v>
      </c>
      <c r="F591" s="205">
        <v>43173.0</v>
      </c>
      <c r="G591" s="164">
        <v>43160.0</v>
      </c>
      <c r="H591" s="20" t="str">
        <f t="shared" si="36"/>
        <v>2018</v>
      </c>
      <c r="I591" s="8" t="s">
        <v>186</v>
      </c>
      <c r="J591" s="158" t="s">
        <v>112</v>
      </c>
      <c r="K591" s="158" t="s">
        <v>112</v>
      </c>
      <c r="L591" s="158" t="s">
        <v>100</v>
      </c>
      <c r="M591" s="211" t="s">
        <v>112</v>
      </c>
      <c r="N591" s="158" t="s">
        <v>112</v>
      </c>
      <c r="O591" s="8"/>
      <c r="P591" s="158" t="s">
        <v>106</v>
      </c>
      <c r="Q591" s="158" t="s">
        <v>112</v>
      </c>
      <c r="R591" s="158" t="s">
        <v>112</v>
      </c>
      <c r="S591" s="158" t="s">
        <v>112</v>
      </c>
      <c r="T591" s="158" t="s">
        <v>112</v>
      </c>
      <c r="U591" s="158" t="s">
        <v>112</v>
      </c>
      <c r="V591" s="158" t="s">
        <v>548</v>
      </c>
      <c r="W591" s="158" t="s">
        <v>112</v>
      </c>
      <c r="X591" s="158" t="s">
        <v>112</v>
      </c>
      <c r="Y591" s="158" t="s">
        <v>112</v>
      </c>
      <c r="Z591" s="8" t="s">
        <v>148</v>
      </c>
      <c r="AA591" s="23" t="s">
        <v>144</v>
      </c>
      <c r="AB591" s="8" t="s">
        <v>330</v>
      </c>
      <c r="AE591" s="24"/>
      <c r="AM591" s="24"/>
    </row>
    <row r="592" ht="15.75" customHeight="1">
      <c r="A592" s="8">
        <v>900.0</v>
      </c>
      <c r="B592" s="158" t="s">
        <v>2275</v>
      </c>
      <c r="C592" s="158" t="s">
        <v>51</v>
      </c>
      <c r="D592" s="158" t="s">
        <v>112</v>
      </c>
      <c r="E592" s="158" t="s">
        <v>112</v>
      </c>
      <c r="F592" s="205">
        <v>43177.0</v>
      </c>
      <c r="G592" s="164">
        <v>43160.0</v>
      </c>
      <c r="H592" s="20" t="str">
        <f t="shared" si="36"/>
        <v>2018</v>
      </c>
      <c r="I592" s="8" t="s">
        <v>63</v>
      </c>
      <c r="J592" s="158" t="s">
        <v>112</v>
      </c>
      <c r="K592" s="158" t="s">
        <v>112</v>
      </c>
      <c r="L592" s="158" t="s">
        <v>100</v>
      </c>
      <c r="M592" s="211" t="s">
        <v>112</v>
      </c>
      <c r="N592" s="158" t="s">
        <v>2276</v>
      </c>
      <c r="O592" s="8"/>
      <c r="P592" s="158" t="s">
        <v>106</v>
      </c>
      <c r="Q592" s="158" t="s">
        <v>112</v>
      </c>
      <c r="R592" s="158" t="s">
        <v>112</v>
      </c>
      <c r="S592" s="158" t="s">
        <v>112</v>
      </c>
      <c r="T592" s="158" t="s">
        <v>112</v>
      </c>
      <c r="U592" s="158" t="s">
        <v>112</v>
      </c>
      <c r="V592" s="158" t="s">
        <v>190</v>
      </c>
      <c r="W592" s="158" t="s">
        <v>112</v>
      </c>
      <c r="X592" s="158" t="s">
        <v>112</v>
      </c>
      <c r="Y592" s="158" t="s">
        <v>112</v>
      </c>
      <c r="Z592" s="8" t="s">
        <v>148</v>
      </c>
      <c r="AA592" s="23" t="s">
        <v>144</v>
      </c>
      <c r="AB592" s="8" t="s">
        <v>330</v>
      </c>
      <c r="AE592" s="24"/>
      <c r="AM592" s="24"/>
    </row>
    <row r="593" ht="15.75" customHeight="1">
      <c r="A593" s="8">
        <v>911.0</v>
      </c>
      <c r="B593" s="158" t="s">
        <v>2277</v>
      </c>
      <c r="C593" s="158" t="s">
        <v>51</v>
      </c>
      <c r="D593" s="158" t="s">
        <v>112</v>
      </c>
      <c r="E593" s="158" t="s">
        <v>112</v>
      </c>
      <c r="F593" s="205">
        <v>43179.0</v>
      </c>
      <c r="G593" s="164">
        <v>43160.0</v>
      </c>
      <c r="H593" s="20" t="str">
        <f t="shared" si="36"/>
        <v>2018</v>
      </c>
      <c r="I593" s="8" t="s">
        <v>172</v>
      </c>
      <c r="J593" s="158" t="s">
        <v>112</v>
      </c>
      <c r="K593" s="158" t="s">
        <v>112</v>
      </c>
      <c r="L593" s="158" t="s">
        <v>100</v>
      </c>
      <c r="M593" s="211" t="s">
        <v>112</v>
      </c>
      <c r="N593" s="156" t="s">
        <v>2278</v>
      </c>
      <c r="O593" s="8"/>
      <c r="P593" s="158" t="s">
        <v>106</v>
      </c>
      <c r="Q593" s="158" t="s">
        <v>112</v>
      </c>
      <c r="R593" s="273" t="s">
        <v>112</v>
      </c>
      <c r="S593" s="274" t="s">
        <v>112</v>
      </c>
      <c r="T593" s="158" t="s">
        <v>112</v>
      </c>
      <c r="U593" s="158" t="s">
        <v>112</v>
      </c>
      <c r="V593" s="158" t="s">
        <v>190</v>
      </c>
      <c r="W593" s="158" t="s">
        <v>112</v>
      </c>
      <c r="X593" s="158" t="s">
        <v>112</v>
      </c>
      <c r="Y593" s="158" t="s">
        <v>112</v>
      </c>
      <c r="Z593" s="8" t="s">
        <v>148</v>
      </c>
      <c r="AA593" s="23" t="s">
        <v>144</v>
      </c>
      <c r="AB593" s="8" t="s">
        <v>330</v>
      </c>
      <c r="AE593" s="24"/>
      <c r="AM593" s="24"/>
    </row>
    <row r="594" ht="15.75" customHeight="1">
      <c r="A594" s="8">
        <v>914.0</v>
      </c>
      <c r="B594" s="158" t="s">
        <v>2279</v>
      </c>
      <c r="C594" s="158" t="s">
        <v>51</v>
      </c>
      <c r="D594" s="158" t="s">
        <v>112</v>
      </c>
      <c r="E594" s="158" t="s">
        <v>112</v>
      </c>
      <c r="F594" s="205">
        <v>43180.0</v>
      </c>
      <c r="G594" s="164">
        <v>43160.0</v>
      </c>
      <c r="H594" s="20" t="str">
        <f t="shared" si="36"/>
        <v>2018</v>
      </c>
      <c r="I594" s="8" t="s">
        <v>186</v>
      </c>
      <c r="J594" s="158" t="s">
        <v>112</v>
      </c>
      <c r="K594" s="158" t="s">
        <v>112</v>
      </c>
      <c r="L594" s="158" t="s">
        <v>100</v>
      </c>
      <c r="M594" s="211" t="s">
        <v>112</v>
      </c>
      <c r="N594" s="158" t="s">
        <v>553</v>
      </c>
      <c r="O594" s="8"/>
      <c r="P594" s="158" t="s">
        <v>106</v>
      </c>
      <c r="Q594" s="158" t="s">
        <v>112</v>
      </c>
      <c r="R594" s="158" t="s">
        <v>112</v>
      </c>
      <c r="S594" s="158" t="s">
        <v>112</v>
      </c>
      <c r="T594" s="158" t="s">
        <v>112</v>
      </c>
      <c r="U594" s="158" t="s">
        <v>112</v>
      </c>
      <c r="V594" s="158" t="s">
        <v>190</v>
      </c>
      <c r="W594" s="158" t="s">
        <v>112</v>
      </c>
      <c r="X594" s="158" t="s">
        <v>112</v>
      </c>
      <c r="Y594" s="158" t="s">
        <v>112</v>
      </c>
      <c r="Z594" s="8" t="s">
        <v>148</v>
      </c>
      <c r="AA594" s="23" t="s">
        <v>144</v>
      </c>
      <c r="AB594" s="8" t="s">
        <v>330</v>
      </c>
      <c r="AC594" s="70"/>
      <c r="AD594" s="70"/>
      <c r="AE594" s="24"/>
      <c r="AF594" s="70"/>
      <c r="AG594" s="70"/>
      <c r="AH594" s="70"/>
      <c r="AI594" s="70"/>
      <c r="AJ594" s="70"/>
      <c r="AK594" s="70"/>
      <c r="AL594" s="70"/>
      <c r="AM594" s="24"/>
      <c r="AN594" s="70"/>
      <c r="AO594" s="70"/>
      <c r="AP594" s="70"/>
      <c r="AQ594" s="70"/>
      <c r="AR594" s="70"/>
      <c r="AS594" s="70"/>
      <c r="AT594" s="70"/>
      <c r="AU594" s="70"/>
      <c r="AV594" s="70"/>
      <c r="AW594" s="70"/>
      <c r="AX594" s="70"/>
      <c r="AY594" s="70"/>
      <c r="AZ594" s="70"/>
      <c r="BA594" s="70"/>
      <c r="BB594" s="70"/>
      <c r="BC594" s="70"/>
      <c r="BD594" s="70"/>
      <c r="BE594" s="70"/>
      <c r="BF594" s="70"/>
      <c r="BG594" s="70"/>
      <c r="BH594" s="70"/>
      <c r="BI594" s="70"/>
      <c r="BJ594" s="70"/>
      <c r="BK594" s="70"/>
      <c r="BL594" s="70"/>
      <c r="BM594" s="70"/>
      <c r="BN594" s="70"/>
      <c r="BO594" s="70"/>
      <c r="BP594" s="70"/>
      <c r="BQ594" s="70"/>
      <c r="BR594" s="70"/>
      <c r="BS594" s="70"/>
      <c r="BT594" s="70"/>
      <c r="BU594" s="70"/>
      <c r="BV594" s="70"/>
      <c r="BW594" s="70"/>
      <c r="BX594" s="70"/>
      <c r="BY594" s="70"/>
    </row>
    <row r="595" ht="15.75" customHeight="1">
      <c r="A595" s="8">
        <v>916.0</v>
      </c>
      <c r="B595" s="158" t="s">
        <v>2280</v>
      </c>
      <c r="C595" s="158" t="s">
        <v>51</v>
      </c>
      <c r="D595" s="158" t="s">
        <v>112</v>
      </c>
      <c r="E595" s="158" t="s">
        <v>112</v>
      </c>
      <c r="F595" s="205">
        <v>43180.0</v>
      </c>
      <c r="G595" s="164">
        <v>43160.0</v>
      </c>
      <c r="H595" s="20" t="str">
        <f t="shared" si="36"/>
        <v>2018</v>
      </c>
      <c r="I595" s="8" t="s">
        <v>186</v>
      </c>
      <c r="J595" s="158" t="s">
        <v>112</v>
      </c>
      <c r="K595" s="158" t="s">
        <v>112</v>
      </c>
      <c r="L595" s="158" t="s">
        <v>100</v>
      </c>
      <c r="M595" s="211" t="s">
        <v>112</v>
      </c>
      <c r="N595" s="158" t="s">
        <v>490</v>
      </c>
      <c r="O595" s="8"/>
      <c r="P595" s="158" t="s">
        <v>106</v>
      </c>
      <c r="Q595" s="158" t="s">
        <v>112</v>
      </c>
      <c r="R595" s="158" t="s">
        <v>112</v>
      </c>
      <c r="S595" s="158" t="s">
        <v>112</v>
      </c>
      <c r="T595" s="158" t="s">
        <v>112</v>
      </c>
      <c r="U595" s="158" t="s">
        <v>112</v>
      </c>
      <c r="V595" s="158" t="s">
        <v>190</v>
      </c>
      <c r="W595" s="158" t="s">
        <v>112</v>
      </c>
      <c r="X595" s="158" t="s">
        <v>112</v>
      </c>
      <c r="Y595" s="158" t="s">
        <v>112</v>
      </c>
      <c r="Z595" s="8" t="s">
        <v>148</v>
      </c>
      <c r="AA595" s="23" t="s">
        <v>144</v>
      </c>
      <c r="AB595" s="8" t="s">
        <v>330</v>
      </c>
      <c r="AC595" s="70"/>
      <c r="AD595" s="70"/>
      <c r="AE595" s="24"/>
      <c r="AF595" s="70"/>
      <c r="AG595" s="70"/>
      <c r="AH595" s="70"/>
      <c r="AI595" s="70"/>
      <c r="AJ595" s="70"/>
      <c r="AK595" s="70"/>
      <c r="AL595" s="70"/>
      <c r="AM595" s="24"/>
      <c r="AN595" s="70"/>
      <c r="AO595" s="70"/>
      <c r="AP595" s="70"/>
      <c r="AQ595" s="70"/>
      <c r="AR595" s="70"/>
      <c r="AS595" s="70"/>
      <c r="AT595" s="70"/>
      <c r="AU595" s="70"/>
      <c r="AV595" s="70"/>
      <c r="AW595" s="70"/>
      <c r="AX595" s="70"/>
      <c r="AY595" s="70"/>
      <c r="AZ595" s="70"/>
      <c r="BA595" s="70"/>
      <c r="BB595" s="70"/>
      <c r="BC595" s="70"/>
      <c r="BD595" s="70"/>
      <c r="BE595" s="70"/>
      <c r="BF595" s="70"/>
      <c r="BG595" s="70"/>
      <c r="BH595" s="70"/>
      <c r="BI595" s="70"/>
      <c r="BJ595" s="70"/>
      <c r="BK595" s="70"/>
      <c r="BL595" s="70"/>
      <c r="BM595" s="70"/>
      <c r="BN595" s="70"/>
      <c r="BO595" s="70"/>
      <c r="BP595" s="70"/>
      <c r="BQ595" s="70"/>
      <c r="BR595" s="70"/>
      <c r="BS595" s="70"/>
      <c r="BT595" s="70"/>
      <c r="BU595" s="70"/>
      <c r="BV595" s="70"/>
      <c r="BW595" s="70"/>
      <c r="BX595" s="70"/>
      <c r="BY595" s="70"/>
    </row>
    <row r="596" ht="15.75" customHeight="1">
      <c r="A596" s="8">
        <v>702.0</v>
      </c>
      <c r="B596" s="188" t="s">
        <v>2281</v>
      </c>
      <c r="C596" s="167" t="s">
        <v>48</v>
      </c>
      <c r="D596" s="181" t="s">
        <v>112</v>
      </c>
      <c r="E596" s="163" t="s">
        <v>112</v>
      </c>
      <c r="F596" s="180">
        <v>42487.0</v>
      </c>
      <c r="G596" s="183">
        <v>42461.0</v>
      </c>
      <c r="H596" s="42" t="str">
        <f t="shared" si="36"/>
        <v>2016</v>
      </c>
      <c r="I596" s="8" t="s">
        <v>186</v>
      </c>
      <c r="J596" s="181" t="s">
        <v>112</v>
      </c>
      <c r="K596" s="181" t="s">
        <v>112</v>
      </c>
      <c r="L596" s="167" t="s">
        <v>1336</v>
      </c>
      <c r="M596" s="168" t="s">
        <v>177</v>
      </c>
      <c r="N596" s="163" t="s">
        <v>2282</v>
      </c>
      <c r="O596" s="8" t="s">
        <v>2283</v>
      </c>
      <c r="P596" s="163" t="s">
        <v>106</v>
      </c>
      <c r="Q596" s="181" t="s">
        <v>112</v>
      </c>
      <c r="R596" s="167" t="s">
        <v>112</v>
      </c>
      <c r="S596" s="248" t="s">
        <v>112</v>
      </c>
      <c r="T596" s="127" t="s">
        <v>112</v>
      </c>
      <c r="U596" s="127" t="s">
        <v>112</v>
      </c>
      <c r="V596" s="247" t="s">
        <v>1339</v>
      </c>
      <c r="W596" s="181" t="s">
        <v>112</v>
      </c>
      <c r="X596" s="181" t="s">
        <v>112</v>
      </c>
      <c r="Y596" s="181" t="s">
        <v>112</v>
      </c>
      <c r="Z596" s="8" t="s">
        <v>69</v>
      </c>
      <c r="AA596" s="23" t="s">
        <v>115</v>
      </c>
      <c r="AB596" s="8" t="s">
        <v>326</v>
      </c>
      <c r="AC596" s="70"/>
      <c r="AD596" s="70"/>
      <c r="AE596" s="24"/>
      <c r="AF596" s="70"/>
      <c r="AG596" s="70"/>
      <c r="AH596" s="70"/>
      <c r="AI596" s="70"/>
      <c r="AJ596" s="70"/>
      <c r="AK596" s="70"/>
      <c r="AL596" s="70"/>
      <c r="AM596" s="24"/>
      <c r="AN596" s="70"/>
      <c r="AO596" s="70"/>
      <c r="AP596" s="70"/>
      <c r="AQ596" s="70"/>
      <c r="AR596" s="70"/>
      <c r="AS596" s="70"/>
      <c r="AT596" s="70"/>
      <c r="AU596" s="70"/>
      <c r="AV596" s="70"/>
      <c r="AW596" s="70"/>
      <c r="AX596" s="70"/>
      <c r="AY596" s="70"/>
      <c r="AZ596" s="70"/>
      <c r="BA596" s="70"/>
      <c r="BB596" s="70"/>
      <c r="BC596" s="70"/>
      <c r="BD596" s="70"/>
      <c r="BE596" s="70"/>
      <c r="BF596" s="70"/>
      <c r="BG596" s="70"/>
      <c r="BH596" s="70"/>
      <c r="BI596" s="70"/>
      <c r="BJ596" s="70"/>
      <c r="BK596" s="70"/>
      <c r="BL596" s="70"/>
      <c r="BM596" s="70"/>
      <c r="BN596" s="70"/>
      <c r="BO596" s="70"/>
      <c r="BP596" s="70"/>
      <c r="BQ596" s="70"/>
      <c r="BR596" s="70"/>
      <c r="BS596" s="70"/>
      <c r="BT596" s="70"/>
      <c r="BU596" s="70"/>
      <c r="BV596" s="70"/>
      <c r="BW596" s="70"/>
      <c r="BX596" s="70"/>
      <c r="BY596" s="70"/>
    </row>
    <row r="597" ht="15.75" customHeight="1">
      <c r="A597" s="8">
        <v>730.0</v>
      </c>
      <c r="B597" s="188" t="s">
        <v>2284</v>
      </c>
      <c r="C597" s="167" t="s">
        <v>48</v>
      </c>
      <c r="D597" s="181" t="s">
        <v>112</v>
      </c>
      <c r="E597" s="163" t="s">
        <v>112</v>
      </c>
      <c r="F597" s="180">
        <v>42538.0</v>
      </c>
      <c r="G597" s="183">
        <v>42522.0</v>
      </c>
      <c r="H597" s="42" t="str">
        <f t="shared" si="36"/>
        <v>2016</v>
      </c>
      <c r="I597" s="8" t="s">
        <v>186</v>
      </c>
      <c r="J597" s="181" t="s">
        <v>112</v>
      </c>
      <c r="K597" s="181" t="s">
        <v>112</v>
      </c>
      <c r="L597" s="167" t="s">
        <v>1336</v>
      </c>
      <c r="M597" s="168" t="s">
        <v>177</v>
      </c>
      <c r="N597" s="163" t="s">
        <v>2285</v>
      </c>
      <c r="O597" s="8" t="s">
        <v>2286</v>
      </c>
      <c r="P597" s="163" t="s">
        <v>106</v>
      </c>
      <c r="Q597" s="181" t="s">
        <v>112</v>
      </c>
      <c r="R597" s="167" t="s">
        <v>112</v>
      </c>
      <c r="S597" s="248" t="s">
        <v>112</v>
      </c>
      <c r="T597" s="127" t="s">
        <v>112</v>
      </c>
      <c r="U597" s="127" t="s">
        <v>112</v>
      </c>
      <c r="V597" s="247" t="s">
        <v>1339</v>
      </c>
      <c r="W597" s="181" t="s">
        <v>112</v>
      </c>
      <c r="X597" s="181" t="s">
        <v>112</v>
      </c>
      <c r="Y597" s="181" t="s">
        <v>112</v>
      </c>
      <c r="Z597" s="8" t="s">
        <v>69</v>
      </c>
      <c r="AA597" s="23" t="s">
        <v>115</v>
      </c>
      <c r="AB597" s="8" t="s">
        <v>321</v>
      </c>
      <c r="AC597" s="70"/>
      <c r="AD597" s="70"/>
      <c r="AE597" s="24"/>
      <c r="AF597" s="70"/>
      <c r="AG597" s="70"/>
      <c r="AH597" s="70"/>
      <c r="AI597" s="70"/>
      <c r="AJ597" s="70"/>
      <c r="AK597" s="70"/>
      <c r="AL597" s="70"/>
      <c r="AM597" s="24"/>
      <c r="AN597" s="70"/>
      <c r="AO597" s="70"/>
      <c r="AP597" s="70"/>
      <c r="AQ597" s="70"/>
      <c r="AR597" s="70"/>
      <c r="AS597" s="70"/>
      <c r="AT597" s="70"/>
      <c r="AU597" s="70"/>
      <c r="AV597" s="70"/>
      <c r="AW597" s="70"/>
      <c r="AX597" s="70"/>
      <c r="AY597" s="70"/>
      <c r="AZ597" s="70"/>
      <c r="BA597" s="70"/>
      <c r="BB597" s="70"/>
      <c r="BC597" s="70"/>
      <c r="BD597" s="70"/>
      <c r="BE597" s="70"/>
      <c r="BF597" s="70"/>
      <c r="BG597" s="70"/>
      <c r="BH597" s="70"/>
      <c r="BI597" s="70"/>
      <c r="BJ597" s="70"/>
      <c r="BK597" s="70"/>
      <c r="BL597" s="70"/>
      <c r="BM597" s="70"/>
      <c r="BN597" s="70"/>
      <c r="BO597" s="70"/>
      <c r="BP597" s="70"/>
      <c r="BQ597" s="70"/>
      <c r="BR597" s="70"/>
      <c r="BS597" s="70"/>
      <c r="BT597" s="70"/>
      <c r="BU597" s="70"/>
      <c r="BV597" s="70"/>
      <c r="BW597" s="70"/>
      <c r="BX597" s="70"/>
      <c r="BY597" s="70"/>
    </row>
    <row r="598" ht="15.75" customHeight="1">
      <c r="A598" s="8">
        <v>744.0</v>
      </c>
      <c r="B598" s="188" t="s">
        <v>2287</v>
      </c>
      <c r="C598" s="167" t="s">
        <v>48</v>
      </c>
      <c r="D598" s="181" t="s">
        <v>112</v>
      </c>
      <c r="E598" s="163" t="s">
        <v>112</v>
      </c>
      <c r="F598" s="180">
        <v>42614.0</v>
      </c>
      <c r="G598" s="183">
        <v>42614.0</v>
      </c>
      <c r="H598" s="42" t="str">
        <f t="shared" si="36"/>
        <v>2016</v>
      </c>
      <c r="I598" s="8" t="s">
        <v>63</v>
      </c>
      <c r="J598" s="181" t="s">
        <v>112</v>
      </c>
      <c r="K598" s="181" t="s">
        <v>112</v>
      </c>
      <c r="L598" s="167" t="s">
        <v>1336</v>
      </c>
      <c r="M598" s="168" t="s">
        <v>177</v>
      </c>
      <c r="N598" s="163" t="s">
        <v>2288</v>
      </c>
      <c r="O598" s="8" t="s">
        <v>2289</v>
      </c>
      <c r="P598" s="163" t="s">
        <v>106</v>
      </c>
      <c r="Q598" s="181" t="s">
        <v>112</v>
      </c>
      <c r="R598" s="113" t="s">
        <v>112</v>
      </c>
      <c r="S598" s="275" t="s">
        <v>112</v>
      </c>
      <c r="T598" s="127" t="s">
        <v>112</v>
      </c>
      <c r="U598" s="127" t="s">
        <v>112</v>
      </c>
      <c r="V598" s="247" t="s">
        <v>1339</v>
      </c>
      <c r="W598" s="181" t="s">
        <v>112</v>
      </c>
      <c r="X598" s="181" t="s">
        <v>112</v>
      </c>
      <c r="Y598" s="181" t="s">
        <v>112</v>
      </c>
      <c r="Z598" s="8" t="s">
        <v>69</v>
      </c>
      <c r="AA598" s="23" t="s">
        <v>115</v>
      </c>
      <c r="AB598" s="8" t="s">
        <v>321</v>
      </c>
      <c r="AC598" s="70"/>
      <c r="AD598" s="70"/>
      <c r="AE598" s="24"/>
      <c r="AF598" s="70"/>
      <c r="AG598" s="70"/>
      <c r="AH598" s="70"/>
      <c r="AI598" s="70"/>
      <c r="AJ598" s="70"/>
      <c r="AK598" s="70"/>
      <c r="AL598" s="70"/>
      <c r="AM598" s="24"/>
      <c r="AN598" s="70"/>
      <c r="AO598" s="70"/>
      <c r="AP598" s="70"/>
      <c r="AQ598" s="70"/>
      <c r="AR598" s="70"/>
      <c r="AS598" s="70"/>
      <c r="AT598" s="70"/>
      <c r="AU598" s="70"/>
      <c r="AV598" s="70"/>
      <c r="AW598" s="70"/>
      <c r="AX598" s="70"/>
      <c r="AY598" s="70"/>
      <c r="AZ598" s="70"/>
      <c r="BA598" s="70"/>
      <c r="BB598" s="70"/>
      <c r="BC598" s="70"/>
      <c r="BD598" s="70"/>
      <c r="BE598" s="70"/>
      <c r="BF598" s="70"/>
      <c r="BG598" s="70"/>
      <c r="BH598" s="70"/>
      <c r="BI598" s="70"/>
      <c r="BJ598" s="70"/>
      <c r="BK598" s="70"/>
      <c r="BL598" s="70"/>
      <c r="BM598" s="70"/>
      <c r="BN598" s="70"/>
      <c r="BO598" s="70"/>
      <c r="BP598" s="70"/>
      <c r="BQ598" s="70"/>
      <c r="BR598" s="70"/>
      <c r="BS598" s="70"/>
      <c r="BT598" s="70"/>
      <c r="BU598" s="70"/>
      <c r="BV598" s="70"/>
      <c r="BW598" s="70"/>
      <c r="BX598" s="70"/>
      <c r="BY598" s="70"/>
    </row>
    <row r="599" ht="15.75" customHeight="1">
      <c r="A599" s="8">
        <v>638.0</v>
      </c>
      <c r="B599" s="188" t="s">
        <v>2290</v>
      </c>
      <c r="C599" s="167" t="s">
        <v>48</v>
      </c>
      <c r="D599" s="181" t="s">
        <v>112</v>
      </c>
      <c r="E599" s="163" t="s">
        <v>112</v>
      </c>
      <c r="F599" s="180">
        <v>42313.0</v>
      </c>
      <c r="G599" s="183">
        <v>42309.0</v>
      </c>
      <c r="H599" s="42" t="str">
        <f t="shared" si="36"/>
        <v>2015</v>
      </c>
      <c r="I599" s="8" t="s">
        <v>176</v>
      </c>
      <c r="J599" s="181" t="s">
        <v>112</v>
      </c>
      <c r="K599" s="181" t="s">
        <v>112</v>
      </c>
      <c r="L599" s="167" t="s">
        <v>1336</v>
      </c>
      <c r="M599" s="168" t="s">
        <v>177</v>
      </c>
      <c r="N599" s="163" t="s">
        <v>2291</v>
      </c>
      <c r="O599" s="8" t="s">
        <v>2292</v>
      </c>
      <c r="P599" s="163" t="s">
        <v>106</v>
      </c>
      <c r="Q599" s="181" t="s">
        <v>112</v>
      </c>
      <c r="R599" s="167" t="s">
        <v>112</v>
      </c>
      <c r="S599" s="248" t="s">
        <v>112</v>
      </c>
      <c r="T599" s="127" t="s">
        <v>112</v>
      </c>
      <c r="U599" s="127" t="s">
        <v>112</v>
      </c>
      <c r="V599" s="247" t="s">
        <v>1339</v>
      </c>
      <c r="W599" s="181" t="s">
        <v>112</v>
      </c>
      <c r="X599" s="181" t="s">
        <v>112</v>
      </c>
      <c r="Y599" s="128"/>
      <c r="Z599" s="8" t="s">
        <v>69</v>
      </c>
      <c r="AA599" s="23" t="s">
        <v>115</v>
      </c>
      <c r="AB599" s="154" t="s">
        <v>316</v>
      </c>
      <c r="AE599" s="24"/>
      <c r="AM599" s="24"/>
    </row>
    <row r="600" ht="15.75" customHeight="1">
      <c r="A600" s="8">
        <v>644.0</v>
      </c>
      <c r="B600" s="188" t="s">
        <v>2293</v>
      </c>
      <c r="C600" s="163" t="s">
        <v>57</v>
      </c>
      <c r="D600" s="163" t="s">
        <v>112</v>
      </c>
      <c r="E600" s="163" t="s">
        <v>112</v>
      </c>
      <c r="F600" s="163">
        <v>2016.0</v>
      </c>
      <c r="G600" s="178">
        <v>42614.0</v>
      </c>
      <c r="H600" s="42" t="str">
        <f t="shared" si="36"/>
        <v>2016</v>
      </c>
      <c r="I600" s="8" t="s">
        <v>176</v>
      </c>
      <c r="J600" s="163" t="s">
        <v>112</v>
      </c>
      <c r="K600" s="163" t="s">
        <v>112</v>
      </c>
      <c r="L600" s="163" t="s">
        <v>100</v>
      </c>
      <c r="M600" s="167" t="s">
        <v>177</v>
      </c>
      <c r="N600" s="163" t="s">
        <v>2294</v>
      </c>
      <c r="O600" s="8" t="s">
        <v>2295</v>
      </c>
      <c r="P600" s="163" t="s">
        <v>106</v>
      </c>
      <c r="Q600" s="163" t="s">
        <v>112</v>
      </c>
      <c r="R600" s="163" t="s">
        <v>112</v>
      </c>
      <c r="S600" s="246" t="s">
        <v>112</v>
      </c>
      <c r="T600" s="127" t="s">
        <v>112</v>
      </c>
      <c r="U600" s="127" t="s">
        <v>112</v>
      </c>
      <c r="V600" s="269" t="s">
        <v>2070</v>
      </c>
      <c r="W600" s="163" t="s">
        <v>112</v>
      </c>
      <c r="X600" s="163">
        <v>1.0</v>
      </c>
      <c r="Y600" s="163" t="s">
        <v>2296</v>
      </c>
      <c r="Z600" s="8" t="s">
        <v>69</v>
      </c>
      <c r="AA600" s="23" t="s">
        <v>115</v>
      </c>
      <c r="AB600" s="154" t="s">
        <v>316</v>
      </c>
      <c r="AE600" s="24"/>
      <c r="AM600" s="24"/>
    </row>
    <row r="601" ht="15.75" customHeight="1">
      <c r="A601" s="8">
        <v>645.0</v>
      </c>
      <c r="B601" s="188" t="s">
        <v>2297</v>
      </c>
      <c r="C601" s="163" t="s">
        <v>57</v>
      </c>
      <c r="D601" s="163" t="s">
        <v>112</v>
      </c>
      <c r="E601" s="163" t="s">
        <v>112</v>
      </c>
      <c r="F601" s="163">
        <v>2016.0</v>
      </c>
      <c r="G601" s="178">
        <v>42675.0</v>
      </c>
      <c r="H601" s="42" t="str">
        <f t="shared" si="36"/>
        <v>2016</v>
      </c>
      <c r="I601" s="8" t="s">
        <v>176</v>
      </c>
      <c r="J601" s="163" t="s">
        <v>112</v>
      </c>
      <c r="K601" s="163" t="s">
        <v>112</v>
      </c>
      <c r="L601" s="163" t="s">
        <v>100</v>
      </c>
      <c r="M601" s="202" t="s">
        <v>177</v>
      </c>
      <c r="N601" s="174" t="s">
        <v>2298</v>
      </c>
      <c r="O601" s="29" t="s">
        <v>2299</v>
      </c>
      <c r="P601" s="163" t="s">
        <v>106</v>
      </c>
      <c r="Q601" s="163" t="s">
        <v>112</v>
      </c>
      <c r="R601" s="181" t="s">
        <v>112</v>
      </c>
      <c r="S601" s="252" t="s">
        <v>112</v>
      </c>
      <c r="T601" s="127" t="s">
        <v>112</v>
      </c>
      <c r="U601" s="127" t="s">
        <v>112</v>
      </c>
      <c r="V601" s="269" t="s">
        <v>2184</v>
      </c>
      <c r="W601" s="163" t="s">
        <v>112</v>
      </c>
      <c r="X601" s="163" t="s">
        <v>112</v>
      </c>
      <c r="Y601" s="163" t="s">
        <v>112</v>
      </c>
      <c r="Z601" s="8" t="s">
        <v>69</v>
      </c>
      <c r="AA601" s="23" t="s">
        <v>115</v>
      </c>
      <c r="AB601" s="154" t="s">
        <v>316</v>
      </c>
      <c r="AE601" s="24"/>
      <c r="AM601" s="24"/>
    </row>
    <row r="602" ht="15.75" customHeight="1">
      <c r="A602" s="8">
        <v>646.0</v>
      </c>
      <c r="B602" s="188" t="s">
        <v>2300</v>
      </c>
      <c r="C602" s="167" t="s">
        <v>48</v>
      </c>
      <c r="D602" s="181" t="s">
        <v>112</v>
      </c>
      <c r="E602" s="163" t="s">
        <v>112</v>
      </c>
      <c r="F602" s="177">
        <v>42370.0</v>
      </c>
      <c r="G602" s="183">
        <v>42370.0</v>
      </c>
      <c r="H602" s="42" t="str">
        <f t="shared" si="36"/>
        <v>2016</v>
      </c>
      <c r="I602" s="8" t="s">
        <v>176</v>
      </c>
      <c r="J602" s="181" t="s">
        <v>112</v>
      </c>
      <c r="K602" s="181" t="s">
        <v>112</v>
      </c>
      <c r="L602" s="167" t="s">
        <v>100</v>
      </c>
      <c r="M602" s="168" t="s">
        <v>513</v>
      </c>
      <c r="N602" s="163" t="s">
        <v>2301</v>
      </c>
      <c r="O602" s="8" t="s">
        <v>2302</v>
      </c>
      <c r="P602" s="163" t="s">
        <v>106</v>
      </c>
      <c r="Q602" s="181" t="s">
        <v>112</v>
      </c>
      <c r="R602" s="167" t="s">
        <v>112</v>
      </c>
      <c r="S602" s="248" t="s">
        <v>112</v>
      </c>
      <c r="T602" s="127" t="s">
        <v>112</v>
      </c>
      <c r="U602" s="127" t="s">
        <v>112</v>
      </c>
      <c r="V602" s="247" t="s">
        <v>2303</v>
      </c>
      <c r="W602" s="181" t="s">
        <v>112</v>
      </c>
      <c r="X602" s="181" t="s">
        <v>112</v>
      </c>
      <c r="Y602" s="181" t="s">
        <v>112</v>
      </c>
      <c r="Z602" s="8" t="s">
        <v>69</v>
      </c>
      <c r="AA602" s="23" t="s">
        <v>115</v>
      </c>
      <c r="AB602" s="154" t="s">
        <v>316</v>
      </c>
      <c r="AE602" s="24"/>
      <c r="AM602" s="24"/>
    </row>
    <row r="603" ht="15.75" customHeight="1">
      <c r="A603" s="8">
        <v>647.0</v>
      </c>
      <c r="B603" s="188" t="s">
        <v>2304</v>
      </c>
      <c r="C603" s="167" t="s">
        <v>48</v>
      </c>
      <c r="D603" s="181" t="s">
        <v>112</v>
      </c>
      <c r="E603" s="163" t="s">
        <v>112</v>
      </c>
      <c r="F603" s="177">
        <v>42370.0</v>
      </c>
      <c r="G603" s="183">
        <v>42370.0</v>
      </c>
      <c r="H603" s="42" t="str">
        <f t="shared" si="36"/>
        <v>2016</v>
      </c>
      <c r="I603" s="8" t="s">
        <v>176</v>
      </c>
      <c r="J603" s="181" t="s">
        <v>112</v>
      </c>
      <c r="K603" s="181" t="s">
        <v>112</v>
      </c>
      <c r="L603" s="167" t="s">
        <v>1336</v>
      </c>
      <c r="M603" s="168" t="s">
        <v>177</v>
      </c>
      <c r="N603" s="163" t="s">
        <v>2305</v>
      </c>
      <c r="O603" s="8" t="s">
        <v>2306</v>
      </c>
      <c r="P603" s="163" t="s">
        <v>106</v>
      </c>
      <c r="Q603" s="181" t="s">
        <v>112</v>
      </c>
      <c r="R603" s="167" t="s">
        <v>112</v>
      </c>
      <c r="S603" s="248" t="s">
        <v>112</v>
      </c>
      <c r="T603" s="127" t="s">
        <v>112</v>
      </c>
      <c r="U603" s="127" t="s">
        <v>112</v>
      </c>
      <c r="V603" s="247" t="s">
        <v>2307</v>
      </c>
      <c r="W603" s="181" t="s">
        <v>112</v>
      </c>
      <c r="X603" s="181" t="s">
        <v>112</v>
      </c>
      <c r="Y603" s="181" t="s">
        <v>112</v>
      </c>
      <c r="Z603" s="8" t="s">
        <v>69</v>
      </c>
      <c r="AA603" s="23" t="s">
        <v>115</v>
      </c>
      <c r="AB603" s="154" t="s">
        <v>316</v>
      </c>
      <c r="AE603" s="24"/>
      <c r="AM603" s="24"/>
    </row>
    <row r="604" ht="15.75" customHeight="1">
      <c r="A604" s="8">
        <v>648.0</v>
      </c>
      <c r="B604" s="188" t="s">
        <v>2308</v>
      </c>
      <c r="C604" s="167" t="s">
        <v>48</v>
      </c>
      <c r="D604" s="181" t="s">
        <v>112</v>
      </c>
      <c r="E604" s="163" t="s">
        <v>112</v>
      </c>
      <c r="F604" s="177">
        <v>42370.0</v>
      </c>
      <c r="G604" s="183">
        <v>42370.0</v>
      </c>
      <c r="H604" s="42" t="str">
        <f t="shared" si="36"/>
        <v>2016</v>
      </c>
      <c r="I604" s="8" t="s">
        <v>176</v>
      </c>
      <c r="J604" s="181" t="s">
        <v>112</v>
      </c>
      <c r="K604" s="181" t="s">
        <v>112</v>
      </c>
      <c r="L604" s="167" t="s">
        <v>1336</v>
      </c>
      <c r="M604" s="168" t="s">
        <v>177</v>
      </c>
      <c r="N604" s="174" t="s">
        <v>2309</v>
      </c>
      <c r="O604" s="8" t="s">
        <v>2310</v>
      </c>
      <c r="P604" s="163" t="s">
        <v>106</v>
      </c>
      <c r="Q604" s="181" t="s">
        <v>112</v>
      </c>
      <c r="R604" s="167" t="s">
        <v>112</v>
      </c>
      <c r="S604" s="248" t="s">
        <v>112</v>
      </c>
      <c r="T604" s="127" t="s">
        <v>112</v>
      </c>
      <c r="U604" s="127" t="s">
        <v>112</v>
      </c>
      <c r="V604" s="247" t="s">
        <v>2307</v>
      </c>
      <c r="W604" s="181" t="s">
        <v>112</v>
      </c>
      <c r="X604" s="181" t="s">
        <v>112</v>
      </c>
      <c r="Y604" s="181" t="s">
        <v>112</v>
      </c>
      <c r="Z604" s="8" t="s">
        <v>69</v>
      </c>
      <c r="AA604" s="23" t="s">
        <v>115</v>
      </c>
      <c r="AB604" s="154" t="s">
        <v>316</v>
      </c>
      <c r="AE604" s="24"/>
      <c r="AM604" s="24"/>
    </row>
    <row r="605" ht="15.75" customHeight="1">
      <c r="A605" s="8">
        <v>649.0</v>
      </c>
      <c r="B605" s="188" t="s">
        <v>2311</v>
      </c>
      <c r="C605" s="167" t="s">
        <v>48</v>
      </c>
      <c r="D605" s="181" t="s">
        <v>112</v>
      </c>
      <c r="E605" s="163" t="s">
        <v>112</v>
      </c>
      <c r="F605" s="177">
        <v>42370.0</v>
      </c>
      <c r="G605" s="183">
        <v>42370.0</v>
      </c>
      <c r="H605" s="42" t="str">
        <f t="shared" si="36"/>
        <v>2016</v>
      </c>
      <c r="I605" s="8" t="s">
        <v>176</v>
      </c>
      <c r="J605" s="181" t="s">
        <v>112</v>
      </c>
      <c r="K605" s="181" t="s">
        <v>112</v>
      </c>
      <c r="L605" s="167" t="s">
        <v>1336</v>
      </c>
      <c r="M605" s="168" t="s">
        <v>177</v>
      </c>
      <c r="N605" s="163" t="s">
        <v>2312</v>
      </c>
      <c r="O605" s="8" t="s">
        <v>2313</v>
      </c>
      <c r="P605" s="163" t="s">
        <v>106</v>
      </c>
      <c r="Q605" s="181" t="s">
        <v>112</v>
      </c>
      <c r="R605" s="167" t="s">
        <v>112</v>
      </c>
      <c r="S605" s="248" t="s">
        <v>112</v>
      </c>
      <c r="T605" s="127" t="s">
        <v>112</v>
      </c>
      <c r="U605" s="127" t="s">
        <v>112</v>
      </c>
      <c r="V605" s="247" t="s">
        <v>2307</v>
      </c>
      <c r="W605" s="181" t="s">
        <v>112</v>
      </c>
      <c r="X605" s="181" t="s">
        <v>112</v>
      </c>
      <c r="Y605" s="181" t="s">
        <v>112</v>
      </c>
      <c r="Z605" s="8" t="s">
        <v>69</v>
      </c>
      <c r="AA605" s="23" t="s">
        <v>115</v>
      </c>
      <c r="AB605" s="154" t="s">
        <v>316</v>
      </c>
      <c r="AE605" s="24"/>
      <c r="AM605" s="24"/>
    </row>
    <row r="606" ht="15.75" customHeight="1">
      <c r="A606" s="8">
        <v>175.0</v>
      </c>
      <c r="B606" s="210" t="s">
        <v>2314</v>
      </c>
      <c r="C606" s="163" t="s">
        <v>57</v>
      </c>
      <c r="D606" s="163" t="s">
        <v>112</v>
      </c>
      <c r="E606" s="163" t="s">
        <v>112</v>
      </c>
      <c r="F606" s="163">
        <v>2006.0</v>
      </c>
      <c r="G606" s="161">
        <v>38899.0</v>
      </c>
      <c r="H606" s="42" t="str">
        <f t="shared" si="36"/>
        <v>2006</v>
      </c>
      <c r="I606" s="8" t="s">
        <v>176</v>
      </c>
      <c r="J606" s="163" t="s">
        <v>112</v>
      </c>
      <c r="K606" s="163" t="s">
        <v>112</v>
      </c>
      <c r="L606" s="163" t="s">
        <v>100</v>
      </c>
      <c r="M606" s="167" t="s">
        <v>177</v>
      </c>
      <c r="N606" s="174" t="s">
        <v>2315</v>
      </c>
      <c r="O606" s="45" t="s">
        <v>2316</v>
      </c>
      <c r="P606" s="163" t="s">
        <v>106</v>
      </c>
      <c r="Q606" s="163" t="s">
        <v>112</v>
      </c>
      <c r="R606" s="163" t="s">
        <v>112</v>
      </c>
      <c r="S606" s="246" t="s">
        <v>112</v>
      </c>
      <c r="T606" s="127" t="s">
        <v>112</v>
      </c>
      <c r="U606" s="127" t="s">
        <v>112</v>
      </c>
      <c r="V606" s="269" t="s">
        <v>2070</v>
      </c>
      <c r="W606" s="163" t="s">
        <v>112</v>
      </c>
      <c r="X606" s="163">
        <v>0.0</v>
      </c>
      <c r="Y606" s="163" t="s">
        <v>112</v>
      </c>
      <c r="Z606" s="8" t="s">
        <v>36</v>
      </c>
      <c r="AA606" s="23" t="s">
        <v>144</v>
      </c>
      <c r="AB606" s="21" t="s">
        <v>314</v>
      </c>
      <c r="AE606" s="24"/>
      <c r="AM606" s="24"/>
    </row>
    <row r="607" ht="15.75" customHeight="1">
      <c r="A607" s="47">
        <v>354.0</v>
      </c>
      <c r="B607" s="163" t="s">
        <v>2317</v>
      </c>
      <c r="C607" s="167" t="s">
        <v>58</v>
      </c>
      <c r="D607" s="181" t="s">
        <v>511</v>
      </c>
      <c r="E607" s="163" t="s">
        <v>112</v>
      </c>
      <c r="F607" s="173" t="s">
        <v>2318</v>
      </c>
      <c r="G607" s="183">
        <v>39569.0</v>
      </c>
      <c r="H607" s="50" t="str">
        <f t="shared" si="36"/>
        <v>2008</v>
      </c>
      <c r="I607" s="8" t="s">
        <v>176</v>
      </c>
      <c r="J607" s="181" t="s">
        <v>112</v>
      </c>
      <c r="K607" s="141" t="s">
        <v>99</v>
      </c>
      <c r="L607" s="158" t="s">
        <v>100</v>
      </c>
      <c r="M607" s="158" t="s">
        <v>177</v>
      </c>
      <c r="N607" s="170" t="s">
        <v>2319</v>
      </c>
      <c r="O607" s="108" t="s">
        <v>2320</v>
      </c>
      <c r="P607" s="163" t="s">
        <v>106</v>
      </c>
      <c r="Q607" s="181" t="s">
        <v>112</v>
      </c>
      <c r="R607" s="163" t="s">
        <v>112</v>
      </c>
      <c r="S607" s="246" t="s">
        <v>112</v>
      </c>
      <c r="T607" s="127" t="s">
        <v>112</v>
      </c>
      <c r="U607" s="127" t="s">
        <v>112</v>
      </c>
      <c r="V607" s="247" t="s">
        <v>2321</v>
      </c>
      <c r="W607" s="181" t="s">
        <v>112</v>
      </c>
      <c r="X607" s="181" t="s">
        <v>112</v>
      </c>
      <c r="Y607" s="181" t="s">
        <v>112</v>
      </c>
      <c r="Z607" s="47" t="s">
        <v>37</v>
      </c>
      <c r="AA607" s="23" t="s">
        <v>115</v>
      </c>
      <c r="AB607" s="21" t="s">
        <v>312</v>
      </c>
      <c r="AE607" s="24"/>
      <c r="AM607" s="24"/>
    </row>
    <row r="608" ht="15.75" customHeight="1">
      <c r="A608" s="47">
        <v>349.0</v>
      </c>
      <c r="B608" s="163" t="s">
        <v>2322</v>
      </c>
      <c r="C608" s="167" t="s">
        <v>48</v>
      </c>
      <c r="D608" s="181" t="s">
        <v>112</v>
      </c>
      <c r="E608" s="163" t="s">
        <v>112</v>
      </c>
      <c r="F608" s="172">
        <v>39766.0</v>
      </c>
      <c r="G608" s="183">
        <v>39753.0</v>
      </c>
      <c r="H608" s="42" t="str">
        <f t="shared" si="36"/>
        <v>2008</v>
      </c>
      <c r="I608" s="8" t="s">
        <v>846</v>
      </c>
      <c r="J608" s="181" t="s">
        <v>112</v>
      </c>
      <c r="K608" s="141" t="s">
        <v>99</v>
      </c>
      <c r="L608" s="167" t="s">
        <v>112</v>
      </c>
      <c r="M608" s="173" t="s">
        <v>177</v>
      </c>
      <c r="N608" s="174" t="s">
        <v>2323</v>
      </c>
      <c r="O608" s="45"/>
      <c r="P608" s="163" t="s">
        <v>106</v>
      </c>
      <c r="Q608" s="181" t="s">
        <v>112</v>
      </c>
      <c r="R608" s="163" t="s">
        <v>112</v>
      </c>
      <c r="S608" s="246" t="s">
        <v>112</v>
      </c>
      <c r="T608" s="127" t="s">
        <v>112</v>
      </c>
      <c r="U608" s="127" t="s">
        <v>112</v>
      </c>
      <c r="V608" s="247" t="s">
        <v>779</v>
      </c>
      <c r="W608" s="181" t="s">
        <v>112</v>
      </c>
      <c r="X608" s="181" t="s">
        <v>112</v>
      </c>
      <c r="Y608" s="181" t="s">
        <v>112</v>
      </c>
      <c r="Z608" s="47" t="s">
        <v>37</v>
      </c>
      <c r="AA608" s="23" t="s">
        <v>115</v>
      </c>
      <c r="AB608" s="21" t="s">
        <v>309</v>
      </c>
      <c r="AE608" s="24"/>
      <c r="AM608" s="24"/>
    </row>
    <row r="609" ht="15.75" customHeight="1">
      <c r="A609" s="47">
        <v>335.0</v>
      </c>
      <c r="B609" s="163" t="s">
        <v>2324</v>
      </c>
      <c r="C609" s="167" t="s">
        <v>48</v>
      </c>
      <c r="D609" s="163" t="s">
        <v>112</v>
      </c>
      <c r="E609" s="163" t="s">
        <v>112</v>
      </c>
      <c r="F609" s="234">
        <v>39710.0</v>
      </c>
      <c r="G609" s="169">
        <v>39692.0</v>
      </c>
      <c r="H609" s="42" t="str">
        <f t="shared" si="36"/>
        <v>2008</v>
      </c>
      <c r="I609" s="8" t="s">
        <v>176</v>
      </c>
      <c r="J609" s="163" t="s">
        <v>112</v>
      </c>
      <c r="K609" s="141" t="s">
        <v>99</v>
      </c>
      <c r="L609" s="167" t="s">
        <v>100</v>
      </c>
      <c r="M609" s="173" t="s">
        <v>177</v>
      </c>
      <c r="N609" s="174" t="s">
        <v>2325</v>
      </c>
      <c r="O609" s="45"/>
      <c r="P609" s="163" t="s">
        <v>106</v>
      </c>
      <c r="Q609" s="163" t="s">
        <v>112</v>
      </c>
      <c r="R609" s="163" t="s">
        <v>112</v>
      </c>
      <c r="S609" s="246" t="s">
        <v>112</v>
      </c>
      <c r="T609" s="127" t="s">
        <v>112</v>
      </c>
      <c r="U609" s="127" t="s">
        <v>112</v>
      </c>
      <c r="V609" s="247" t="s">
        <v>1032</v>
      </c>
      <c r="W609" s="163" t="s">
        <v>112</v>
      </c>
      <c r="X609" s="163" t="s">
        <v>112</v>
      </c>
      <c r="Y609" s="163" t="s">
        <v>112</v>
      </c>
      <c r="Z609" s="47" t="s">
        <v>37</v>
      </c>
      <c r="AA609" s="23" t="s">
        <v>115</v>
      </c>
      <c r="AB609" s="21" t="s">
        <v>305</v>
      </c>
      <c r="AE609" s="24"/>
      <c r="AM609" s="24"/>
    </row>
    <row r="610" ht="15.75" customHeight="1">
      <c r="A610" s="47">
        <v>340.0</v>
      </c>
      <c r="B610" s="163" t="s">
        <v>2326</v>
      </c>
      <c r="C610" s="167" t="s">
        <v>58</v>
      </c>
      <c r="D610" s="163" t="s">
        <v>511</v>
      </c>
      <c r="E610" s="163" t="s">
        <v>112</v>
      </c>
      <c r="F610" s="172">
        <v>39750.0</v>
      </c>
      <c r="G610" s="169">
        <v>39722.0</v>
      </c>
      <c r="H610" s="42" t="str">
        <f t="shared" si="36"/>
        <v>2008</v>
      </c>
      <c r="I610" s="8" t="s">
        <v>614</v>
      </c>
      <c r="J610" s="163" t="s">
        <v>112</v>
      </c>
      <c r="K610" s="141" t="s">
        <v>99</v>
      </c>
      <c r="L610" s="158" t="s">
        <v>1336</v>
      </c>
      <c r="M610" s="158" t="s">
        <v>177</v>
      </c>
      <c r="N610" s="170" t="s">
        <v>2327</v>
      </c>
      <c r="O610" s="45" t="s">
        <v>2328</v>
      </c>
      <c r="P610" s="163" t="s">
        <v>106</v>
      </c>
      <c r="Q610" s="167" t="s">
        <v>112</v>
      </c>
      <c r="R610" s="167" t="s">
        <v>112</v>
      </c>
      <c r="S610" s="248" t="s">
        <v>112</v>
      </c>
      <c r="T610" s="138" t="s">
        <v>112</v>
      </c>
      <c r="U610" s="138" t="s">
        <v>112</v>
      </c>
      <c r="V610" s="247" t="s">
        <v>2329</v>
      </c>
      <c r="W610" s="163" t="s">
        <v>112</v>
      </c>
      <c r="X610" s="163" t="s">
        <v>112</v>
      </c>
      <c r="Y610" s="163" t="s">
        <v>112</v>
      </c>
      <c r="Z610" s="47" t="s">
        <v>37</v>
      </c>
      <c r="AA610" s="23" t="s">
        <v>115</v>
      </c>
      <c r="AB610" s="21" t="s">
        <v>302</v>
      </c>
      <c r="AE610" s="24"/>
      <c r="AM610" s="24"/>
    </row>
    <row r="611" ht="15.75" customHeight="1">
      <c r="A611" s="47">
        <v>353.0</v>
      </c>
      <c r="B611" s="163" t="s">
        <v>2330</v>
      </c>
      <c r="C611" s="167" t="s">
        <v>58</v>
      </c>
      <c r="D611" s="181" t="s">
        <v>511</v>
      </c>
      <c r="E611" s="163" t="s">
        <v>112</v>
      </c>
      <c r="F611" s="172" t="s">
        <v>2331</v>
      </c>
      <c r="G611" s="183">
        <v>39600.0</v>
      </c>
      <c r="H611" s="50" t="str">
        <f t="shared" si="36"/>
        <v>2008</v>
      </c>
      <c r="I611" s="8" t="s">
        <v>176</v>
      </c>
      <c r="J611" s="181" t="s">
        <v>112</v>
      </c>
      <c r="K611" s="141" t="s">
        <v>99</v>
      </c>
      <c r="L611" s="158" t="s">
        <v>100</v>
      </c>
      <c r="M611" s="158" t="s">
        <v>177</v>
      </c>
      <c r="N611" s="170" t="s">
        <v>2332</v>
      </c>
      <c r="O611" s="45" t="s">
        <v>1031</v>
      </c>
      <c r="P611" s="163" t="s">
        <v>106</v>
      </c>
      <c r="Q611" s="181" t="s">
        <v>112</v>
      </c>
      <c r="R611" s="163" t="s">
        <v>112</v>
      </c>
      <c r="S611" s="246" t="s">
        <v>112</v>
      </c>
      <c r="T611" s="127" t="s">
        <v>112</v>
      </c>
      <c r="U611" s="127" t="s">
        <v>112</v>
      </c>
      <c r="V611" s="247" t="s">
        <v>2321</v>
      </c>
      <c r="W611" s="181" t="s">
        <v>112</v>
      </c>
      <c r="X611" s="181" t="s">
        <v>112</v>
      </c>
      <c r="Y611" s="181" t="s">
        <v>112</v>
      </c>
      <c r="Z611" s="47" t="s">
        <v>37</v>
      </c>
      <c r="AA611" s="23" t="s">
        <v>115</v>
      </c>
      <c r="AB611" s="21" t="s">
        <v>301</v>
      </c>
      <c r="AE611" s="24"/>
      <c r="AM611" s="24"/>
    </row>
    <row r="612" ht="15.75" customHeight="1">
      <c r="A612" s="47">
        <v>332.0</v>
      </c>
      <c r="B612" s="188" t="s">
        <v>2333</v>
      </c>
      <c r="C612" s="167" t="s">
        <v>48</v>
      </c>
      <c r="D612" s="181" t="s">
        <v>112</v>
      </c>
      <c r="E612" s="163" t="s">
        <v>112</v>
      </c>
      <c r="F612" s="172">
        <v>39630.0</v>
      </c>
      <c r="G612" s="183">
        <v>39630.0</v>
      </c>
      <c r="H612" s="42" t="str">
        <f t="shared" si="36"/>
        <v>2008</v>
      </c>
      <c r="I612" s="8" t="s">
        <v>176</v>
      </c>
      <c r="J612" s="181" t="s">
        <v>112</v>
      </c>
      <c r="K612" s="141" t="s">
        <v>99</v>
      </c>
      <c r="L612" s="167" t="s">
        <v>1336</v>
      </c>
      <c r="M612" s="168" t="s">
        <v>177</v>
      </c>
      <c r="N612" s="174" t="s">
        <v>2334</v>
      </c>
      <c r="O612" s="45" t="s">
        <v>2335</v>
      </c>
      <c r="P612" s="163" t="s">
        <v>106</v>
      </c>
      <c r="Q612" s="181" t="s">
        <v>112</v>
      </c>
      <c r="R612" s="163" t="s">
        <v>112</v>
      </c>
      <c r="S612" s="246" t="s">
        <v>112</v>
      </c>
      <c r="T612" s="127" t="s">
        <v>112</v>
      </c>
      <c r="U612" s="127" t="s">
        <v>112</v>
      </c>
      <c r="V612" s="269" t="s">
        <v>2307</v>
      </c>
      <c r="W612" s="181" t="s">
        <v>112</v>
      </c>
      <c r="X612" s="181" t="s">
        <v>112</v>
      </c>
      <c r="Y612" s="181" t="s">
        <v>112</v>
      </c>
      <c r="Z612" s="47" t="s">
        <v>37</v>
      </c>
      <c r="AA612" s="23" t="s">
        <v>115</v>
      </c>
      <c r="AB612" s="21" t="s">
        <v>297</v>
      </c>
      <c r="AE612" s="24"/>
      <c r="AM612" s="24"/>
    </row>
    <row r="613" ht="15.75" customHeight="1">
      <c r="A613" s="8">
        <v>167.0</v>
      </c>
      <c r="B613" s="163" t="s">
        <v>2336</v>
      </c>
      <c r="C613" s="167" t="s">
        <v>48</v>
      </c>
      <c r="D613" s="163" t="s">
        <v>112</v>
      </c>
      <c r="E613" s="163" t="s">
        <v>112</v>
      </c>
      <c r="F613" s="204">
        <v>37933.0</v>
      </c>
      <c r="G613" s="169">
        <v>37926.0</v>
      </c>
      <c r="H613" s="42" t="str">
        <f t="shared" si="36"/>
        <v>2003</v>
      </c>
      <c r="I613" s="8" t="s">
        <v>186</v>
      </c>
      <c r="J613" s="163" t="s">
        <v>112</v>
      </c>
      <c r="K613" s="163" t="s">
        <v>112</v>
      </c>
      <c r="L613" s="167" t="s">
        <v>100</v>
      </c>
      <c r="M613" s="167" t="s">
        <v>177</v>
      </c>
      <c r="N613" s="174" t="s">
        <v>2337</v>
      </c>
      <c r="O613" s="45" t="s">
        <v>2338</v>
      </c>
      <c r="P613" s="163" t="s">
        <v>106</v>
      </c>
      <c r="Q613" s="163" t="s">
        <v>112</v>
      </c>
      <c r="R613" s="163" t="s">
        <v>112</v>
      </c>
      <c r="S613" s="246" t="s">
        <v>112</v>
      </c>
      <c r="T613" s="127" t="s">
        <v>112</v>
      </c>
      <c r="U613" s="127" t="s">
        <v>112</v>
      </c>
      <c r="V613" s="247" t="s">
        <v>480</v>
      </c>
      <c r="W613" s="163" t="s">
        <v>112</v>
      </c>
      <c r="X613" s="163" t="s">
        <v>112</v>
      </c>
      <c r="Y613" s="163" t="s">
        <v>112</v>
      </c>
      <c r="Z613" s="8" t="s">
        <v>36</v>
      </c>
      <c r="AA613" s="23" t="s">
        <v>144</v>
      </c>
      <c r="AB613" s="21" t="s">
        <v>296</v>
      </c>
      <c r="AE613" s="24"/>
      <c r="AM613" s="24"/>
    </row>
    <row r="614" ht="15.75" customHeight="1">
      <c r="A614" s="8">
        <v>168.0</v>
      </c>
      <c r="B614" s="163" t="s">
        <v>2339</v>
      </c>
      <c r="C614" s="167" t="s">
        <v>48</v>
      </c>
      <c r="D614" s="163" t="s">
        <v>112</v>
      </c>
      <c r="E614" s="163" t="s">
        <v>112</v>
      </c>
      <c r="F614" s="163">
        <v>2006.0</v>
      </c>
      <c r="G614" s="169">
        <v>38899.0</v>
      </c>
      <c r="H614" s="42" t="str">
        <f t="shared" si="36"/>
        <v>2006</v>
      </c>
      <c r="I614" s="8" t="s">
        <v>186</v>
      </c>
      <c r="J614" s="163" t="s">
        <v>112</v>
      </c>
      <c r="K614" s="163" t="s">
        <v>112</v>
      </c>
      <c r="L614" s="167" t="s">
        <v>112</v>
      </c>
      <c r="M614" s="173" t="s">
        <v>112</v>
      </c>
      <c r="N614" s="174" t="s">
        <v>2340</v>
      </c>
      <c r="O614" s="45"/>
      <c r="P614" s="163" t="s">
        <v>106</v>
      </c>
      <c r="Q614" s="163" t="s">
        <v>112</v>
      </c>
      <c r="R614" s="163" t="s">
        <v>112</v>
      </c>
      <c r="S614" s="248" t="s">
        <v>112</v>
      </c>
      <c r="T614" s="138" t="s">
        <v>112</v>
      </c>
      <c r="U614" s="138" t="s">
        <v>112</v>
      </c>
      <c r="V614" s="247" t="s">
        <v>1725</v>
      </c>
      <c r="W614" s="163" t="s">
        <v>112</v>
      </c>
      <c r="X614" s="163" t="s">
        <v>112</v>
      </c>
      <c r="Y614" s="163" t="s">
        <v>112</v>
      </c>
      <c r="Z614" s="8" t="s">
        <v>36</v>
      </c>
      <c r="AA614" s="23" t="s">
        <v>144</v>
      </c>
      <c r="AB614" s="21" t="s">
        <v>296</v>
      </c>
      <c r="AE614" s="24"/>
      <c r="AM614" s="24"/>
    </row>
    <row r="615" ht="15.75" customHeight="1">
      <c r="A615" s="8">
        <v>169.0</v>
      </c>
      <c r="B615" s="163" t="s">
        <v>2341</v>
      </c>
      <c r="C615" s="167" t="s">
        <v>48</v>
      </c>
      <c r="D615" s="163" t="s">
        <v>112</v>
      </c>
      <c r="E615" s="163" t="s">
        <v>112</v>
      </c>
      <c r="F615" s="163">
        <v>2006.0</v>
      </c>
      <c r="G615" s="169">
        <v>38899.0</v>
      </c>
      <c r="H615" s="42" t="str">
        <f t="shared" si="36"/>
        <v>2006</v>
      </c>
      <c r="I615" s="8" t="s">
        <v>176</v>
      </c>
      <c r="J615" s="163" t="s">
        <v>112</v>
      </c>
      <c r="K615" s="163" t="s">
        <v>112</v>
      </c>
      <c r="L615" s="167" t="s">
        <v>112</v>
      </c>
      <c r="M615" s="173" t="s">
        <v>177</v>
      </c>
      <c r="N615" s="174" t="s">
        <v>112</v>
      </c>
      <c r="O615" s="45" t="s">
        <v>2342</v>
      </c>
      <c r="P615" s="163" t="s">
        <v>106</v>
      </c>
      <c r="Q615" s="163" t="s">
        <v>112</v>
      </c>
      <c r="R615" s="178" t="s">
        <v>112</v>
      </c>
      <c r="S615" s="276" t="s">
        <v>112</v>
      </c>
      <c r="T615" s="138" t="s">
        <v>112</v>
      </c>
      <c r="U615" s="138" t="s">
        <v>112</v>
      </c>
      <c r="V615" s="247" t="s">
        <v>1725</v>
      </c>
      <c r="W615" s="163" t="s">
        <v>112</v>
      </c>
      <c r="X615" s="163" t="s">
        <v>112</v>
      </c>
      <c r="Y615" s="163" t="s">
        <v>112</v>
      </c>
      <c r="Z615" s="8" t="s">
        <v>36</v>
      </c>
      <c r="AA615" s="23" t="s">
        <v>144</v>
      </c>
      <c r="AB615" s="21" t="s">
        <v>296</v>
      </c>
      <c r="AE615" s="24"/>
      <c r="AM615" s="24"/>
    </row>
    <row r="616" ht="15.75" customHeight="1">
      <c r="A616" s="8">
        <v>170.0</v>
      </c>
      <c r="B616" s="163" t="s">
        <v>2343</v>
      </c>
      <c r="C616" s="167" t="s">
        <v>48</v>
      </c>
      <c r="D616" s="163" t="s">
        <v>112</v>
      </c>
      <c r="E616" s="163" t="s">
        <v>112</v>
      </c>
      <c r="F616" s="163">
        <v>2006.0</v>
      </c>
      <c r="G616" s="169">
        <v>38899.0</v>
      </c>
      <c r="H616" s="42" t="str">
        <f t="shared" si="36"/>
        <v>2006</v>
      </c>
      <c r="I616" s="8" t="s">
        <v>63</v>
      </c>
      <c r="J616" s="163" t="s">
        <v>112</v>
      </c>
      <c r="K616" s="163" t="s">
        <v>112</v>
      </c>
      <c r="L616" s="167" t="s">
        <v>112</v>
      </c>
      <c r="M616" s="173" t="s">
        <v>112</v>
      </c>
      <c r="N616" s="174" t="s">
        <v>2344</v>
      </c>
      <c r="O616" s="45"/>
      <c r="P616" s="163" t="s">
        <v>106</v>
      </c>
      <c r="Q616" s="163" t="s">
        <v>112</v>
      </c>
      <c r="R616" s="178" t="s">
        <v>112</v>
      </c>
      <c r="S616" s="276" t="s">
        <v>112</v>
      </c>
      <c r="T616" s="138" t="s">
        <v>112</v>
      </c>
      <c r="U616" s="138" t="s">
        <v>112</v>
      </c>
      <c r="V616" s="247" t="s">
        <v>1725</v>
      </c>
      <c r="W616" s="163" t="s">
        <v>112</v>
      </c>
      <c r="X616" s="163" t="s">
        <v>112</v>
      </c>
      <c r="Y616" s="163" t="s">
        <v>112</v>
      </c>
      <c r="Z616" s="8" t="s">
        <v>36</v>
      </c>
      <c r="AA616" s="23" t="s">
        <v>144</v>
      </c>
      <c r="AB616" s="21" t="s">
        <v>296</v>
      </c>
      <c r="AE616" s="24"/>
      <c r="AM616" s="24"/>
    </row>
    <row r="617" ht="15.75" customHeight="1">
      <c r="A617" s="8">
        <v>171.0</v>
      </c>
      <c r="B617" s="163" t="s">
        <v>2345</v>
      </c>
      <c r="C617" s="167" t="s">
        <v>48</v>
      </c>
      <c r="D617" s="163" t="s">
        <v>112</v>
      </c>
      <c r="E617" s="163" t="s">
        <v>112</v>
      </c>
      <c r="F617" s="163">
        <v>2006.0</v>
      </c>
      <c r="G617" s="169">
        <v>38899.0</v>
      </c>
      <c r="H617" s="42" t="str">
        <f t="shared" si="36"/>
        <v>2006</v>
      </c>
      <c r="I617" s="8" t="s">
        <v>172</v>
      </c>
      <c r="J617" s="163" t="s">
        <v>112</v>
      </c>
      <c r="K617" s="163" t="s">
        <v>112</v>
      </c>
      <c r="L617" s="167" t="s">
        <v>112</v>
      </c>
      <c r="M617" s="173" t="s">
        <v>112</v>
      </c>
      <c r="N617" s="174" t="s">
        <v>2346</v>
      </c>
      <c r="O617" s="45"/>
      <c r="P617" s="163" t="s">
        <v>106</v>
      </c>
      <c r="Q617" s="163" t="s">
        <v>112</v>
      </c>
      <c r="R617" s="178" t="s">
        <v>112</v>
      </c>
      <c r="S617" s="276" t="s">
        <v>112</v>
      </c>
      <c r="T617" s="138" t="s">
        <v>112</v>
      </c>
      <c r="U617" s="138" t="s">
        <v>112</v>
      </c>
      <c r="V617" s="247" t="s">
        <v>1725</v>
      </c>
      <c r="W617" s="163" t="s">
        <v>112</v>
      </c>
      <c r="X617" s="163" t="s">
        <v>112</v>
      </c>
      <c r="Y617" s="163" t="s">
        <v>112</v>
      </c>
      <c r="Z617" s="8" t="s">
        <v>36</v>
      </c>
      <c r="AA617" s="23" t="s">
        <v>144</v>
      </c>
      <c r="AB617" s="21" t="s">
        <v>296</v>
      </c>
      <c r="AE617" s="24"/>
      <c r="AM617" s="24"/>
    </row>
    <row r="618" ht="15.75" customHeight="1">
      <c r="A618" s="8">
        <v>172.0</v>
      </c>
      <c r="B618" s="163" t="s">
        <v>2347</v>
      </c>
      <c r="C618" s="167" t="s">
        <v>48</v>
      </c>
      <c r="D618" s="163" t="s">
        <v>112</v>
      </c>
      <c r="E618" s="163" t="s">
        <v>112</v>
      </c>
      <c r="F618" s="163">
        <v>2006.0</v>
      </c>
      <c r="G618" s="169">
        <v>38899.0</v>
      </c>
      <c r="H618" s="42" t="str">
        <f t="shared" si="36"/>
        <v>2006</v>
      </c>
      <c r="I618" s="8" t="s">
        <v>186</v>
      </c>
      <c r="J618" s="163" t="s">
        <v>112</v>
      </c>
      <c r="K618" s="163" t="s">
        <v>112</v>
      </c>
      <c r="L618" s="167" t="s">
        <v>112</v>
      </c>
      <c r="M618" s="173" t="s">
        <v>112</v>
      </c>
      <c r="N618" s="174" t="s">
        <v>2340</v>
      </c>
      <c r="O618" s="45"/>
      <c r="P618" s="163" t="s">
        <v>106</v>
      </c>
      <c r="Q618" s="163" t="s">
        <v>112</v>
      </c>
      <c r="R618" s="178" t="s">
        <v>112</v>
      </c>
      <c r="S618" s="276" t="s">
        <v>112</v>
      </c>
      <c r="T618" s="138" t="s">
        <v>112</v>
      </c>
      <c r="U618" s="138" t="s">
        <v>112</v>
      </c>
      <c r="V618" s="247" t="s">
        <v>1725</v>
      </c>
      <c r="W618" s="163" t="s">
        <v>112</v>
      </c>
      <c r="X618" s="163" t="s">
        <v>112</v>
      </c>
      <c r="Y618" s="163" t="s">
        <v>112</v>
      </c>
      <c r="Z618" s="8" t="s">
        <v>36</v>
      </c>
      <c r="AA618" s="23" t="s">
        <v>144</v>
      </c>
      <c r="AB618" s="21" t="s">
        <v>296</v>
      </c>
      <c r="AE618" s="24"/>
      <c r="AM618" s="24"/>
    </row>
    <row r="619" ht="15.75" customHeight="1">
      <c r="A619" s="8">
        <v>173.0</v>
      </c>
      <c r="B619" s="163" t="s">
        <v>2348</v>
      </c>
      <c r="C619" s="167" t="s">
        <v>48</v>
      </c>
      <c r="D619" s="163" t="s">
        <v>112</v>
      </c>
      <c r="E619" s="163" t="s">
        <v>112</v>
      </c>
      <c r="F619" s="163">
        <v>2006.0</v>
      </c>
      <c r="G619" s="169">
        <v>38899.0</v>
      </c>
      <c r="H619" s="42" t="str">
        <f t="shared" si="36"/>
        <v>2006</v>
      </c>
      <c r="I619" s="8" t="s">
        <v>186</v>
      </c>
      <c r="J619" s="163" t="s">
        <v>112</v>
      </c>
      <c r="K619" s="163" t="s">
        <v>112</v>
      </c>
      <c r="L619" s="167" t="s">
        <v>1336</v>
      </c>
      <c r="M619" s="173" t="s">
        <v>112</v>
      </c>
      <c r="N619" s="174" t="s">
        <v>2349</v>
      </c>
      <c r="O619" s="45" t="s">
        <v>2350</v>
      </c>
      <c r="P619" s="163" t="s">
        <v>106</v>
      </c>
      <c r="Q619" s="163" t="s">
        <v>112</v>
      </c>
      <c r="R619" s="178" t="s">
        <v>112</v>
      </c>
      <c r="S619" s="276" t="s">
        <v>112</v>
      </c>
      <c r="T619" s="138" t="s">
        <v>112</v>
      </c>
      <c r="U619" s="138" t="s">
        <v>112</v>
      </c>
      <c r="V619" s="247" t="s">
        <v>1725</v>
      </c>
      <c r="W619" s="163" t="s">
        <v>112</v>
      </c>
      <c r="X619" s="163" t="s">
        <v>112</v>
      </c>
      <c r="Y619" s="163" t="s">
        <v>112</v>
      </c>
      <c r="Z619" s="8" t="s">
        <v>36</v>
      </c>
      <c r="AA619" s="23" t="s">
        <v>144</v>
      </c>
      <c r="AB619" s="21" t="s">
        <v>296</v>
      </c>
      <c r="AE619" s="24"/>
      <c r="AM619" s="24"/>
    </row>
    <row r="620" ht="15.75" customHeight="1">
      <c r="A620" s="8">
        <v>174.0</v>
      </c>
      <c r="B620" s="163" t="s">
        <v>2351</v>
      </c>
      <c r="C620" s="167" t="s">
        <v>48</v>
      </c>
      <c r="D620" s="163" t="s">
        <v>112</v>
      </c>
      <c r="E620" s="163" t="s">
        <v>112</v>
      </c>
      <c r="F620" s="163">
        <v>2006.0</v>
      </c>
      <c r="G620" s="169">
        <v>38899.0</v>
      </c>
      <c r="H620" s="42" t="str">
        <f t="shared" si="36"/>
        <v>2006</v>
      </c>
      <c r="I620" s="8" t="s">
        <v>186</v>
      </c>
      <c r="J620" s="163" t="s">
        <v>112</v>
      </c>
      <c r="K620" s="163" t="s">
        <v>112</v>
      </c>
      <c r="L620" s="167" t="s">
        <v>112</v>
      </c>
      <c r="M620" s="173" t="s">
        <v>112</v>
      </c>
      <c r="N620" s="174" t="s">
        <v>2340</v>
      </c>
      <c r="O620" s="45"/>
      <c r="P620" s="163" t="s">
        <v>106</v>
      </c>
      <c r="Q620" s="163" t="s">
        <v>112</v>
      </c>
      <c r="R620" s="178" t="s">
        <v>112</v>
      </c>
      <c r="S620" s="276" t="s">
        <v>112</v>
      </c>
      <c r="T620" s="138" t="s">
        <v>112</v>
      </c>
      <c r="U620" s="138" t="s">
        <v>112</v>
      </c>
      <c r="V620" s="247" t="s">
        <v>1725</v>
      </c>
      <c r="W620" s="163" t="s">
        <v>112</v>
      </c>
      <c r="X620" s="163" t="s">
        <v>112</v>
      </c>
      <c r="Y620" s="163" t="s">
        <v>112</v>
      </c>
      <c r="Z620" s="8" t="s">
        <v>36</v>
      </c>
      <c r="AA620" s="23" t="s">
        <v>144</v>
      </c>
      <c r="AB620" s="21" t="s">
        <v>296</v>
      </c>
      <c r="AE620" s="24"/>
      <c r="AM620" s="24"/>
    </row>
    <row r="621" ht="15.75" customHeight="1">
      <c r="A621" s="8">
        <v>176.0</v>
      </c>
      <c r="B621" s="163" t="s">
        <v>2352</v>
      </c>
      <c r="C621" s="167" t="s">
        <v>48</v>
      </c>
      <c r="D621" s="163" t="s">
        <v>112</v>
      </c>
      <c r="E621" s="163" t="s">
        <v>112</v>
      </c>
      <c r="F621" s="173">
        <v>38720.0</v>
      </c>
      <c r="G621" s="169">
        <v>38718.0</v>
      </c>
      <c r="H621" s="42" t="str">
        <f t="shared" si="36"/>
        <v>2006</v>
      </c>
      <c r="I621" s="8" t="s">
        <v>176</v>
      </c>
      <c r="J621" s="163" t="s">
        <v>112</v>
      </c>
      <c r="K621" s="163" t="s">
        <v>112</v>
      </c>
      <c r="L621" s="167" t="s">
        <v>100</v>
      </c>
      <c r="M621" s="173" t="s">
        <v>177</v>
      </c>
      <c r="N621" s="174" t="s">
        <v>2353</v>
      </c>
      <c r="O621" s="45" t="s">
        <v>2354</v>
      </c>
      <c r="P621" s="163" t="s">
        <v>106</v>
      </c>
      <c r="Q621" s="163" t="s">
        <v>112</v>
      </c>
      <c r="R621" s="167" t="s">
        <v>112</v>
      </c>
      <c r="S621" s="248" t="s">
        <v>112</v>
      </c>
      <c r="T621" s="127" t="s">
        <v>112</v>
      </c>
      <c r="U621" s="127" t="s">
        <v>112</v>
      </c>
      <c r="V621" s="247" t="s">
        <v>2355</v>
      </c>
      <c r="W621" s="163" t="s">
        <v>112</v>
      </c>
      <c r="X621" s="163" t="s">
        <v>112</v>
      </c>
      <c r="Y621" s="163" t="s">
        <v>112</v>
      </c>
      <c r="Z621" s="8" t="s">
        <v>36</v>
      </c>
      <c r="AA621" s="23" t="s">
        <v>144</v>
      </c>
      <c r="AB621" s="21" t="s">
        <v>296</v>
      </c>
      <c r="AE621" s="24"/>
      <c r="AM621" s="24"/>
    </row>
    <row r="622" ht="15.75" customHeight="1">
      <c r="A622" s="8">
        <v>177.0</v>
      </c>
      <c r="B622" s="163" t="s">
        <v>2356</v>
      </c>
      <c r="C622" s="167" t="s">
        <v>48</v>
      </c>
      <c r="D622" s="163" t="s">
        <v>112</v>
      </c>
      <c r="E622" s="163" t="s">
        <v>112</v>
      </c>
      <c r="F622" s="173">
        <v>38739.0</v>
      </c>
      <c r="G622" s="169">
        <v>38718.0</v>
      </c>
      <c r="H622" s="42" t="str">
        <f t="shared" si="36"/>
        <v>2006</v>
      </c>
      <c r="I622" s="8" t="s">
        <v>176</v>
      </c>
      <c r="J622" s="163" t="s">
        <v>112</v>
      </c>
      <c r="K622" s="163" t="s">
        <v>112</v>
      </c>
      <c r="L622" s="167" t="s">
        <v>112</v>
      </c>
      <c r="M622" s="163" t="s">
        <v>177</v>
      </c>
      <c r="N622" s="174" t="s">
        <v>112</v>
      </c>
      <c r="O622" s="45"/>
      <c r="P622" s="163" t="s">
        <v>106</v>
      </c>
      <c r="Q622" s="163" t="s">
        <v>112</v>
      </c>
      <c r="R622" s="163" t="s">
        <v>112</v>
      </c>
      <c r="S622" s="246" t="s">
        <v>112</v>
      </c>
      <c r="T622" s="127" t="s">
        <v>112</v>
      </c>
      <c r="U622" s="127" t="s">
        <v>112</v>
      </c>
      <c r="V622" s="247" t="s">
        <v>1051</v>
      </c>
      <c r="W622" s="163" t="s">
        <v>112</v>
      </c>
      <c r="X622" s="163" t="s">
        <v>112</v>
      </c>
      <c r="Y622" s="163" t="s">
        <v>112</v>
      </c>
      <c r="Z622" s="8" t="s">
        <v>36</v>
      </c>
      <c r="AA622" s="23" t="s">
        <v>144</v>
      </c>
      <c r="AB622" s="21" t="s">
        <v>296</v>
      </c>
      <c r="AE622" s="24"/>
      <c r="AM622" s="24"/>
    </row>
    <row r="623" ht="15.75" customHeight="1">
      <c r="A623" s="8">
        <v>178.0</v>
      </c>
      <c r="B623" s="163" t="s">
        <v>2357</v>
      </c>
      <c r="C623" s="167" t="s">
        <v>48</v>
      </c>
      <c r="D623" s="163" t="s">
        <v>112</v>
      </c>
      <c r="E623" s="163" t="s">
        <v>112</v>
      </c>
      <c r="F623" s="173">
        <v>38747.0</v>
      </c>
      <c r="G623" s="169">
        <v>38718.0</v>
      </c>
      <c r="H623" s="42" t="str">
        <f t="shared" si="36"/>
        <v>2006</v>
      </c>
      <c r="I623" s="8" t="s">
        <v>186</v>
      </c>
      <c r="J623" s="163" t="s">
        <v>112</v>
      </c>
      <c r="K623" s="163" t="s">
        <v>112</v>
      </c>
      <c r="L623" s="167" t="s">
        <v>100</v>
      </c>
      <c r="M623" s="173" t="s">
        <v>177</v>
      </c>
      <c r="N623" s="174" t="s">
        <v>2358</v>
      </c>
      <c r="O623" s="45" t="s">
        <v>2359</v>
      </c>
      <c r="P623" s="163" t="s">
        <v>106</v>
      </c>
      <c r="Q623" s="163" t="s">
        <v>112</v>
      </c>
      <c r="R623" s="163" t="s">
        <v>112</v>
      </c>
      <c r="S623" s="246" t="s">
        <v>112</v>
      </c>
      <c r="T623" s="127" t="s">
        <v>112</v>
      </c>
      <c r="U623" s="127" t="s">
        <v>112</v>
      </c>
      <c r="V623" s="247" t="s">
        <v>480</v>
      </c>
      <c r="W623" s="163" t="s">
        <v>112</v>
      </c>
      <c r="X623" s="163" t="s">
        <v>112</v>
      </c>
      <c r="Y623" s="163" t="s">
        <v>112</v>
      </c>
      <c r="Z623" s="8" t="s">
        <v>36</v>
      </c>
      <c r="AA623" s="23" t="s">
        <v>144</v>
      </c>
      <c r="AB623" s="21" t="s">
        <v>296</v>
      </c>
      <c r="AE623" s="24"/>
      <c r="AM623" s="24"/>
    </row>
    <row r="624" ht="15.75" customHeight="1">
      <c r="A624" s="8">
        <v>179.0</v>
      </c>
      <c r="B624" s="163" t="s">
        <v>2360</v>
      </c>
      <c r="C624" s="167" t="s">
        <v>48</v>
      </c>
      <c r="D624" s="163" t="s">
        <v>112</v>
      </c>
      <c r="E624" s="163" t="s">
        <v>112</v>
      </c>
      <c r="F624" s="173">
        <v>38747.0</v>
      </c>
      <c r="G624" s="169">
        <v>38718.0</v>
      </c>
      <c r="H624" s="42" t="str">
        <f t="shared" si="36"/>
        <v>2006</v>
      </c>
      <c r="I624" s="8" t="s">
        <v>63</v>
      </c>
      <c r="J624" s="163" t="s">
        <v>112</v>
      </c>
      <c r="K624" s="163" t="s">
        <v>112</v>
      </c>
      <c r="L624" s="167" t="s">
        <v>100</v>
      </c>
      <c r="M624" s="173" t="s">
        <v>177</v>
      </c>
      <c r="N624" s="174" t="s">
        <v>2361</v>
      </c>
      <c r="O624" s="45" t="s">
        <v>2359</v>
      </c>
      <c r="P624" s="163" t="s">
        <v>106</v>
      </c>
      <c r="Q624" s="163" t="s">
        <v>112</v>
      </c>
      <c r="R624" s="163" t="s">
        <v>112</v>
      </c>
      <c r="S624" s="246" t="s">
        <v>112</v>
      </c>
      <c r="T624" s="127" t="s">
        <v>112</v>
      </c>
      <c r="U624" s="127" t="s">
        <v>112</v>
      </c>
      <c r="V624" s="247" t="s">
        <v>480</v>
      </c>
      <c r="W624" s="163" t="s">
        <v>112</v>
      </c>
      <c r="X624" s="163" t="s">
        <v>112</v>
      </c>
      <c r="Y624" s="163" t="s">
        <v>112</v>
      </c>
      <c r="Z624" s="8" t="s">
        <v>36</v>
      </c>
      <c r="AA624" s="23" t="s">
        <v>144</v>
      </c>
      <c r="AB624" s="21" t="s">
        <v>296</v>
      </c>
      <c r="AE624" s="24"/>
      <c r="AM624" s="24"/>
    </row>
    <row r="625" ht="15.75" customHeight="1">
      <c r="A625" s="8">
        <v>180.0</v>
      </c>
      <c r="B625" s="163" t="s">
        <v>2362</v>
      </c>
      <c r="C625" s="167" t="s">
        <v>48</v>
      </c>
      <c r="D625" s="163" t="s">
        <v>112</v>
      </c>
      <c r="E625" s="163" t="s">
        <v>112</v>
      </c>
      <c r="F625" s="173">
        <v>38747.0</v>
      </c>
      <c r="G625" s="169">
        <v>38718.0</v>
      </c>
      <c r="H625" s="42" t="str">
        <f t="shared" si="36"/>
        <v>2006</v>
      </c>
      <c r="I625" s="8" t="s">
        <v>774</v>
      </c>
      <c r="J625" s="163" t="s">
        <v>112</v>
      </c>
      <c r="K625" s="163" t="s">
        <v>112</v>
      </c>
      <c r="L625" s="167" t="s">
        <v>100</v>
      </c>
      <c r="M625" s="173" t="s">
        <v>177</v>
      </c>
      <c r="N625" s="174" t="s">
        <v>112</v>
      </c>
      <c r="O625" s="45" t="s">
        <v>2359</v>
      </c>
      <c r="P625" s="163" t="s">
        <v>106</v>
      </c>
      <c r="Q625" s="163" t="s">
        <v>112</v>
      </c>
      <c r="R625" s="163" t="s">
        <v>112</v>
      </c>
      <c r="S625" s="246" t="s">
        <v>112</v>
      </c>
      <c r="T625" s="277" t="s">
        <v>112</v>
      </c>
      <c r="U625" s="277" t="s">
        <v>112</v>
      </c>
      <c r="V625" s="247" t="s">
        <v>480</v>
      </c>
      <c r="W625" s="163" t="s">
        <v>112</v>
      </c>
      <c r="X625" s="163" t="s">
        <v>112</v>
      </c>
      <c r="Y625" s="163" t="s">
        <v>112</v>
      </c>
      <c r="Z625" s="8" t="s">
        <v>36</v>
      </c>
      <c r="AA625" s="23" t="s">
        <v>144</v>
      </c>
      <c r="AB625" s="21" t="s">
        <v>296</v>
      </c>
      <c r="AE625" s="24"/>
      <c r="AM625" s="24"/>
    </row>
    <row r="626" ht="15.75" customHeight="1">
      <c r="A626" s="8">
        <v>181.0</v>
      </c>
      <c r="B626" s="163" t="s">
        <v>2363</v>
      </c>
      <c r="C626" s="167" t="s">
        <v>48</v>
      </c>
      <c r="D626" s="163" t="s">
        <v>112</v>
      </c>
      <c r="E626" s="163" t="s">
        <v>112</v>
      </c>
      <c r="F626" s="173">
        <v>38747.0</v>
      </c>
      <c r="G626" s="169">
        <v>38718.0</v>
      </c>
      <c r="H626" s="42" t="str">
        <f t="shared" si="36"/>
        <v>2006</v>
      </c>
      <c r="I626" s="8" t="s">
        <v>172</v>
      </c>
      <c r="J626" s="163" t="s">
        <v>112</v>
      </c>
      <c r="K626" s="163" t="s">
        <v>112</v>
      </c>
      <c r="L626" s="167" t="s">
        <v>100</v>
      </c>
      <c r="M626" s="173" t="s">
        <v>112</v>
      </c>
      <c r="N626" s="174" t="s">
        <v>112</v>
      </c>
      <c r="O626" s="45" t="s">
        <v>2359</v>
      </c>
      <c r="P626" s="163" t="s">
        <v>106</v>
      </c>
      <c r="Q626" s="163" t="s">
        <v>112</v>
      </c>
      <c r="R626" s="163" t="s">
        <v>112</v>
      </c>
      <c r="S626" s="163" t="s">
        <v>112</v>
      </c>
      <c r="T626" s="39" t="s">
        <v>112</v>
      </c>
      <c r="U626" s="39" t="s">
        <v>112</v>
      </c>
      <c r="V626" s="167" t="s">
        <v>480</v>
      </c>
      <c r="W626" s="163" t="s">
        <v>112</v>
      </c>
      <c r="X626" s="163" t="s">
        <v>112</v>
      </c>
      <c r="Y626" s="163" t="s">
        <v>112</v>
      </c>
      <c r="Z626" s="8" t="s">
        <v>36</v>
      </c>
      <c r="AA626" s="23" t="s">
        <v>144</v>
      </c>
      <c r="AB626" s="21" t="s">
        <v>296</v>
      </c>
      <c r="AC626" s="241"/>
      <c r="AD626" s="241"/>
      <c r="AE626" s="24"/>
      <c r="AF626" s="241"/>
      <c r="AG626" s="241"/>
      <c r="AH626" s="241"/>
      <c r="AI626" s="241"/>
      <c r="AJ626" s="241"/>
      <c r="AK626" s="241"/>
      <c r="AL626" s="241"/>
      <c r="AM626" s="24"/>
      <c r="AN626" s="241"/>
      <c r="AO626" s="241"/>
      <c r="AP626" s="241"/>
      <c r="AQ626" s="241"/>
      <c r="AR626" s="241"/>
      <c r="AS626" s="241"/>
      <c r="AT626" s="241"/>
      <c r="AU626" s="241"/>
      <c r="AV626" s="241"/>
      <c r="AW626" s="241"/>
      <c r="AX626" s="241"/>
      <c r="AY626" s="241"/>
      <c r="AZ626" s="241"/>
      <c r="BA626" s="241"/>
      <c r="BB626" s="241"/>
      <c r="BC626" s="241"/>
      <c r="BD626" s="241"/>
      <c r="BE626" s="241"/>
      <c r="BF626" s="241"/>
      <c r="BG626" s="241"/>
      <c r="BH626" s="241"/>
      <c r="BI626" s="241"/>
      <c r="BJ626" s="241"/>
      <c r="BK626" s="241"/>
      <c r="BL626" s="241"/>
      <c r="BM626" s="241"/>
      <c r="BN626" s="241"/>
      <c r="BO626" s="241"/>
      <c r="BP626" s="241"/>
      <c r="BQ626" s="241"/>
      <c r="BR626" s="241"/>
      <c r="BS626" s="241"/>
      <c r="BT626" s="241"/>
      <c r="BU626" s="241"/>
      <c r="BV626" s="241"/>
      <c r="BW626" s="241"/>
      <c r="BX626" s="241"/>
      <c r="BY626" s="241"/>
    </row>
    <row r="627" ht="15.75" customHeight="1">
      <c r="A627" s="8">
        <v>182.0</v>
      </c>
      <c r="B627" s="163" t="s">
        <v>2364</v>
      </c>
      <c r="C627" s="167" t="s">
        <v>48</v>
      </c>
      <c r="D627" s="163" t="s">
        <v>112</v>
      </c>
      <c r="E627" s="163" t="s">
        <v>112</v>
      </c>
      <c r="F627" s="173">
        <v>38747.0</v>
      </c>
      <c r="G627" s="169">
        <v>38718.0</v>
      </c>
      <c r="H627" s="42" t="str">
        <f t="shared" si="36"/>
        <v>2006</v>
      </c>
      <c r="I627" s="8" t="s">
        <v>186</v>
      </c>
      <c r="J627" s="163" t="s">
        <v>112</v>
      </c>
      <c r="K627" s="163" t="s">
        <v>112</v>
      </c>
      <c r="L627" s="167" t="s">
        <v>100</v>
      </c>
      <c r="M627" s="173" t="s">
        <v>112</v>
      </c>
      <c r="N627" s="174" t="s">
        <v>112</v>
      </c>
      <c r="O627" s="45" t="s">
        <v>2359</v>
      </c>
      <c r="P627" s="163" t="s">
        <v>106</v>
      </c>
      <c r="Q627" s="163" t="s">
        <v>112</v>
      </c>
      <c r="R627" s="163" t="s">
        <v>112</v>
      </c>
      <c r="S627" s="163" t="s">
        <v>112</v>
      </c>
      <c r="T627" s="163" t="s">
        <v>112</v>
      </c>
      <c r="U627" s="163" t="s">
        <v>112</v>
      </c>
      <c r="V627" s="167" t="s">
        <v>480</v>
      </c>
      <c r="W627" s="163" t="s">
        <v>112</v>
      </c>
      <c r="X627" s="163" t="s">
        <v>112</v>
      </c>
      <c r="Y627" s="163" t="s">
        <v>112</v>
      </c>
      <c r="Z627" s="8" t="s">
        <v>36</v>
      </c>
      <c r="AA627" s="23" t="s">
        <v>144</v>
      </c>
      <c r="AB627" s="21" t="s">
        <v>296</v>
      </c>
      <c r="AE627" s="24"/>
      <c r="AM627" s="24"/>
    </row>
    <row r="628" ht="15.75" customHeight="1">
      <c r="A628" s="8">
        <v>183.0</v>
      </c>
      <c r="B628" s="163" t="s">
        <v>2365</v>
      </c>
      <c r="C628" s="167" t="s">
        <v>48</v>
      </c>
      <c r="D628" s="163" t="s">
        <v>112</v>
      </c>
      <c r="E628" s="163" t="s">
        <v>112</v>
      </c>
      <c r="F628" s="173">
        <v>38747.0</v>
      </c>
      <c r="G628" s="169">
        <v>38718.0</v>
      </c>
      <c r="H628" s="42" t="str">
        <f t="shared" si="36"/>
        <v>2006</v>
      </c>
      <c r="I628" s="8" t="s">
        <v>846</v>
      </c>
      <c r="J628" s="163" t="s">
        <v>112</v>
      </c>
      <c r="K628" s="163" t="s">
        <v>112</v>
      </c>
      <c r="L628" s="167" t="s">
        <v>100</v>
      </c>
      <c r="M628" s="173" t="s">
        <v>177</v>
      </c>
      <c r="N628" s="174" t="s">
        <v>112</v>
      </c>
      <c r="O628" s="45" t="s">
        <v>2359</v>
      </c>
      <c r="P628" s="163" t="s">
        <v>106</v>
      </c>
      <c r="Q628" s="163" t="s">
        <v>112</v>
      </c>
      <c r="R628" s="163" t="s">
        <v>112</v>
      </c>
      <c r="S628" s="163" t="s">
        <v>112</v>
      </c>
      <c r="T628" s="163" t="s">
        <v>112</v>
      </c>
      <c r="U628" s="163" t="s">
        <v>112</v>
      </c>
      <c r="V628" s="167" t="s">
        <v>480</v>
      </c>
      <c r="W628" s="163" t="s">
        <v>112</v>
      </c>
      <c r="X628" s="163" t="s">
        <v>112</v>
      </c>
      <c r="Y628" s="163" t="s">
        <v>112</v>
      </c>
      <c r="Z628" s="8" t="s">
        <v>36</v>
      </c>
      <c r="AA628" s="23" t="s">
        <v>144</v>
      </c>
      <c r="AB628" s="21" t="s">
        <v>296</v>
      </c>
      <c r="AE628" s="24"/>
      <c r="AM628" s="24"/>
    </row>
    <row r="629" ht="15.75" customHeight="1">
      <c r="A629" s="8">
        <v>184.0</v>
      </c>
      <c r="B629" s="163" t="s">
        <v>2366</v>
      </c>
      <c r="C629" s="167" t="s">
        <v>48</v>
      </c>
      <c r="D629" s="163" t="s">
        <v>112</v>
      </c>
      <c r="E629" s="163" t="s">
        <v>112</v>
      </c>
      <c r="F629" s="173">
        <v>38747.0</v>
      </c>
      <c r="G629" s="169">
        <v>38718.0</v>
      </c>
      <c r="H629" s="42" t="str">
        <f t="shared" si="36"/>
        <v>2006</v>
      </c>
      <c r="I629" s="8" t="s">
        <v>176</v>
      </c>
      <c r="J629" s="163" t="s">
        <v>112</v>
      </c>
      <c r="K629" s="163" t="s">
        <v>112</v>
      </c>
      <c r="L629" s="167" t="s">
        <v>100</v>
      </c>
      <c r="M629" s="173" t="s">
        <v>177</v>
      </c>
      <c r="N629" s="174" t="s">
        <v>2367</v>
      </c>
      <c r="O629" s="45" t="s">
        <v>2359</v>
      </c>
      <c r="P629" s="163" t="s">
        <v>106</v>
      </c>
      <c r="Q629" s="163" t="s">
        <v>112</v>
      </c>
      <c r="R629" s="163" t="s">
        <v>112</v>
      </c>
      <c r="S629" s="163" t="s">
        <v>112</v>
      </c>
      <c r="T629" s="163" t="s">
        <v>112</v>
      </c>
      <c r="U629" s="163" t="s">
        <v>112</v>
      </c>
      <c r="V629" s="167" t="s">
        <v>480</v>
      </c>
      <c r="W629" s="163" t="s">
        <v>112</v>
      </c>
      <c r="X629" s="163" t="s">
        <v>112</v>
      </c>
      <c r="Y629" s="163" t="s">
        <v>112</v>
      </c>
      <c r="Z629" s="8" t="s">
        <v>36</v>
      </c>
      <c r="AA629" s="23" t="s">
        <v>144</v>
      </c>
      <c r="AB629" s="21" t="s">
        <v>296</v>
      </c>
      <c r="AE629" s="24"/>
      <c r="AM629" s="24"/>
    </row>
    <row r="630" ht="15.75" customHeight="1">
      <c r="A630" s="8">
        <v>185.0</v>
      </c>
      <c r="B630" s="163" t="s">
        <v>2368</v>
      </c>
      <c r="C630" s="167" t="s">
        <v>48</v>
      </c>
      <c r="D630" s="163" t="s">
        <v>112</v>
      </c>
      <c r="E630" s="163" t="s">
        <v>112</v>
      </c>
      <c r="F630" s="173">
        <v>38747.0</v>
      </c>
      <c r="G630" s="169">
        <v>38718.0</v>
      </c>
      <c r="H630" s="42" t="str">
        <f t="shared" si="36"/>
        <v>2006</v>
      </c>
      <c r="I630" s="8" t="s">
        <v>846</v>
      </c>
      <c r="J630" s="163" t="s">
        <v>112</v>
      </c>
      <c r="K630" s="163" t="s">
        <v>112</v>
      </c>
      <c r="L630" s="167" t="s">
        <v>100</v>
      </c>
      <c r="M630" s="173" t="s">
        <v>177</v>
      </c>
      <c r="N630" s="174" t="s">
        <v>112</v>
      </c>
      <c r="O630" s="45" t="s">
        <v>2359</v>
      </c>
      <c r="P630" s="163" t="s">
        <v>106</v>
      </c>
      <c r="Q630" s="163" t="s">
        <v>112</v>
      </c>
      <c r="R630" s="163" t="s">
        <v>112</v>
      </c>
      <c r="S630" s="163" t="s">
        <v>112</v>
      </c>
      <c r="T630" s="163" t="s">
        <v>112</v>
      </c>
      <c r="U630" s="163" t="s">
        <v>112</v>
      </c>
      <c r="V630" s="167" t="s">
        <v>480</v>
      </c>
      <c r="W630" s="163" t="s">
        <v>112</v>
      </c>
      <c r="X630" s="163" t="s">
        <v>112</v>
      </c>
      <c r="Y630" s="163" t="s">
        <v>112</v>
      </c>
      <c r="Z630" s="8" t="s">
        <v>36</v>
      </c>
      <c r="AA630" s="23" t="s">
        <v>144</v>
      </c>
      <c r="AB630" s="21" t="s">
        <v>296</v>
      </c>
      <c r="AE630" s="24"/>
      <c r="AM630" s="24"/>
    </row>
    <row r="631" ht="15.75" customHeight="1">
      <c r="A631" s="8">
        <v>186.0</v>
      </c>
      <c r="B631" s="163" t="s">
        <v>2369</v>
      </c>
      <c r="C631" s="167" t="s">
        <v>48</v>
      </c>
      <c r="D631" s="163" t="s">
        <v>112</v>
      </c>
      <c r="E631" s="163" t="s">
        <v>112</v>
      </c>
      <c r="F631" s="173">
        <v>38747.0</v>
      </c>
      <c r="G631" s="169">
        <v>38718.0</v>
      </c>
      <c r="H631" s="42" t="str">
        <f t="shared" si="36"/>
        <v>2006</v>
      </c>
      <c r="I631" s="8" t="s">
        <v>172</v>
      </c>
      <c r="J631" s="163" t="s">
        <v>112</v>
      </c>
      <c r="K631" s="163" t="s">
        <v>112</v>
      </c>
      <c r="L631" s="167" t="s">
        <v>100</v>
      </c>
      <c r="M631" s="173" t="s">
        <v>112</v>
      </c>
      <c r="N631" s="174" t="s">
        <v>112</v>
      </c>
      <c r="O631" s="45" t="s">
        <v>2359</v>
      </c>
      <c r="P631" s="163" t="s">
        <v>106</v>
      </c>
      <c r="Q631" s="163" t="s">
        <v>112</v>
      </c>
      <c r="R631" s="163" t="s">
        <v>112</v>
      </c>
      <c r="S631" s="163" t="s">
        <v>112</v>
      </c>
      <c r="T631" s="163" t="s">
        <v>112</v>
      </c>
      <c r="U631" s="163" t="s">
        <v>112</v>
      </c>
      <c r="V631" s="167" t="s">
        <v>480</v>
      </c>
      <c r="W631" s="163" t="s">
        <v>112</v>
      </c>
      <c r="X631" s="163" t="s">
        <v>112</v>
      </c>
      <c r="Y631" s="163" t="s">
        <v>112</v>
      </c>
      <c r="Z631" s="8" t="s">
        <v>36</v>
      </c>
      <c r="AA631" s="23" t="s">
        <v>144</v>
      </c>
      <c r="AB631" s="21" t="s">
        <v>296</v>
      </c>
      <c r="AE631" s="24"/>
      <c r="AM631" s="24"/>
    </row>
    <row r="632" ht="15.75" customHeight="1">
      <c r="A632" s="8">
        <v>187.0</v>
      </c>
      <c r="B632" s="163" t="s">
        <v>2370</v>
      </c>
      <c r="C632" s="167" t="s">
        <v>48</v>
      </c>
      <c r="D632" s="163" t="s">
        <v>112</v>
      </c>
      <c r="E632" s="163" t="s">
        <v>112</v>
      </c>
      <c r="F632" s="173">
        <v>38748.0</v>
      </c>
      <c r="G632" s="169">
        <v>38718.0</v>
      </c>
      <c r="H632" s="42" t="str">
        <f t="shared" si="36"/>
        <v>2006</v>
      </c>
      <c r="I632" s="8" t="s">
        <v>176</v>
      </c>
      <c r="J632" s="163" t="s">
        <v>112</v>
      </c>
      <c r="K632" s="163" t="s">
        <v>112</v>
      </c>
      <c r="L632" s="167" t="s">
        <v>100</v>
      </c>
      <c r="M632" s="173" t="s">
        <v>177</v>
      </c>
      <c r="N632" s="174" t="s">
        <v>112</v>
      </c>
      <c r="O632" s="45" t="s">
        <v>2359</v>
      </c>
      <c r="P632" s="163" t="s">
        <v>106</v>
      </c>
      <c r="Q632" s="163" t="s">
        <v>112</v>
      </c>
      <c r="R632" s="163" t="s">
        <v>112</v>
      </c>
      <c r="S632" s="163" t="s">
        <v>112</v>
      </c>
      <c r="T632" s="163" t="s">
        <v>112</v>
      </c>
      <c r="U632" s="163" t="s">
        <v>112</v>
      </c>
      <c r="V632" s="167" t="s">
        <v>480</v>
      </c>
      <c r="W632" s="163" t="s">
        <v>112</v>
      </c>
      <c r="X632" s="163" t="s">
        <v>112</v>
      </c>
      <c r="Y632" s="163" t="s">
        <v>112</v>
      </c>
      <c r="Z632" s="8" t="s">
        <v>36</v>
      </c>
      <c r="AA632" s="23" t="s">
        <v>144</v>
      </c>
      <c r="AB632" s="21" t="s">
        <v>296</v>
      </c>
      <c r="AE632" s="24"/>
      <c r="AM632" s="24"/>
    </row>
    <row r="633" ht="15.75" customHeight="1">
      <c r="A633" s="8">
        <v>188.0</v>
      </c>
      <c r="B633" s="163" t="s">
        <v>2371</v>
      </c>
      <c r="C633" s="167" t="s">
        <v>48</v>
      </c>
      <c r="D633" s="163" t="s">
        <v>112</v>
      </c>
      <c r="E633" s="163" t="s">
        <v>112</v>
      </c>
      <c r="F633" s="173">
        <v>38748.0</v>
      </c>
      <c r="G633" s="169">
        <v>38718.0</v>
      </c>
      <c r="H633" s="42" t="str">
        <f t="shared" si="36"/>
        <v>2006</v>
      </c>
      <c r="I633" s="8" t="s">
        <v>176</v>
      </c>
      <c r="J633" s="163" t="s">
        <v>112</v>
      </c>
      <c r="K633" s="163" t="s">
        <v>112</v>
      </c>
      <c r="L633" s="167" t="s">
        <v>100</v>
      </c>
      <c r="M633" s="173" t="s">
        <v>177</v>
      </c>
      <c r="N633" s="174" t="s">
        <v>112</v>
      </c>
      <c r="O633" s="45" t="s">
        <v>2359</v>
      </c>
      <c r="P633" s="163" t="s">
        <v>106</v>
      </c>
      <c r="Q633" s="163" t="s">
        <v>112</v>
      </c>
      <c r="R633" s="163" t="s">
        <v>112</v>
      </c>
      <c r="S633" s="163" t="s">
        <v>112</v>
      </c>
      <c r="T633" s="163" t="s">
        <v>112</v>
      </c>
      <c r="U633" s="163" t="s">
        <v>112</v>
      </c>
      <c r="V633" s="167" t="s">
        <v>480</v>
      </c>
      <c r="W633" s="163" t="s">
        <v>112</v>
      </c>
      <c r="X633" s="163" t="s">
        <v>112</v>
      </c>
      <c r="Y633" s="163" t="s">
        <v>112</v>
      </c>
      <c r="Z633" s="8" t="s">
        <v>36</v>
      </c>
      <c r="AA633" s="23" t="s">
        <v>144</v>
      </c>
      <c r="AB633" s="21" t="s">
        <v>296</v>
      </c>
      <c r="AE633" s="24"/>
      <c r="AM633" s="24"/>
    </row>
    <row r="634" ht="15.75" customHeight="1">
      <c r="A634" s="8">
        <v>189.0</v>
      </c>
      <c r="B634" s="163" t="s">
        <v>2372</v>
      </c>
      <c r="C634" s="167" t="s">
        <v>48</v>
      </c>
      <c r="D634" s="163" t="s">
        <v>112</v>
      </c>
      <c r="E634" s="163" t="s">
        <v>112</v>
      </c>
      <c r="F634" s="173">
        <v>38752.0</v>
      </c>
      <c r="G634" s="169">
        <v>38749.0</v>
      </c>
      <c r="H634" s="42" t="str">
        <f t="shared" si="36"/>
        <v>2006</v>
      </c>
      <c r="I634" s="8" t="s">
        <v>176</v>
      </c>
      <c r="J634" s="163" t="s">
        <v>112</v>
      </c>
      <c r="K634" s="163" t="s">
        <v>112</v>
      </c>
      <c r="L634" s="167" t="s">
        <v>100</v>
      </c>
      <c r="M634" s="173" t="s">
        <v>177</v>
      </c>
      <c r="N634" s="174" t="s">
        <v>112</v>
      </c>
      <c r="O634" s="45" t="s">
        <v>2373</v>
      </c>
      <c r="P634" s="163" t="s">
        <v>106</v>
      </c>
      <c r="Q634" s="163" t="s">
        <v>112</v>
      </c>
      <c r="R634" s="163" t="s">
        <v>112</v>
      </c>
      <c r="S634" s="163" t="s">
        <v>112</v>
      </c>
      <c r="T634" s="163" t="s">
        <v>112</v>
      </c>
      <c r="U634" s="163" t="s">
        <v>112</v>
      </c>
      <c r="V634" s="167" t="s">
        <v>480</v>
      </c>
      <c r="W634" s="163" t="s">
        <v>112</v>
      </c>
      <c r="X634" s="163" t="s">
        <v>112</v>
      </c>
      <c r="Y634" s="163" t="s">
        <v>112</v>
      </c>
      <c r="Z634" s="8" t="s">
        <v>36</v>
      </c>
      <c r="AA634" s="23" t="s">
        <v>144</v>
      </c>
      <c r="AB634" s="21" t="s">
        <v>296</v>
      </c>
      <c r="AE634" s="24"/>
      <c r="AM634" s="24"/>
    </row>
    <row r="635" ht="15.75" customHeight="1">
      <c r="A635" s="8">
        <v>190.0</v>
      </c>
      <c r="B635" s="163" t="s">
        <v>2374</v>
      </c>
      <c r="C635" s="167" t="s">
        <v>48</v>
      </c>
      <c r="D635" s="163" t="s">
        <v>112</v>
      </c>
      <c r="E635" s="163" t="s">
        <v>112</v>
      </c>
      <c r="F635" s="173">
        <v>38752.0</v>
      </c>
      <c r="G635" s="169">
        <v>38749.0</v>
      </c>
      <c r="H635" s="42" t="str">
        <f t="shared" si="36"/>
        <v>2006</v>
      </c>
      <c r="I635" s="8" t="s">
        <v>172</v>
      </c>
      <c r="J635" s="163" t="s">
        <v>112</v>
      </c>
      <c r="K635" s="163" t="s">
        <v>112</v>
      </c>
      <c r="L635" s="167" t="s">
        <v>100</v>
      </c>
      <c r="M635" s="173" t="s">
        <v>112</v>
      </c>
      <c r="N635" s="174" t="s">
        <v>2375</v>
      </c>
      <c r="O635" s="45" t="s">
        <v>2373</v>
      </c>
      <c r="P635" s="163" t="s">
        <v>106</v>
      </c>
      <c r="Q635" s="163" t="s">
        <v>112</v>
      </c>
      <c r="R635" s="163" t="s">
        <v>112</v>
      </c>
      <c r="S635" s="163" t="s">
        <v>112</v>
      </c>
      <c r="T635" s="163" t="s">
        <v>112</v>
      </c>
      <c r="U635" s="163" t="s">
        <v>112</v>
      </c>
      <c r="V635" s="167" t="s">
        <v>480</v>
      </c>
      <c r="W635" s="163" t="s">
        <v>112</v>
      </c>
      <c r="X635" s="163" t="s">
        <v>112</v>
      </c>
      <c r="Y635" s="163" t="s">
        <v>112</v>
      </c>
      <c r="Z635" s="8" t="s">
        <v>36</v>
      </c>
      <c r="AA635" s="23" t="s">
        <v>144</v>
      </c>
      <c r="AB635" s="21" t="s">
        <v>296</v>
      </c>
      <c r="AE635" s="24"/>
      <c r="AM635" s="24"/>
    </row>
    <row r="636" ht="15.75" customHeight="1">
      <c r="A636" s="8">
        <v>191.0</v>
      </c>
      <c r="B636" s="163" t="s">
        <v>2376</v>
      </c>
      <c r="C636" s="167" t="s">
        <v>48</v>
      </c>
      <c r="D636" s="163" t="s">
        <v>112</v>
      </c>
      <c r="E636" s="163" t="s">
        <v>112</v>
      </c>
      <c r="F636" s="173">
        <v>38755.0</v>
      </c>
      <c r="G636" s="169">
        <v>38749.0</v>
      </c>
      <c r="H636" s="42" t="str">
        <f t="shared" si="36"/>
        <v>2006</v>
      </c>
      <c r="I636" s="8" t="s">
        <v>172</v>
      </c>
      <c r="J636" s="163" t="s">
        <v>112</v>
      </c>
      <c r="K636" s="163" t="s">
        <v>112</v>
      </c>
      <c r="L636" s="167" t="s">
        <v>100</v>
      </c>
      <c r="M636" s="173" t="s">
        <v>112</v>
      </c>
      <c r="N636" s="174" t="s">
        <v>112</v>
      </c>
      <c r="O636" s="45" t="s">
        <v>2377</v>
      </c>
      <c r="P636" s="163" t="s">
        <v>106</v>
      </c>
      <c r="Q636" s="163" t="s">
        <v>112</v>
      </c>
      <c r="R636" s="163" t="s">
        <v>112</v>
      </c>
      <c r="S636" s="163" t="s">
        <v>112</v>
      </c>
      <c r="T636" s="163" t="s">
        <v>112</v>
      </c>
      <c r="U636" s="163" t="s">
        <v>112</v>
      </c>
      <c r="V636" s="167" t="s">
        <v>480</v>
      </c>
      <c r="W636" s="163" t="s">
        <v>112</v>
      </c>
      <c r="X636" s="163" t="s">
        <v>112</v>
      </c>
      <c r="Y636" s="163" t="s">
        <v>112</v>
      </c>
      <c r="Z636" s="8" t="s">
        <v>36</v>
      </c>
      <c r="AA636" s="23" t="s">
        <v>144</v>
      </c>
      <c r="AB636" s="21" t="s">
        <v>296</v>
      </c>
      <c r="AE636" s="24"/>
      <c r="AM636" s="24"/>
    </row>
    <row r="637" ht="15.75" customHeight="1">
      <c r="A637" s="8">
        <v>192.0</v>
      </c>
      <c r="B637" s="163" t="s">
        <v>2378</v>
      </c>
      <c r="C637" s="167" t="s">
        <v>48</v>
      </c>
      <c r="D637" s="163" t="s">
        <v>112</v>
      </c>
      <c r="E637" s="163" t="s">
        <v>112</v>
      </c>
      <c r="F637" s="173">
        <v>38755.0</v>
      </c>
      <c r="G637" s="169">
        <v>38749.0</v>
      </c>
      <c r="H637" s="42" t="str">
        <f t="shared" si="36"/>
        <v>2006</v>
      </c>
      <c r="I637" s="8" t="s">
        <v>774</v>
      </c>
      <c r="J637" s="163" t="s">
        <v>112</v>
      </c>
      <c r="K637" s="163" t="s">
        <v>112</v>
      </c>
      <c r="L637" s="167" t="s">
        <v>100</v>
      </c>
      <c r="M637" s="173" t="s">
        <v>177</v>
      </c>
      <c r="N637" s="174" t="s">
        <v>112</v>
      </c>
      <c r="O637" s="45" t="s">
        <v>2377</v>
      </c>
      <c r="P637" s="163" t="s">
        <v>106</v>
      </c>
      <c r="Q637" s="163" t="s">
        <v>112</v>
      </c>
      <c r="R637" s="127" t="s">
        <v>112</v>
      </c>
      <c r="S637" s="127" t="s">
        <v>112</v>
      </c>
      <c r="T637" s="163" t="s">
        <v>112</v>
      </c>
      <c r="U637" s="163" t="s">
        <v>112</v>
      </c>
      <c r="V637" s="167" t="s">
        <v>480</v>
      </c>
      <c r="W637" s="163" t="s">
        <v>112</v>
      </c>
      <c r="X637" s="163" t="s">
        <v>112</v>
      </c>
      <c r="Y637" s="163" t="s">
        <v>112</v>
      </c>
      <c r="Z637" s="8" t="s">
        <v>36</v>
      </c>
      <c r="AA637" s="23" t="s">
        <v>144</v>
      </c>
      <c r="AB637" s="21" t="s">
        <v>296</v>
      </c>
      <c r="AE637" s="24"/>
      <c r="AM637" s="24"/>
    </row>
    <row r="638" ht="15.75" customHeight="1">
      <c r="A638" s="8">
        <v>193.0</v>
      </c>
      <c r="B638" s="163" t="s">
        <v>2379</v>
      </c>
      <c r="C638" s="167" t="s">
        <v>48</v>
      </c>
      <c r="D638" s="163" t="s">
        <v>112</v>
      </c>
      <c r="E638" s="163" t="s">
        <v>112</v>
      </c>
      <c r="F638" s="173">
        <v>38755.0</v>
      </c>
      <c r="G638" s="169">
        <v>38749.0</v>
      </c>
      <c r="H638" s="42" t="str">
        <f t="shared" si="36"/>
        <v>2006</v>
      </c>
      <c r="I638" s="8" t="s">
        <v>176</v>
      </c>
      <c r="J638" s="163" t="s">
        <v>112</v>
      </c>
      <c r="K638" s="163" t="s">
        <v>112</v>
      </c>
      <c r="L638" s="167" t="s">
        <v>100</v>
      </c>
      <c r="M638" s="173" t="s">
        <v>177</v>
      </c>
      <c r="N638" s="174" t="s">
        <v>112</v>
      </c>
      <c r="O638" s="45" t="s">
        <v>2380</v>
      </c>
      <c r="P638" s="163" t="s">
        <v>106</v>
      </c>
      <c r="Q638" s="163" t="s">
        <v>112</v>
      </c>
      <c r="R638" s="127" t="s">
        <v>112</v>
      </c>
      <c r="S638" s="127" t="s">
        <v>112</v>
      </c>
      <c r="T638" s="163" t="s">
        <v>112</v>
      </c>
      <c r="U638" s="163" t="s">
        <v>112</v>
      </c>
      <c r="V638" s="167" t="s">
        <v>480</v>
      </c>
      <c r="W638" s="163" t="s">
        <v>112</v>
      </c>
      <c r="X638" s="163" t="s">
        <v>112</v>
      </c>
      <c r="Y638" s="163" t="s">
        <v>112</v>
      </c>
      <c r="Z638" s="8" t="s">
        <v>36</v>
      </c>
      <c r="AA638" s="23" t="s">
        <v>144</v>
      </c>
      <c r="AB638" s="21" t="s">
        <v>296</v>
      </c>
      <c r="AE638" s="24"/>
      <c r="AM638" s="24"/>
    </row>
    <row r="639" ht="15.75" customHeight="1">
      <c r="A639" s="8">
        <v>194.0</v>
      </c>
      <c r="B639" s="163" t="s">
        <v>2381</v>
      </c>
      <c r="C639" s="167" t="s">
        <v>48</v>
      </c>
      <c r="D639" s="163" t="s">
        <v>112</v>
      </c>
      <c r="E639" s="163" t="s">
        <v>112</v>
      </c>
      <c r="F639" s="173">
        <v>38757.0</v>
      </c>
      <c r="G639" s="169">
        <v>38749.0</v>
      </c>
      <c r="H639" s="42" t="str">
        <f t="shared" si="36"/>
        <v>2006</v>
      </c>
      <c r="I639" s="8" t="s">
        <v>172</v>
      </c>
      <c r="J639" s="163" t="s">
        <v>112</v>
      </c>
      <c r="K639" s="163" t="s">
        <v>112</v>
      </c>
      <c r="L639" s="167" t="s">
        <v>100</v>
      </c>
      <c r="M639" s="173" t="s">
        <v>112</v>
      </c>
      <c r="N639" s="174" t="s">
        <v>112</v>
      </c>
      <c r="O639" s="45" t="s">
        <v>1031</v>
      </c>
      <c r="P639" s="163" t="s">
        <v>106</v>
      </c>
      <c r="Q639" s="163" t="s">
        <v>112</v>
      </c>
      <c r="R639" s="163" t="s">
        <v>112</v>
      </c>
      <c r="S639" s="163" t="s">
        <v>112</v>
      </c>
      <c r="T639" s="163" t="s">
        <v>112</v>
      </c>
      <c r="U639" s="163" t="s">
        <v>112</v>
      </c>
      <c r="V639" s="167" t="s">
        <v>480</v>
      </c>
      <c r="W639" s="163" t="s">
        <v>112</v>
      </c>
      <c r="X639" s="163" t="s">
        <v>112</v>
      </c>
      <c r="Y639" s="39" t="s">
        <v>112</v>
      </c>
      <c r="Z639" s="8" t="s">
        <v>36</v>
      </c>
      <c r="AA639" s="23" t="s">
        <v>144</v>
      </c>
      <c r="AB639" s="21" t="s">
        <v>296</v>
      </c>
      <c r="AE639" s="24"/>
      <c r="AM639" s="24"/>
    </row>
    <row r="640" ht="15.75" customHeight="1">
      <c r="A640" s="8">
        <v>195.0</v>
      </c>
      <c r="B640" s="163" t="s">
        <v>2382</v>
      </c>
      <c r="C640" s="167" t="s">
        <v>48</v>
      </c>
      <c r="D640" s="163" t="s">
        <v>112</v>
      </c>
      <c r="E640" s="163" t="s">
        <v>112</v>
      </c>
      <c r="F640" s="173">
        <v>38757.0</v>
      </c>
      <c r="G640" s="169">
        <v>38749.0</v>
      </c>
      <c r="H640" s="42" t="str">
        <f t="shared" si="36"/>
        <v>2006</v>
      </c>
      <c r="I640" s="8" t="s">
        <v>176</v>
      </c>
      <c r="J640" s="163" t="s">
        <v>112</v>
      </c>
      <c r="K640" s="163" t="s">
        <v>112</v>
      </c>
      <c r="L640" s="167" t="s">
        <v>100</v>
      </c>
      <c r="M640" s="173" t="s">
        <v>177</v>
      </c>
      <c r="N640" s="174" t="s">
        <v>112</v>
      </c>
      <c r="O640" s="45" t="s">
        <v>1031</v>
      </c>
      <c r="P640" s="163" t="s">
        <v>106</v>
      </c>
      <c r="Q640" s="163" t="s">
        <v>112</v>
      </c>
      <c r="R640" s="163" t="s">
        <v>112</v>
      </c>
      <c r="S640" s="163" t="s">
        <v>112</v>
      </c>
      <c r="T640" s="163" t="s">
        <v>112</v>
      </c>
      <c r="U640" s="163" t="s">
        <v>112</v>
      </c>
      <c r="V640" s="167" t="s">
        <v>480</v>
      </c>
      <c r="W640" s="163" t="s">
        <v>112</v>
      </c>
      <c r="X640" s="163" t="s">
        <v>112</v>
      </c>
      <c r="Y640" s="163" t="s">
        <v>112</v>
      </c>
      <c r="Z640" s="8" t="s">
        <v>36</v>
      </c>
      <c r="AA640" s="23" t="s">
        <v>144</v>
      </c>
      <c r="AB640" s="21" t="s">
        <v>296</v>
      </c>
      <c r="AE640" s="24"/>
      <c r="AM640" s="24"/>
    </row>
    <row r="641" ht="15.75" customHeight="1">
      <c r="A641" s="8">
        <v>196.0</v>
      </c>
      <c r="B641" s="163" t="s">
        <v>2383</v>
      </c>
      <c r="C641" s="167" t="s">
        <v>48</v>
      </c>
      <c r="D641" s="163" t="s">
        <v>112</v>
      </c>
      <c r="E641" s="163" t="s">
        <v>112</v>
      </c>
      <c r="F641" s="173">
        <v>38758.0</v>
      </c>
      <c r="G641" s="169">
        <v>38749.0</v>
      </c>
      <c r="H641" s="42" t="str">
        <f t="shared" si="36"/>
        <v>2006</v>
      </c>
      <c r="I641" s="8" t="s">
        <v>172</v>
      </c>
      <c r="J641" s="163" t="s">
        <v>112</v>
      </c>
      <c r="K641" s="163" t="s">
        <v>112</v>
      </c>
      <c r="L641" s="167" t="s">
        <v>100</v>
      </c>
      <c r="M641" s="173" t="s">
        <v>112</v>
      </c>
      <c r="N641" s="174" t="s">
        <v>112</v>
      </c>
      <c r="O641" s="45" t="s">
        <v>1031</v>
      </c>
      <c r="P641" s="163" t="s">
        <v>106</v>
      </c>
      <c r="Q641" s="163" t="s">
        <v>112</v>
      </c>
      <c r="R641" s="163" t="s">
        <v>112</v>
      </c>
      <c r="S641" s="163" t="s">
        <v>112</v>
      </c>
      <c r="T641" s="163" t="s">
        <v>112</v>
      </c>
      <c r="U641" s="163" t="s">
        <v>112</v>
      </c>
      <c r="V641" s="167" t="s">
        <v>480</v>
      </c>
      <c r="W641" s="163" t="s">
        <v>112</v>
      </c>
      <c r="X641" s="163" t="s">
        <v>112</v>
      </c>
      <c r="Y641" s="163" t="s">
        <v>112</v>
      </c>
      <c r="Z641" s="8" t="s">
        <v>36</v>
      </c>
      <c r="AA641" s="23" t="s">
        <v>144</v>
      </c>
      <c r="AB641" s="21" t="s">
        <v>296</v>
      </c>
      <c r="AE641" s="24"/>
      <c r="AM641" s="24"/>
    </row>
    <row r="642" ht="15.75" customHeight="1">
      <c r="A642" s="8">
        <v>197.0</v>
      </c>
      <c r="B642" s="163" t="s">
        <v>2384</v>
      </c>
      <c r="C642" s="167" t="s">
        <v>48</v>
      </c>
      <c r="D642" s="181" t="s">
        <v>112</v>
      </c>
      <c r="E642" s="163" t="s">
        <v>112</v>
      </c>
      <c r="F642" s="173">
        <v>38763.0</v>
      </c>
      <c r="G642" s="183">
        <v>38749.0</v>
      </c>
      <c r="H642" s="42" t="str">
        <f t="shared" si="36"/>
        <v>2006</v>
      </c>
      <c r="I642" s="8" t="s">
        <v>846</v>
      </c>
      <c r="J642" s="181" t="s">
        <v>112</v>
      </c>
      <c r="K642" s="181" t="s">
        <v>112</v>
      </c>
      <c r="L642" s="167" t="s">
        <v>1336</v>
      </c>
      <c r="M642" s="163" t="s">
        <v>177</v>
      </c>
      <c r="N642" s="174" t="s">
        <v>112</v>
      </c>
      <c r="O642" s="45"/>
      <c r="P642" s="163" t="s">
        <v>106</v>
      </c>
      <c r="Q642" s="181" t="s">
        <v>112</v>
      </c>
      <c r="R642" s="163" t="s">
        <v>112</v>
      </c>
      <c r="S642" s="163" t="s">
        <v>112</v>
      </c>
      <c r="T642" s="163" t="s">
        <v>112</v>
      </c>
      <c r="U642" s="163" t="s">
        <v>112</v>
      </c>
      <c r="V642" s="167" t="s">
        <v>836</v>
      </c>
      <c r="W642" s="181" t="s">
        <v>112</v>
      </c>
      <c r="X642" s="181" t="s">
        <v>112</v>
      </c>
      <c r="Y642" s="181" t="s">
        <v>112</v>
      </c>
      <c r="Z642" s="8" t="s">
        <v>36</v>
      </c>
      <c r="AA642" s="23" t="s">
        <v>144</v>
      </c>
      <c r="AB642" s="21" t="s">
        <v>296</v>
      </c>
      <c r="AE642" s="24"/>
      <c r="AM642" s="24"/>
    </row>
    <row r="643" ht="15.75" customHeight="1">
      <c r="A643" s="8">
        <v>199.0</v>
      </c>
      <c r="B643" s="163" t="s">
        <v>2385</v>
      </c>
      <c r="C643" s="167" t="s">
        <v>48</v>
      </c>
      <c r="D643" s="181" t="s">
        <v>112</v>
      </c>
      <c r="E643" s="163" t="s">
        <v>112</v>
      </c>
      <c r="F643" s="173">
        <v>38774.0</v>
      </c>
      <c r="G643" s="183">
        <v>38749.0</v>
      </c>
      <c r="H643" s="42" t="str">
        <f t="shared" si="36"/>
        <v>2006</v>
      </c>
      <c r="I643" s="8" t="s">
        <v>63</v>
      </c>
      <c r="J643" s="181" t="s">
        <v>112</v>
      </c>
      <c r="K643" s="181" t="s">
        <v>112</v>
      </c>
      <c r="L643" s="167" t="s">
        <v>1336</v>
      </c>
      <c r="M643" s="173" t="s">
        <v>112</v>
      </c>
      <c r="N643" s="174" t="s">
        <v>112</v>
      </c>
      <c r="O643" s="45"/>
      <c r="P643" s="163" t="s">
        <v>106</v>
      </c>
      <c r="Q643" s="181" t="s">
        <v>112</v>
      </c>
      <c r="R643" s="163" t="s">
        <v>112</v>
      </c>
      <c r="S643" s="163" t="s">
        <v>112</v>
      </c>
      <c r="T643" s="163" t="s">
        <v>112</v>
      </c>
      <c r="U643" s="163" t="s">
        <v>112</v>
      </c>
      <c r="V643" s="167" t="s">
        <v>836</v>
      </c>
      <c r="W643" s="181" t="s">
        <v>112</v>
      </c>
      <c r="X643" s="181" t="s">
        <v>112</v>
      </c>
      <c r="Y643" s="181" t="s">
        <v>112</v>
      </c>
      <c r="Z643" s="8" t="s">
        <v>36</v>
      </c>
      <c r="AA643" s="23" t="s">
        <v>144</v>
      </c>
      <c r="AB643" s="21" t="s">
        <v>296</v>
      </c>
      <c r="AE643" s="24"/>
      <c r="AM643" s="24"/>
    </row>
    <row r="644" ht="15.75" customHeight="1">
      <c r="A644" s="8">
        <v>201.0</v>
      </c>
      <c r="B644" s="163" t="s">
        <v>2386</v>
      </c>
      <c r="C644" s="167" t="s">
        <v>48</v>
      </c>
      <c r="D644" s="163" t="s">
        <v>112</v>
      </c>
      <c r="E644" s="163" t="s">
        <v>112</v>
      </c>
      <c r="F644" s="173">
        <v>38844.0</v>
      </c>
      <c r="G644" s="169">
        <v>38838.0</v>
      </c>
      <c r="H644" s="42" t="str">
        <f t="shared" si="36"/>
        <v>2006</v>
      </c>
      <c r="I644" s="8" t="s">
        <v>176</v>
      </c>
      <c r="J644" s="163" t="s">
        <v>112</v>
      </c>
      <c r="K644" s="163" t="s">
        <v>112</v>
      </c>
      <c r="L644" s="167" t="s">
        <v>112</v>
      </c>
      <c r="M644" s="163" t="s">
        <v>177</v>
      </c>
      <c r="N644" s="174" t="s">
        <v>112</v>
      </c>
      <c r="O644" s="45"/>
      <c r="P644" s="163" t="s">
        <v>106</v>
      </c>
      <c r="Q644" s="163" t="s">
        <v>112</v>
      </c>
      <c r="R644" s="168" t="s">
        <v>112</v>
      </c>
      <c r="S644" s="163" t="s">
        <v>112</v>
      </c>
      <c r="T644" s="167" t="s">
        <v>112</v>
      </c>
      <c r="U644" s="167" t="s">
        <v>112</v>
      </c>
      <c r="V644" s="167" t="s">
        <v>1725</v>
      </c>
      <c r="W644" s="163" t="s">
        <v>112</v>
      </c>
      <c r="X644" s="163" t="s">
        <v>112</v>
      </c>
      <c r="Y644" s="163" t="s">
        <v>112</v>
      </c>
      <c r="Z644" s="8" t="s">
        <v>36</v>
      </c>
      <c r="AA644" s="23" t="s">
        <v>144</v>
      </c>
      <c r="AB644" s="21" t="s">
        <v>296</v>
      </c>
      <c r="AE644" s="24"/>
      <c r="AM644" s="24"/>
    </row>
    <row r="645" ht="15.75" customHeight="1">
      <c r="A645" s="8">
        <v>205.0</v>
      </c>
      <c r="B645" s="163" t="s">
        <v>2387</v>
      </c>
      <c r="C645" s="167" t="s">
        <v>48</v>
      </c>
      <c r="D645" s="163" t="s">
        <v>112</v>
      </c>
      <c r="E645" s="163" t="s">
        <v>112</v>
      </c>
      <c r="F645" s="168">
        <v>38959.0</v>
      </c>
      <c r="G645" s="169">
        <v>38930.0</v>
      </c>
      <c r="H645" s="42" t="str">
        <f t="shared" si="36"/>
        <v>2006</v>
      </c>
      <c r="I645" s="8" t="s">
        <v>186</v>
      </c>
      <c r="J645" s="163" t="s">
        <v>112</v>
      </c>
      <c r="K645" s="163" t="s">
        <v>112</v>
      </c>
      <c r="L645" s="167" t="s">
        <v>1336</v>
      </c>
      <c r="M645" s="168" t="s">
        <v>112</v>
      </c>
      <c r="N645" s="174" t="s">
        <v>2388</v>
      </c>
      <c r="O645" s="45" t="s">
        <v>2389</v>
      </c>
      <c r="P645" s="163" t="s">
        <v>106</v>
      </c>
      <c r="Q645" s="163" t="s">
        <v>112</v>
      </c>
      <c r="R645" s="163" t="s">
        <v>112</v>
      </c>
      <c r="S645" s="167" t="s">
        <v>112</v>
      </c>
      <c r="T645" s="167" t="s">
        <v>112</v>
      </c>
      <c r="U645" s="167" t="s">
        <v>112</v>
      </c>
      <c r="V645" s="167" t="s">
        <v>1725</v>
      </c>
      <c r="W645" s="163" t="s">
        <v>112</v>
      </c>
      <c r="X645" s="163" t="s">
        <v>112</v>
      </c>
      <c r="Y645" s="163" t="s">
        <v>112</v>
      </c>
      <c r="Z645" s="8" t="s">
        <v>36</v>
      </c>
      <c r="AA645" s="23" t="s">
        <v>144</v>
      </c>
      <c r="AB645" s="21" t="s">
        <v>296</v>
      </c>
      <c r="AC645" s="70"/>
      <c r="AD645" s="70"/>
      <c r="AE645" s="24"/>
      <c r="AF645" s="70"/>
      <c r="AG645" s="70"/>
      <c r="AH645" s="70"/>
      <c r="AI645" s="70"/>
      <c r="AJ645" s="70"/>
      <c r="AK645" s="70"/>
      <c r="AL645" s="70"/>
      <c r="AM645" s="24"/>
      <c r="AN645" s="70"/>
      <c r="AO645" s="70"/>
      <c r="AP645" s="70"/>
      <c r="AQ645" s="70"/>
      <c r="AR645" s="70"/>
      <c r="AS645" s="70"/>
      <c r="AT645" s="70"/>
      <c r="AU645" s="70"/>
      <c r="AV645" s="70"/>
      <c r="AW645" s="70"/>
      <c r="AX645" s="70"/>
      <c r="AY645" s="70"/>
      <c r="AZ645" s="70"/>
      <c r="BA645" s="70"/>
      <c r="BB645" s="70"/>
      <c r="BC645" s="70"/>
      <c r="BD645" s="70"/>
      <c r="BE645" s="70"/>
      <c r="BF645" s="70"/>
      <c r="BG645" s="70"/>
      <c r="BH645" s="70"/>
      <c r="BI645" s="70"/>
      <c r="BJ645" s="70"/>
      <c r="BK645" s="70"/>
      <c r="BL645" s="70"/>
      <c r="BM645" s="70"/>
      <c r="BN645" s="70"/>
      <c r="BO645" s="70"/>
      <c r="BP645" s="70"/>
      <c r="BQ645" s="70"/>
      <c r="BR645" s="70"/>
      <c r="BS645" s="70"/>
      <c r="BT645" s="70"/>
      <c r="BU645" s="70"/>
      <c r="BV645" s="70"/>
      <c r="BW645" s="70"/>
      <c r="BX645" s="70"/>
      <c r="BY645" s="70"/>
    </row>
    <row r="646" ht="15.75" customHeight="1">
      <c r="A646" s="8">
        <v>206.0</v>
      </c>
      <c r="B646" s="163" t="s">
        <v>2390</v>
      </c>
      <c r="C646" s="167" t="s">
        <v>48</v>
      </c>
      <c r="D646" s="163" t="s">
        <v>112</v>
      </c>
      <c r="E646" s="163" t="s">
        <v>112</v>
      </c>
      <c r="F646" s="173">
        <v>38975.0</v>
      </c>
      <c r="G646" s="169">
        <v>38961.0</v>
      </c>
      <c r="H646" s="42" t="str">
        <f t="shared" si="36"/>
        <v>2006</v>
      </c>
      <c r="I646" s="8" t="s">
        <v>186</v>
      </c>
      <c r="J646" s="163" t="s">
        <v>112</v>
      </c>
      <c r="K646" s="163" t="s">
        <v>112</v>
      </c>
      <c r="L646" s="167" t="s">
        <v>1336</v>
      </c>
      <c r="M646" s="173" t="s">
        <v>112</v>
      </c>
      <c r="N646" s="174" t="s">
        <v>2391</v>
      </c>
      <c r="O646" s="45" t="s">
        <v>2350</v>
      </c>
      <c r="P646" s="163" t="s">
        <v>106</v>
      </c>
      <c r="Q646" s="163" t="s">
        <v>112</v>
      </c>
      <c r="R646" s="163" t="s">
        <v>112</v>
      </c>
      <c r="S646" s="167" t="s">
        <v>112</v>
      </c>
      <c r="T646" s="167" t="s">
        <v>112</v>
      </c>
      <c r="U646" s="167" t="s">
        <v>112</v>
      </c>
      <c r="V646" s="167" t="s">
        <v>1725</v>
      </c>
      <c r="W646" s="163" t="s">
        <v>112</v>
      </c>
      <c r="X646" s="163" t="s">
        <v>112</v>
      </c>
      <c r="Y646" s="163" t="s">
        <v>112</v>
      </c>
      <c r="Z646" s="8" t="s">
        <v>36</v>
      </c>
      <c r="AA646" s="23" t="s">
        <v>144</v>
      </c>
      <c r="AB646" s="21" t="s">
        <v>296</v>
      </c>
      <c r="AC646" s="70"/>
      <c r="AD646" s="70"/>
      <c r="AE646" s="24"/>
      <c r="AF646" s="70"/>
      <c r="AG646" s="70"/>
      <c r="AH646" s="70"/>
      <c r="AI646" s="70"/>
      <c r="AJ646" s="70"/>
      <c r="AK646" s="70"/>
      <c r="AL646" s="70"/>
      <c r="AM646" s="24"/>
      <c r="AN646" s="70"/>
      <c r="AO646" s="70"/>
      <c r="AP646" s="70"/>
      <c r="AQ646" s="70"/>
      <c r="AR646" s="70"/>
      <c r="AS646" s="70"/>
      <c r="AT646" s="70"/>
      <c r="AU646" s="70"/>
      <c r="AV646" s="70"/>
      <c r="AW646" s="70"/>
      <c r="AX646" s="70"/>
      <c r="AY646" s="70"/>
      <c r="AZ646" s="70"/>
      <c r="BA646" s="70"/>
      <c r="BB646" s="70"/>
      <c r="BC646" s="70"/>
      <c r="BD646" s="70"/>
      <c r="BE646" s="70"/>
      <c r="BF646" s="70"/>
      <c r="BG646" s="70"/>
      <c r="BH646" s="70"/>
      <c r="BI646" s="70"/>
      <c r="BJ646" s="70"/>
      <c r="BK646" s="70"/>
      <c r="BL646" s="70"/>
      <c r="BM646" s="70"/>
      <c r="BN646" s="70"/>
      <c r="BO646" s="70"/>
      <c r="BP646" s="70"/>
      <c r="BQ646" s="70"/>
      <c r="BR646" s="70"/>
      <c r="BS646" s="70"/>
      <c r="BT646" s="70"/>
      <c r="BU646" s="70"/>
      <c r="BV646" s="70"/>
      <c r="BW646" s="70"/>
      <c r="BX646" s="70"/>
      <c r="BY646" s="70"/>
    </row>
    <row r="647" ht="15.75" customHeight="1">
      <c r="A647" s="8">
        <v>207.0</v>
      </c>
      <c r="B647" s="163" t="s">
        <v>2392</v>
      </c>
      <c r="C647" s="167" t="s">
        <v>48</v>
      </c>
      <c r="D647" s="163" t="s">
        <v>112</v>
      </c>
      <c r="E647" s="163" t="s">
        <v>112</v>
      </c>
      <c r="F647" s="173">
        <v>39032.0</v>
      </c>
      <c r="G647" s="169">
        <v>39022.0</v>
      </c>
      <c r="H647" s="42" t="str">
        <f t="shared" si="36"/>
        <v>2006</v>
      </c>
      <c r="I647" s="8" t="s">
        <v>774</v>
      </c>
      <c r="J647" s="163" t="s">
        <v>112</v>
      </c>
      <c r="K647" s="163" t="s">
        <v>112</v>
      </c>
      <c r="L647" s="167" t="s">
        <v>100</v>
      </c>
      <c r="M647" s="173" t="s">
        <v>177</v>
      </c>
      <c r="N647" s="174" t="s">
        <v>112</v>
      </c>
      <c r="O647" s="45" t="s">
        <v>2393</v>
      </c>
      <c r="P647" s="163" t="s">
        <v>106</v>
      </c>
      <c r="Q647" s="163" t="s">
        <v>112</v>
      </c>
      <c r="R647" s="163" t="s">
        <v>112</v>
      </c>
      <c r="S647" s="163" t="s">
        <v>112</v>
      </c>
      <c r="T647" s="163" t="s">
        <v>112</v>
      </c>
      <c r="U647" s="163" t="s">
        <v>112</v>
      </c>
      <c r="V647" s="167" t="s">
        <v>480</v>
      </c>
      <c r="W647" s="163" t="s">
        <v>112</v>
      </c>
      <c r="X647" s="163" t="s">
        <v>112</v>
      </c>
      <c r="Y647" s="163" t="s">
        <v>112</v>
      </c>
      <c r="Z647" s="8" t="s">
        <v>36</v>
      </c>
      <c r="AA647" s="23" t="s">
        <v>144</v>
      </c>
      <c r="AB647" s="21" t="s">
        <v>296</v>
      </c>
      <c r="AE647" s="24"/>
      <c r="AM647" s="24"/>
    </row>
    <row r="648" ht="15.75" customHeight="1">
      <c r="A648" s="8">
        <v>208.0</v>
      </c>
      <c r="B648" s="163" t="s">
        <v>2394</v>
      </c>
      <c r="C648" s="167" t="s">
        <v>58</v>
      </c>
      <c r="D648" s="163" t="s">
        <v>511</v>
      </c>
      <c r="E648" s="163" t="s">
        <v>112</v>
      </c>
      <c r="F648" s="173">
        <v>39032.0</v>
      </c>
      <c r="G648" s="169">
        <v>39022.0</v>
      </c>
      <c r="H648" s="42" t="str">
        <f t="shared" si="36"/>
        <v>2006</v>
      </c>
      <c r="I648" s="8" t="s">
        <v>176</v>
      </c>
      <c r="J648" s="163" t="s">
        <v>112</v>
      </c>
      <c r="K648" s="163" t="s">
        <v>112</v>
      </c>
      <c r="L648" s="163" t="s">
        <v>100</v>
      </c>
      <c r="M648" s="163" t="s">
        <v>177</v>
      </c>
      <c r="N648" s="170" t="s">
        <v>2395</v>
      </c>
      <c r="O648" s="108" t="s">
        <v>2396</v>
      </c>
      <c r="P648" s="163" t="s">
        <v>106</v>
      </c>
      <c r="Q648" s="167" t="s">
        <v>112</v>
      </c>
      <c r="R648" s="167" t="s">
        <v>112</v>
      </c>
      <c r="S648" s="167" t="s">
        <v>112</v>
      </c>
      <c r="T648" s="167" t="s">
        <v>112</v>
      </c>
      <c r="U648" s="167" t="s">
        <v>112</v>
      </c>
      <c r="V648" s="167" t="s">
        <v>1032</v>
      </c>
      <c r="W648" s="163" t="s">
        <v>112</v>
      </c>
      <c r="X648" s="158">
        <v>0.0</v>
      </c>
      <c r="Y648" s="158" t="s">
        <v>2397</v>
      </c>
      <c r="Z648" s="8" t="s">
        <v>36</v>
      </c>
      <c r="AA648" s="23" t="s">
        <v>144</v>
      </c>
      <c r="AB648" s="21" t="s">
        <v>296</v>
      </c>
      <c r="AE648" s="24"/>
      <c r="AM648" s="24"/>
    </row>
    <row r="649" ht="15.75" customHeight="1">
      <c r="A649" s="8">
        <v>210.0</v>
      </c>
      <c r="B649" s="163" t="s">
        <v>2398</v>
      </c>
      <c r="C649" s="167" t="s">
        <v>48</v>
      </c>
      <c r="D649" s="163" t="s">
        <v>112</v>
      </c>
      <c r="E649" s="163" t="s">
        <v>112</v>
      </c>
      <c r="F649" s="173">
        <v>39034.0</v>
      </c>
      <c r="G649" s="169">
        <v>39022.0</v>
      </c>
      <c r="H649" s="42" t="str">
        <f t="shared" si="36"/>
        <v>2006</v>
      </c>
      <c r="I649" s="8" t="s">
        <v>846</v>
      </c>
      <c r="J649" s="163" t="s">
        <v>112</v>
      </c>
      <c r="K649" s="163" t="s">
        <v>112</v>
      </c>
      <c r="L649" s="167" t="s">
        <v>100</v>
      </c>
      <c r="M649" s="173" t="s">
        <v>177</v>
      </c>
      <c r="N649" s="174" t="s">
        <v>112</v>
      </c>
      <c r="O649" s="45" t="s">
        <v>1031</v>
      </c>
      <c r="P649" s="163" t="s">
        <v>106</v>
      </c>
      <c r="Q649" s="163" t="s">
        <v>112</v>
      </c>
      <c r="R649" s="175" t="s">
        <v>112</v>
      </c>
      <c r="S649" s="167" t="s">
        <v>112</v>
      </c>
      <c r="T649" s="163" t="s">
        <v>112</v>
      </c>
      <c r="U649" s="163" t="s">
        <v>112</v>
      </c>
      <c r="V649" s="167" t="s">
        <v>480</v>
      </c>
      <c r="W649" s="163" t="s">
        <v>112</v>
      </c>
      <c r="X649" s="163" t="s">
        <v>112</v>
      </c>
      <c r="Y649" s="163" t="s">
        <v>112</v>
      </c>
      <c r="Z649" s="8" t="s">
        <v>36</v>
      </c>
      <c r="AA649" s="23" t="s">
        <v>144</v>
      </c>
      <c r="AB649" s="21" t="s">
        <v>296</v>
      </c>
      <c r="AE649" s="24"/>
      <c r="AM649" s="24"/>
    </row>
    <row r="650" ht="15.75" customHeight="1">
      <c r="A650" s="8">
        <v>211.0</v>
      </c>
      <c r="B650" s="163" t="s">
        <v>2399</v>
      </c>
      <c r="C650" s="167" t="s">
        <v>48</v>
      </c>
      <c r="D650" s="163" t="s">
        <v>112</v>
      </c>
      <c r="E650" s="163" t="s">
        <v>112</v>
      </c>
      <c r="F650" s="173">
        <v>39034.0</v>
      </c>
      <c r="G650" s="169">
        <v>39022.0</v>
      </c>
      <c r="H650" s="42" t="str">
        <f t="shared" si="36"/>
        <v>2006</v>
      </c>
      <c r="I650" s="8" t="s">
        <v>172</v>
      </c>
      <c r="J650" s="163" t="s">
        <v>112</v>
      </c>
      <c r="K650" s="163" t="s">
        <v>112</v>
      </c>
      <c r="L650" s="167" t="s">
        <v>100</v>
      </c>
      <c r="M650" s="173" t="s">
        <v>112</v>
      </c>
      <c r="N650" s="174" t="s">
        <v>112</v>
      </c>
      <c r="O650" s="45" t="s">
        <v>1031</v>
      </c>
      <c r="P650" s="163" t="s">
        <v>106</v>
      </c>
      <c r="Q650" s="163" t="s">
        <v>112</v>
      </c>
      <c r="R650" s="163" t="s">
        <v>112</v>
      </c>
      <c r="S650" s="163" t="s">
        <v>112</v>
      </c>
      <c r="T650" s="163" t="s">
        <v>112</v>
      </c>
      <c r="U650" s="163" t="s">
        <v>112</v>
      </c>
      <c r="V650" s="167" t="s">
        <v>480</v>
      </c>
      <c r="W650" s="163" t="s">
        <v>112</v>
      </c>
      <c r="X650" s="163" t="s">
        <v>112</v>
      </c>
      <c r="Y650" s="163" t="s">
        <v>112</v>
      </c>
      <c r="Z650" s="8" t="s">
        <v>36</v>
      </c>
      <c r="AA650" s="23" t="s">
        <v>144</v>
      </c>
      <c r="AB650" s="21" t="s">
        <v>296</v>
      </c>
      <c r="AE650" s="24"/>
      <c r="AM650" s="24"/>
    </row>
    <row r="651" ht="15.75" customHeight="1">
      <c r="A651" s="8">
        <v>212.0</v>
      </c>
      <c r="B651" s="163" t="s">
        <v>2400</v>
      </c>
      <c r="C651" s="167" t="s">
        <v>48</v>
      </c>
      <c r="D651" s="163" t="s">
        <v>112</v>
      </c>
      <c r="E651" s="163" t="s">
        <v>112</v>
      </c>
      <c r="F651" s="173">
        <v>39034.0</v>
      </c>
      <c r="G651" s="169">
        <v>39022.0</v>
      </c>
      <c r="H651" s="42" t="str">
        <f t="shared" si="36"/>
        <v>2006</v>
      </c>
      <c r="I651" s="8" t="s">
        <v>846</v>
      </c>
      <c r="J651" s="163" t="s">
        <v>112</v>
      </c>
      <c r="K651" s="163" t="s">
        <v>112</v>
      </c>
      <c r="L651" s="167" t="s">
        <v>100</v>
      </c>
      <c r="M651" s="173" t="s">
        <v>177</v>
      </c>
      <c r="N651" s="174" t="s">
        <v>112</v>
      </c>
      <c r="O651" s="45" t="s">
        <v>1031</v>
      </c>
      <c r="P651" s="163" t="s">
        <v>106</v>
      </c>
      <c r="Q651" s="163" t="s">
        <v>112</v>
      </c>
      <c r="R651" s="163" t="s">
        <v>112</v>
      </c>
      <c r="S651" s="163" t="s">
        <v>112</v>
      </c>
      <c r="T651" s="163" t="s">
        <v>112</v>
      </c>
      <c r="U651" s="163" t="s">
        <v>112</v>
      </c>
      <c r="V651" s="167" t="s">
        <v>480</v>
      </c>
      <c r="W651" s="163" t="s">
        <v>112</v>
      </c>
      <c r="X651" s="163" t="s">
        <v>112</v>
      </c>
      <c r="Y651" s="163" t="s">
        <v>112</v>
      </c>
      <c r="Z651" s="8" t="s">
        <v>36</v>
      </c>
      <c r="AA651" s="23" t="s">
        <v>144</v>
      </c>
      <c r="AB651" s="21" t="s">
        <v>296</v>
      </c>
      <c r="AE651" s="24"/>
      <c r="AM651" s="24"/>
    </row>
    <row r="652" ht="15.75" customHeight="1">
      <c r="A652" s="8">
        <v>213.0</v>
      </c>
      <c r="B652" s="163" t="s">
        <v>2401</v>
      </c>
      <c r="C652" s="167" t="s">
        <v>48</v>
      </c>
      <c r="D652" s="163" t="s">
        <v>112</v>
      </c>
      <c r="E652" s="163" t="s">
        <v>112</v>
      </c>
      <c r="F652" s="173">
        <v>39034.0</v>
      </c>
      <c r="G652" s="169">
        <v>39022.0</v>
      </c>
      <c r="H652" s="42" t="str">
        <f t="shared" si="36"/>
        <v>2006</v>
      </c>
      <c r="I652" s="8" t="s">
        <v>846</v>
      </c>
      <c r="J652" s="163" t="s">
        <v>112</v>
      </c>
      <c r="K652" s="163" t="s">
        <v>112</v>
      </c>
      <c r="L652" s="167" t="s">
        <v>100</v>
      </c>
      <c r="M652" s="173" t="s">
        <v>177</v>
      </c>
      <c r="N652" s="174" t="s">
        <v>112</v>
      </c>
      <c r="O652" s="45" t="s">
        <v>1031</v>
      </c>
      <c r="P652" s="163" t="s">
        <v>106</v>
      </c>
      <c r="Q652" s="163" t="s">
        <v>112</v>
      </c>
      <c r="R652" s="163" t="s">
        <v>112</v>
      </c>
      <c r="S652" s="163" t="s">
        <v>112</v>
      </c>
      <c r="T652" s="163" t="s">
        <v>112</v>
      </c>
      <c r="U652" s="163" t="s">
        <v>112</v>
      </c>
      <c r="V652" s="167" t="s">
        <v>480</v>
      </c>
      <c r="W652" s="163" t="s">
        <v>112</v>
      </c>
      <c r="X652" s="163" t="s">
        <v>112</v>
      </c>
      <c r="Y652" s="163" t="s">
        <v>112</v>
      </c>
      <c r="Z652" s="8" t="s">
        <v>36</v>
      </c>
      <c r="AA652" s="23" t="s">
        <v>144</v>
      </c>
      <c r="AB652" s="21" t="s">
        <v>296</v>
      </c>
      <c r="AE652" s="24"/>
      <c r="AM652" s="24"/>
    </row>
    <row r="653" ht="15.75" customHeight="1">
      <c r="A653" s="8">
        <v>214.0</v>
      </c>
      <c r="B653" s="163" t="s">
        <v>2402</v>
      </c>
      <c r="C653" s="167" t="s">
        <v>48</v>
      </c>
      <c r="D653" s="163" t="s">
        <v>112</v>
      </c>
      <c r="E653" s="163" t="s">
        <v>112</v>
      </c>
      <c r="F653" s="173">
        <v>39034.0</v>
      </c>
      <c r="G653" s="169">
        <v>39022.0</v>
      </c>
      <c r="H653" s="42" t="str">
        <f t="shared" si="36"/>
        <v>2006</v>
      </c>
      <c r="I653" s="8" t="s">
        <v>846</v>
      </c>
      <c r="J653" s="163" t="s">
        <v>112</v>
      </c>
      <c r="K653" s="163" t="s">
        <v>112</v>
      </c>
      <c r="L653" s="167" t="s">
        <v>100</v>
      </c>
      <c r="M653" s="173" t="s">
        <v>177</v>
      </c>
      <c r="N653" s="174" t="s">
        <v>112</v>
      </c>
      <c r="O653" s="45" t="s">
        <v>1031</v>
      </c>
      <c r="P653" s="163" t="s">
        <v>106</v>
      </c>
      <c r="Q653" s="163" t="s">
        <v>112</v>
      </c>
      <c r="R653" s="163" t="s">
        <v>112</v>
      </c>
      <c r="S653" s="163" t="s">
        <v>112</v>
      </c>
      <c r="T653" s="163" t="s">
        <v>112</v>
      </c>
      <c r="U653" s="163" t="s">
        <v>112</v>
      </c>
      <c r="V653" s="167" t="s">
        <v>480</v>
      </c>
      <c r="W653" s="163" t="s">
        <v>112</v>
      </c>
      <c r="X653" s="163" t="s">
        <v>112</v>
      </c>
      <c r="Y653" s="163" t="s">
        <v>112</v>
      </c>
      <c r="Z653" s="8" t="s">
        <v>36</v>
      </c>
      <c r="AA653" s="23" t="s">
        <v>144</v>
      </c>
      <c r="AB653" s="21" t="s">
        <v>296</v>
      </c>
      <c r="AE653" s="24"/>
      <c r="AM653" s="24"/>
    </row>
    <row r="654" ht="15.75" customHeight="1">
      <c r="A654" s="8">
        <v>215.0</v>
      </c>
      <c r="B654" s="163" t="s">
        <v>2403</v>
      </c>
      <c r="C654" s="167" t="s">
        <v>48</v>
      </c>
      <c r="D654" s="163" t="s">
        <v>112</v>
      </c>
      <c r="E654" s="163" t="s">
        <v>112</v>
      </c>
      <c r="F654" s="173">
        <v>39034.0</v>
      </c>
      <c r="G654" s="169">
        <v>39022.0</v>
      </c>
      <c r="H654" s="42" t="str">
        <f t="shared" si="36"/>
        <v>2006</v>
      </c>
      <c r="I654" s="8" t="s">
        <v>846</v>
      </c>
      <c r="J654" s="163" t="s">
        <v>112</v>
      </c>
      <c r="K654" s="163" t="s">
        <v>112</v>
      </c>
      <c r="L654" s="167" t="s">
        <v>100</v>
      </c>
      <c r="M654" s="173" t="s">
        <v>177</v>
      </c>
      <c r="N654" s="174" t="s">
        <v>112</v>
      </c>
      <c r="O654" s="45" t="s">
        <v>1031</v>
      </c>
      <c r="P654" s="163" t="s">
        <v>106</v>
      </c>
      <c r="Q654" s="163" t="s">
        <v>112</v>
      </c>
      <c r="R654" s="163" t="s">
        <v>112</v>
      </c>
      <c r="S654" s="163" t="s">
        <v>112</v>
      </c>
      <c r="T654" s="163" t="s">
        <v>112</v>
      </c>
      <c r="U654" s="163" t="s">
        <v>112</v>
      </c>
      <c r="V654" s="167" t="s">
        <v>480</v>
      </c>
      <c r="W654" s="163" t="s">
        <v>112</v>
      </c>
      <c r="X654" s="163" t="s">
        <v>112</v>
      </c>
      <c r="Y654" s="163" t="s">
        <v>112</v>
      </c>
      <c r="Z654" s="8" t="s">
        <v>36</v>
      </c>
      <c r="AA654" s="23" t="s">
        <v>144</v>
      </c>
      <c r="AB654" s="21" t="s">
        <v>296</v>
      </c>
      <c r="AE654" s="24"/>
      <c r="AM654" s="24"/>
    </row>
    <row r="655" ht="15.75" customHeight="1">
      <c r="A655" s="8">
        <v>216.0</v>
      </c>
      <c r="B655" s="163" t="s">
        <v>2404</v>
      </c>
      <c r="C655" s="167" t="s">
        <v>48</v>
      </c>
      <c r="D655" s="163" t="s">
        <v>112</v>
      </c>
      <c r="E655" s="163" t="s">
        <v>112</v>
      </c>
      <c r="F655" s="173">
        <v>39034.0</v>
      </c>
      <c r="G655" s="169">
        <v>39022.0</v>
      </c>
      <c r="H655" s="42" t="str">
        <f t="shared" si="36"/>
        <v>2006</v>
      </c>
      <c r="I655" s="8" t="s">
        <v>846</v>
      </c>
      <c r="J655" s="163" t="s">
        <v>112</v>
      </c>
      <c r="K655" s="163" t="s">
        <v>112</v>
      </c>
      <c r="L655" s="167" t="s">
        <v>100</v>
      </c>
      <c r="M655" s="173" t="s">
        <v>177</v>
      </c>
      <c r="N655" s="174" t="s">
        <v>112</v>
      </c>
      <c r="O655" s="45" t="s">
        <v>1031</v>
      </c>
      <c r="P655" s="163" t="s">
        <v>106</v>
      </c>
      <c r="Q655" s="163" t="s">
        <v>112</v>
      </c>
      <c r="R655" s="163" t="s">
        <v>112</v>
      </c>
      <c r="S655" s="163" t="s">
        <v>112</v>
      </c>
      <c r="T655" s="163" t="s">
        <v>112</v>
      </c>
      <c r="U655" s="163" t="s">
        <v>112</v>
      </c>
      <c r="V655" s="167" t="s">
        <v>480</v>
      </c>
      <c r="W655" s="163" t="s">
        <v>112</v>
      </c>
      <c r="X655" s="163" t="s">
        <v>112</v>
      </c>
      <c r="Y655" s="163" t="s">
        <v>112</v>
      </c>
      <c r="Z655" s="8" t="s">
        <v>36</v>
      </c>
      <c r="AA655" s="23" t="s">
        <v>144</v>
      </c>
      <c r="AB655" s="21" t="s">
        <v>296</v>
      </c>
      <c r="AE655" s="24"/>
      <c r="AM655" s="24"/>
    </row>
    <row r="656" ht="15.75" customHeight="1">
      <c r="A656" s="8">
        <v>217.0</v>
      </c>
      <c r="B656" s="163" t="s">
        <v>2405</v>
      </c>
      <c r="C656" s="167" t="s">
        <v>48</v>
      </c>
      <c r="D656" s="163" t="s">
        <v>112</v>
      </c>
      <c r="E656" s="163" t="s">
        <v>112</v>
      </c>
      <c r="F656" s="173">
        <v>39034.0</v>
      </c>
      <c r="G656" s="169">
        <v>39022.0</v>
      </c>
      <c r="H656" s="42" t="str">
        <f t="shared" si="36"/>
        <v>2006</v>
      </c>
      <c r="I656" s="8" t="s">
        <v>846</v>
      </c>
      <c r="J656" s="163" t="s">
        <v>112</v>
      </c>
      <c r="K656" s="163" t="s">
        <v>112</v>
      </c>
      <c r="L656" s="167" t="s">
        <v>100</v>
      </c>
      <c r="M656" s="173" t="s">
        <v>177</v>
      </c>
      <c r="N656" s="174" t="s">
        <v>112</v>
      </c>
      <c r="O656" s="45" t="s">
        <v>1031</v>
      </c>
      <c r="P656" s="163" t="s">
        <v>106</v>
      </c>
      <c r="Q656" s="163" t="s">
        <v>112</v>
      </c>
      <c r="R656" s="163" t="s">
        <v>112</v>
      </c>
      <c r="S656" s="163" t="s">
        <v>112</v>
      </c>
      <c r="T656" s="163" t="s">
        <v>112</v>
      </c>
      <c r="U656" s="163" t="s">
        <v>112</v>
      </c>
      <c r="V656" s="167" t="s">
        <v>480</v>
      </c>
      <c r="W656" s="163" t="s">
        <v>112</v>
      </c>
      <c r="X656" s="163" t="s">
        <v>112</v>
      </c>
      <c r="Y656" s="163" t="s">
        <v>112</v>
      </c>
      <c r="Z656" s="8" t="s">
        <v>36</v>
      </c>
      <c r="AA656" s="23" t="s">
        <v>144</v>
      </c>
      <c r="AB656" s="21" t="s">
        <v>296</v>
      </c>
      <c r="AE656" s="24"/>
      <c r="AM656" s="24"/>
    </row>
    <row r="657" ht="15.75" customHeight="1">
      <c r="A657" s="8">
        <v>218.0</v>
      </c>
      <c r="B657" s="163" t="s">
        <v>2406</v>
      </c>
      <c r="C657" s="167" t="s">
        <v>48</v>
      </c>
      <c r="D657" s="163" t="s">
        <v>112</v>
      </c>
      <c r="E657" s="163" t="s">
        <v>112</v>
      </c>
      <c r="F657" s="173">
        <v>39034.0</v>
      </c>
      <c r="G657" s="169">
        <v>39022.0</v>
      </c>
      <c r="H657" s="42" t="str">
        <f t="shared" si="36"/>
        <v>2006</v>
      </c>
      <c r="I657" s="8" t="s">
        <v>176</v>
      </c>
      <c r="J657" s="163" t="s">
        <v>112</v>
      </c>
      <c r="K657" s="163" t="s">
        <v>112</v>
      </c>
      <c r="L657" s="167" t="s">
        <v>100</v>
      </c>
      <c r="M657" s="173" t="s">
        <v>177</v>
      </c>
      <c r="N657" s="174" t="s">
        <v>876</v>
      </c>
      <c r="O657" s="45" t="s">
        <v>1031</v>
      </c>
      <c r="P657" s="163" t="s">
        <v>106</v>
      </c>
      <c r="Q657" s="163" t="s">
        <v>112</v>
      </c>
      <c r="R657" s="163" t="s">
        <v>112</v>
      </c>
      <c r="S657" s="163" t="s">
        <v>112</v>
      </c>
      <c r="T657" s="163" t="s">
        <v>112</v>
      </c>
      <c r="U657" s="163" t="s">
        <v>112</v>
      </c>
      <c r="V657" s="167" t="s">
        <v>480</v>
      </c>
      <c r="W657" s="163" t="s">
        <v>112</v>
      </c>
      <c r="X657" s="163" t="s">
        <v>112</v>
      </c>
      <c r="Y657" s="163" t="s">
        <v>112</v>
      </c>
      <c r="Z657" s="8" t="s">
        <v>36</v>
      </c>
      <c r="AA657" s="23" t="s">
        <v>144</v>
      </c>
      <c r="AB657" s="21" t="s">
        <v>296</v>
      </c>
      <c r="AE657" s="24"/>
      <c r="AM657" s="24"/>
    </row>
    <row r="658" ht="15.75" customHeight="1">
      <c r="A658" s="8">
        <v>219.0</v>
      </c>
      <c r="B658" s="163" t="s">
        <v>2407</v>
      </c>
      <c r="C658" s="167" t="s">
        <v>48</v>
      </c>
      <c r="D658" s="163" t="s">
        <v>112</v>
      </c>
      <c r="E658" s="163" t="s">
        <v>112</v>
      </c>
      <c r="F658" s="173">
        <v>39034.0</v>
      </c>
      <c r="G658" s="169">
        <v>39022.0</v>
      </c>
      <c r="H658" s="42" t="str">
        <f t="shared" si="36"/>
        <v>2006</v>
      </c>
      <c r="I658" s="8" t="s">
        <v>186</v>
      </c>
      <c r="J658" s="163" t="s">
        <v>112</v>
      </c>
      <c r="K658" s="163" t="s">
        <v>112</v>
      </c>
      <c r="L658" s="167" t="s">
        <v>100</v>
      </c>
      <c r="M658" s="173" t="s">
        <v>112</v>
      </c>
      <c r="N658" s="174" t="s">
        <v>112</v>
      </c>
      <c r="O658" s="45" t="s">
        <v>1031</v>
      </c>
      <c r="P658" s="163" t="s">
        <v>106</v>
      </c>
      <c r="Q658" s="163" t="s">
        <v>112</v>
      </c>
      <c r="R658" s="163" t="s">
        <v>112</v>
      </c>
      <c r="S658" s="163" t="s">
        <v>112</v>
      </c>
      <c r="T658" s="163" t="s">
        <v>112</v>
      </c>
      <c r="U658" s="163" t="s">
        <v>112</v>
      </c>
      <c r="V658" s="167" t="s">
        <v>480</v>
      </c>
      <c r="W658" s="163" t="s">
        <v>112</v>
      </c>
      <c r="X658" s="163" t="s">
        <v>112</v>
      </c>
      <c r="Y658" s="163" t="s">
        <v>112</v>
      </c>
      <c r="Z658" s="8" t="s">
        <v>36</v>
      </c>
      <c r="AA658" s="23" t="s">
        <v>144</v>
      </c>
      <c r="AB658" s="21" t="s">
        <v>296</v>
      </c>
      <c r="AE658" s="24"/>
      <c r="AM658" s="24"/>
    </row>
    <row r="659" ht="15.75" customHeight="1">
      <c r="A659" s="8">
        <v>220.0</v>
      </c>
      <c r="B659" s="163" t="s">
        <v>2408</v>
      </c>
      <c r="C659" s="167" t="s">
        <v>48</v>
      </c>
      <c r="D659" s="163" t="s">
        <v>112</v>
      </c>
      <c r="E659" s="163" t="s">
        <v>112</v>
      </c>
      <c r="F659" s="173">
        <v>39034.0</v>
      </c>
      <c r="G659" s="169">
        <v>39022.0</v>
      </c>
      <c r="H659" s="42" t="str">
        <f t="shared" si="36"/>
        <v>2006</v>
      </c>
      <c r="I659" s="8" t="s">
        <v>846</v>
      </c>
      <c r="J659" s="163" t="s">
        <v>112</v>
      </c>
      <c r="K659" s="163" t="s">
        <v>112</v>
      </c>
      <c r="L659" s="167" t="s">
        <v>100</v>
      </c>
      <c r="M659" s="173" t="s">
        <v>177</v>
      </c>
      <c r="N659" s="174" t="s">
        <v>112</v>
      </c>
      <c r="O659" s="45" t="s">
        <v>1031</v>
      </c>
      <c r="P659" s="163" t="s">
        <v>106</v>
      </c>
      <c r="Q659" s="163" t="s">
        <v>112</v>
      </c>
      <c r="R659" s="163" t="s">
        <v>112</v>
      </c>
      <c r="S659" s="163" t="s">
        <v>112</v>
      </c>
      <c r="T659" s="163" t="s">
        <v>112</v>
      </c>
      <c r="U659" s="163" t="s">
        <v>112</v>
      </c>
      <c r="V659" s="167" t="s">
        <v>480</v>
      </c>
      <c r="W659" s="163" t="s">
        <v>112</v>
      </c>
      <c r="X659" s="163" t="s">
        <v>112</v>
      </c>
      <c r="Y659" s="163" t="s">
        <v>112</v>
      </c>
      <c r="Z659" s="8" t="s">
        <v>36</v>
      </c>
      <c r="AA659" s="23" t="s">
        <v>144</v>
      </c>
      <c r="AB659" s="21" t="s">
        <v>296</v>
      </c>
      <c r="AE659" s="24"/>
      <c r="AM659" s="24"/>
    </row>
    <row r="660" ht="15.75" customHeight="1">
      <c r="A660" s="8">
        <v>221.0</v>
      </c>
      <c r="B660" s="163" t="s">
        <v>2409</v>
      </c>
      <c r="C660" s="167" t="s">
        <v>48</v>
      </c>
      <c r="D660" s="163" t="s">
        <v>112</v>
      </c>
      <c r="E660" s="163" t="s">
        <v>112</v>
      </c>
      <c r="F660" s="173">
        <v>39034.0</v>
      </c>
      <c r="G660" s="169">
        <v>39022.0</v>
      </c>
      <c r="H660" s="42" t="str">
        <f t="shared" si="36"/>
        <v>2006</v>
      </c>
      <c r="I660" s="8" t="s">
        <v>846</v>
      </c>
      <c r="J660" s="163" t="s">
        <v>112</v>
      </c>
      <c r="K660" s="163" t="s">
        <v>112</v>
      </c>
      <c r="L660" s="167" t="s">
        <v>100</v>
      </c>
      <c r="M660" s="173" t="s">
        <v>177</v>
      </c>
      <c r="N660" s="174" t="s">
        <v>876</v>
      </c>
      <c r="O660" s="45" t="s">
        <v>1031</v>
      </c>
      <c r="P660" s="163" t="s">
        <v>106</v>
      </c>
      <c r="Q660" s="163" t="s">
        <v>112</v>
      </c>
      <c r="R660" s="163" t="s">
        <v>112</v>
      </c>
      <c r="S660" s="163" t="s">
        <v>112</v>
      </c>
      <c r="T660" s="163" t="s">
        <v>112</v>
      </c>
      <c r="U660" s="163" t="s">
        <v>112</v>
      </c>
      <c r="V660" s="167" t="s">
        <v>480</v>
      </c>
      <c r="W660" s="163" t="s">
        <v>112</v>
      </c>
      <c r="X660" s="163" t="s">
        <v>112</v>
      </c>
      <c r="Y660" s="163" t="s">
        <v>112</v>
      </c>
      <c r="Z660" s="8" t="s">
        <v>36</v>
      </c>
      <c r="AA660" s="23" t="s">
        <v>144</v>
      </c>
      <c r="AB660" s="21" t="s">
        <v>296</v>
      </c>
      <c r="AE660" s="24"/>
      <c r="AM660" s="24"/>
    </row>
    <row r="661" ht="15.75" customHeight="1">
      <c r="A661" s="8">
        <v>222.0</v>
      </c>
      <c r="B661" s="163" t="s">
        <v>2410</v>
      </c>
      <c r="C661" s="167" t="s">
        <v>48</v>
      </c>
      <c r="D661" s="163" t="s">
        <v>112</v>
      </c>
      <c r="E661" s="163" t="s">
        <v>112</v>
      </c>
      <c r="F661" s="173">
        <v>39052.0</v>
      </c>
      <c r="G661" s="169">
        <v>39052.0</v>
      </c>
      <c r="H661" s="42" t="str">
        <f t="shared" si="36"/>
        <v>2006</v>
      </c>
      <c r="I661" s="8" t="s">
        <v>176</v>
      </c>
      <c r="J661" s="163" t="s">
        <v>112</v>
      </c>
      <c r="K661" s="163" t="s">
        <v>112</v>
      </c>
      <c r="L661" s="167" t="s">
        <v>100</v>
      </c>
      <c r="M661" s="173" t="s">
        <v>177</v>
      </c>
      <c r="N661" s="174" t="s">
        <v>112</v>
      </c>
      <c r="O661" s="45" t="s">
        <v>2359</v>
      </c>
      <c r="P661" s="163" t="s">
        <v>106</v>
      </c>
      <c r="Q661" s="163" t="s">
        <v>112</v>
      </c>
      <c r="R661" s="163" t="s">
        <v>112</v>
      </c>
      <c r="S661" s="163" t="s">
        <v>112</v>
      </c>
      <c r="T661" s="163" t="s">
        <v>112</v>
      </c>
      <c r="U661" s="163" t="s">
        <v>112</v>
      </c>
      <c r="V661" s="167" t="s">
        <v>480</v>
      </c>
      <c r="W661" s="163" t="s">
        <v>112</v>
      </c>
      <c r="X661" s="163" t="s">
        <v>112</v>
      </c>
      <c r="Y661" s="163" t="s">
        <v>112</v>
      </c>
      <c r="Z661" s="8" t="s">
        <v>36</v>
      </c>
      <c r="AA661" s="23" t="s">
        <v>144</v>
      </c>
      <c r="AB661" s="21" t="s">
        <v>296</v>
      </c>
      <c r="AE661" s="24"/>
      <c r="AM661" s="24"/>
    </row>
    <row r="662" ht="15.75" customHeight="1">
      <c r="A662" s="8">
        <v>223.0</v>
      </c>
      <c r="B662" s="163" t="s">
        <v>2411</v>
      </c>
      <c r="C662" s="167" t="s">
        <v>48</v>
      </c>
      <c r="D662" s="163" t="s">
        <v>112</v>
      </c>
      <c r="E662" s="163" t="s">
        <v>112</v>
      </c>
      <c r="F662" s="173">
        <v>39052.0</v>
      </c>
      <c r="G662" s="169">
        <v>39052.0</v>
      </c>
      <c r="H662" s="42" t="str">
        <f t="shared" si="36"/>
        <v>2006</v>
      </c>
      <c r="I662" s="8" t="s">
        <v>186</v>
      </c>
      <c r="J662" s="163" t="s">
        <v>112</v>
      </c>
      <c r="K662" s="163" t="s">
        <v>112</v>
      </c>
      <c r="L662" s="167" t="s">
        <v>100</v>
      </c>
      <c r="M662" s="173" t="s">
        <v>112</v>
      </c>
      <c r="N662" s="174" t="s">
        <v>112</v>
      </c>
      <c r="O662" s="45" t="s">
        <v>2359</v>
      </c>
      <c r="P662" s="163" t="s">
        <v>106</v>
      </c>
      <c r="Q662" s="163" t="s">
        <v>112</v>
      </c>
      <c r="R662" s="163" t="s">
        <v>112</v>
      </c>
      <c r="S662" s="163" t="s">
        <v>112</v>
      </c>
      <c r="T662" s="163" t="s">
        <v>112</v>
      </c>
      <c r="U662" s="163" t="s">
        <v>112</v>
      </c>
      <c r="V662" s="167" t="s">
        <v>480</v>
      </c>
      <c r="W662" s="163" t="s">
        <v>112</v>
      </c>
      <c r="X662" s="163" t="s">
        <v>112</v>
      </c>
      <c r="Y662" s="163" t="s">
        <v>112</v>
      </c>
      <c r="Z662" s="8" t="s">
        <v>36</v>
      </c>
      <c r="AA662" s="23" t="s">
        <v>144</v>
      </c>
      <c r="AB662" s="21" t="s">
        <v>296</v>
      </c>
      <c r="AE662" s="24"/>
      <c r="AM662" s="24"/>
    </row>
    <row r="663" ht="15.75" customHeight="1">
      <c r="A663" s="8">
        <v>224.0</v>
      </c>
      <c r="B663" s="163" t="s">
        <v>2412</v>
      </c>
      <c r="C663" s="167" t="s">
        <v>48</v>
      </c>
      <c r="D663" s="163" t="s">
        <v>112</v>
      </c>
      <c r="E663" s="163" t="s">
        <v>112</v>
      </c>
      <c r="F663" s="173">
        <v>39052.0</v>
      </c>
      <c r="G663" s="169">
        <v>39052.0</v>
      </c>
      <c r="H663" s="42" t="str">
        <f t="shared" si="36"/>
        <v>2006</v>
      </c>
      <c r="I663" s="8" t="s">
        <v>176</v>
      </c>
      <c r="J663" s="163" t="s">
        <v>112</v>
      </c>
      <c r="K663" s="163" t="s">
        <v>112</v>
      </c>
      <c r="L663" s="167" t="s">
        <v>100</v>
      </c>
      <c r="M663" s="173" t="s">
        <v>177</v>
      </c>
      <c r="N663" s="174" t="s">
        <v>112</v>
      </c>
      <c r="O663" s="45" t="s">
        <v>2359</v>
      </c>
      <c r="P663" s="163" t="s">
        <v>106</v>
      </c>
      <c r="Q663" s="163" t="s">
        <v>112</v>
      </c>
      <c r="R663" s="163" t="s">
        <v>112</v>
      </c>
      <c r="S663" s="163" t="s">
        <v>112</v>
      </c>
      <c r="T663" s="163" t="s">
        <v>112</v>
      </c>
      <c r="U663" s="163" t="s">
        <v>112</v>
      </c>
      <c r="V663" s="167" t="s">
        <v>480</v>
      </c>
      <c r="W663" s="163" t="s">
        <v>112</v>
      </c>
      <c r="X663" s="163" t="s">
        <v>112</v>
      </c>
      <c r="Y663" s="163" t="s">
        <v>112</v>
      </c>
      <c r="Z663" s="8" t="s">
        <v>36</v>
      </c>
      <c r="AA663" s="23" t="s">
        <v>144</v>
      </c>
      <c r="AB663" s="21" t="s">
        <v>296</v>
      </c>
      <c r="AE663" s="24"/>
      <c r="AM663" s="24"/>
    </row>
    <row r="664" ht="15.75" customHeight="1">
      <c r="A664" s="8">
        <v>225.0</v>
      </c>
      <c r="B664" s="163" t="s">
        <v>2413</v>
      </c>
      <c r="C664" s="167" t="s">
        <v>48</v>
      </c>
      <c r="D664" s="163" t="s">
        <v>112</v>
      </c>
      <c r="E664" s="163" t="s">
        <v>112</v>
      </c>
      <c r="F664" s="173">
        <v>39052.0</v>
      </c>
      <c r="G664" s="169">
        <v>39052.0</v>
      </c>
      <c r="H664" s="42" t="str">
        <f t="shared" si="36"/>
        <v>2006</v>
      </c>
      <c r="I664" s="8" t="s">
        <v>186</v>
      </c>
      <c r="J664" s="163" t="s">
        <v>112</v>
      </c>
      <c r="K664" s="163" t="s">
        <v>112</v>
      </c>
      <c r="L664" s="167" t="s">
        <v>100</v>
      </c>
      <c r="M664" s="173" t="s">
        <v>112</v>
      </c>
      <c r="N664" s="174" t="s">
        <v>112</v>
      </c>
      <c r="O664" s="45" t="s">
        <v>2359</v>
      </c>
      <c r="P664" s="163" t="s">
        <v>106</v>
      </c>
      <c r="Q664" s="163" t="s">
        <v>112</v>
      </c>
      <c r="R664" s="163" t="s">
        <v>112</v>
      </c>
      <c r="S664" s="163" t="s">
        <v>112</v>
      </c>
      <c r="T664" s="163" t="s">
        <v>112</v>
      </c>
      <c r="U664" s="163" t="s">
        <v>112</v>
      </c>
      <c r="V664" s="167" t="s">
        <v>480</v>
      </c>
      <c r="W664" s="163" t="s">
        <v>112</v>
      </c>
      <c r="X664" s="163" t="s">
        <v>112</v>
      </c>
      <c r="Y664" s="163" t="s">
        <v>112</v>
      </c>
      <c r="Z664" s="8" t="s">
        <v>36</v>
      </c>
      <c r="AA664" s="23" t="s">
        <v>144</v>
      </c>
      <c r="AB664" s="21" t="s">
        <v>296</v>
      </c>
      <c r="AE664" s="24"/>
      <c r="AM664" s="24"/>
    </row>
    <row r="665" ht="15.75" customHeight="1">
      <c r="A665" s="8">
        <v>226.0</v>
      </c>
      <c r="B665" s="163" t="s">
        <v>2414</v>
      </c>
      <c r="C665" s="167" t="s">
        <v>48</v>
      </c>
      <c r="D665" s="163" t="s">
        <v>112</v>
      </c>
      <c r="E665" s="163" t="s">
        <v>112</v>
      </c>
      <c r="F665" s="173">
        <v>39052.0</v>
      </c>
      <c r="G665" s="169">
        <v>39052.0</v>
      </c>
      <c r="H665" s="42" t="str">
        <f t="shared" si="36"/>
        <v>2006</v>
      </c>
      <c r="I665" s="8" t="s">
        <v>172</v>
      </c>
      <c r="J665" s="163" t="s">
        <v>112</v>
      </c>
      <c r="K665" s="163" t="s">
        <v>112</v>
      </c>
      <c r="L665" s="167" t="s">
        <v>100</v>
      </c>
      <c r="M665" s="173" t="s">
        <v>112</v>
      </c>
      <c r="N665" s="174" t="s">
        <v>2415</v>
      </c>
      <c r="O665" s="45" t="s">
        <v>785</v>
      </c>
      <c r="P665" s="163" t="s">
        <v>106</v>
      </c>
      <c r="Q665" s="163" t="s">
        <v>112</v>
      </c>
      <c r="R665" s="163" t="s">
        <v>112</v>
      </c>
      <c r="S665" s="163" t="s">
        <v>112</v>
      </c>
      <c r="T665" s="163" t="s">
        <v>112</v>
      </c>
      <c r="U665" s="163" t="s">
        <v>112</v>
      </c>
      <c r="V665" s="167" t="s">
        <v>480</v>
      </c>
      <c r="W665" s="163" t="s">
        <v>112</v>
      </c>
      <c r="X665" s="163" t="s">
        <v>112</v>
      </c>
      <c r="Y665" s="163" t="s">
        <v>112</v>
      </c>
      <c r="Z665" s="8" t="s">
        <v>36</v>
      </c>
      <c r="AA665" s="23" t="s">
        <v>144</v>
      </c>
      <c r="AB665" s="21" t="s">
        <v>296</v>
      </c>
      <c r="AE665" s="24"/>
      <c r="AM665" s="24"/>
    </row>
    <row r="666" ht="15.75" customHeight="1">
      <c r="A666" s="8">
        <v>227.0</v>
      </c>
      <c r="B666" s="163" t="s">
        <v>2416</v>
      </c>
      <c r="C666" s="167" t="s">
        <v>48</v>
      </c>
      <c r="D666" s="163" t="s">
        <v>112</v>
      </c>
      <c r="E666" s="163" t="s">
        <v>112</v>
      </c>
      <c r="F666" s="173">
        <v>39055.0</v>
      </c>
      <c r="G666" s="169">
        <v>39052.0</v>
      </c>
      <c r="H666" s="42" t="str">
        <f t="shared" si="36"/>
        <v>2006</v>
      </c>
      <c r="I666" s="8" t="s">
        <v>176</v>
      </c>
      <c r="J666" s="163" t="s">
        <v>112</v>
      </c>
      <c r="K666" s="163" t="s">
        <v>112</v>
      </c>
      <c r="L666" s="167" t="s">
        <v>1336</v>
      </c>
      <c r="M666" s="168" t="s">
        <v>177</v>
      </c>
      <c r="N666" s="174" t="s">
        <v>2417</v>
      </c>
      <c r="O666" s="45" t="s">
        <v>2418</v>
      </c>
      <c r="P666" s="163" t="s">
        <v>106</v>
      </c>
      <c r="Q666" s="163" t="s">
        <v>112</v>
      </c>
      <c r="R666" s="163" t="s">
        <v>112</v>
      </c>
      <c r="S666" s="163" t="s">
        <v>112</v>
      </c>
      <c r="T666" s="163" t="s">
        <v>112</v>
      </c>
      <c r="U666" s="163" t="s">
        <v>112</v>
      </c>
      <c r="V666" s="167" t="s">
        <v>480</v>
      </c>
      <c r="W666" s="163" t="s">
        <v>112</v>
      </c>
      <c r="X666" s="163" t="s">
        <v>112</v>
      </c>
      <c r="Y666" s="163" t="s">
        <v>112</v>
      </c>
      <c r="Z666" s="8" t="s">
        <v>36</v>
      </c>
      <c r="AA666" s="23" t="s">
        <v>144</v>
      </c>
      <c r="AB666" s="21" t="s">
        <v>296</v>
      </c>
      <c r="AE666" s="24"/>
      <c r="AM666" s="24"/>
    </row>
    <row r="667" ht="15.75" customHeight="1">
      <c r="A667" s="8">
        <v>229.0</v>
      </c>
      <c r="B667" s="39" t="s">
        <v>2419</v>
      </c>
      <c r="C667" s="167" t="s">
        <v>48</v>
      </c>
      <c r="D667" s="163" t="s">
        <v>112</v>
      </c>
      <c r="E667" s="163" t="s">
        <v>112</v>
      </c>
      <c r="F667" s="173">
        <v>39059.0</v>
      </c>
      <c r="G667" s="169">
        <v>39052.0</v>
      </c>
      <c r="H667" s="42" t="str">
        <f t="shared" si="36"/>
        <v>2006</v>
      </c>
      <c r="I667" s="8" t="s">
        <v>172</v>
      </c>
      <c r="J667" s="163" t="s">
        <v>112</v>
      </c>
      <c r="K667" s="163" t="s">
        <v>112</v>
      </c>
      <c r="L667" s="167" t="s">
        <v>100</v>
      </c>
      <c r="M667" s="173" t="s">
        <v>112</v>
      </c>
      <c r="N667" s="174" t="s">
        <v>112</v>
      </c>
      <c r="O667" s="45" t="s">
        <v>2380</v>
      </c>
      <c r="P667" s="163" t="s">
        <v>106</v>
      </c>
      <c r="Q667" s="163" t="s">
        <v>112</v>
      </c>
      <c r="R667" s="163" t="s">
        <v>112</v>
      </c>
      <c r="S667" s="278" t="s">
        <v>112</v>
      </c>
      <c r="T667" s="163" t="s">
        <v>112</v>
      </c>
      <c r="U667" s="163" t="s">
        <v>112</v>
      </c>
      <c r="V667" s="167" t="s">
        <v>480</v>
      </c>
      <c r="W667" s="163" t="s">
        <v>112</v>
      </c>
      <c r="X667" s="163" t="s">
        <v>112</v>
      </c>
      <c r="Y667" s="163" t="s">
        <v>112</v>
      </c>
      <c r="Z667" s="8" t="s">
        <v>36</v>
      </c>
      <c r="AA667" s="23" t="s">
        <v>144</v>
      </c>
      <c r="AB667" s="21" t="s">
        <v>296</v>
      </c>
      <c r="AE667" s="24"/>
      <c r="AM667" s="24"/>
    </row>
    <row r="668" ht="15.75" customHeight="1">
      <c r="A668" s="8">
        <v>230.0</v>
      </c>
      <c r="B668" s="39" t="s">
        <v>2420</v>
      </c>
      <c r="C668" s="167" t="s">
        <v>48</v>
      </c>
      <c r="D668" s="163" t="s">
        <v>112</v>
      </c>
      <c r="E668" s="163" t="s">
        <v>112</v>
      </c>
      <c r="F668" s="173">
        <v>39062.0</v>
      </c>
      <c r="G668" s="169">
        <v>39052.0</v>
      </c>
      <c r="H668" s="42" t="str">
        <f t="shared" si="36"/>
        <v>2006</v>
      </c>
      <c r="I668" s="8" t="s">
        <v>774</v>
      </c>
      <c r="J668" s="163" t="s">
        <v>112</v>
      </c>
      <c r="K668" s="163" t="s">
        <v>112</v>
      </c>
      <c r="L668" s="167" t="s">
        <v>100</v>
      </c>
      <c r="M668" s="173" t="s">
        <v>177</v>
      </c>
      <c r="N668" s="174" t="s">
        <v>112</v>
      </c>
      <c r="O668" s="45" t="s">
        <v>751</v>
      </c>
      <c r="P668" s="163" t="s">
        <v>106</v>
      </c>
      <c r="Q668" s="163" t="s">
        <v>112</v>
      </c>
      <c r="R668" s="163" t="s">
        <v>112</v>
      </c>
      <c r="S668" s="163" t="s">
        <v>112</v>
      </c>
      <c r="T668" s="163" t="s">
        <v>112</v>
      </c>
      <c r="U668" s="163" t="s">
        <v>112</v>
      </c>
      <c r="V668" s="167" t="s">
        <v>480</v>
      </c>
      <c r="W668" s="163" t="s">
        <v>112</v>
      </c>
      <c r="X668" s="163" t="s">
        <v>112</v>
      </c>
      <c r="Y668" s="163" t="s">
        <v>112</v>
      </c>
      <c r="Z668" s="8" t="s">
        <v>36</v>
      </c>
      <c r="AA668" s="23" t="s">
        <v>144</v>
      </c>
      <c r="AB668" s="21" t="s">
        <v>296</v>
      </c>
      <c r="AE668" s="24"/>
      <c r="AM668" s="24"/>
    </row>
    <row r="669" ht="15.75" customHeight="1">
      <c r="A669" s="8">
        <v>231.0</v>
      </c>
      <c r="B669" s="163" t="s">
        <v>2421</v>
      </c>
      <c r="C669" s="167" t="s">
        <v>48</v>
      </c>
      <c r="D669" s="163" t="s">
        <v>112</v>
      </c>
      <c r="E669" s="163" t="s">
        <v>112</v>
      </c>
      <c r="F669" s="173">
        <v>39062.0</v>
      </c>
      <c r="G669" s="169">
        <v>39052.0</v>
      </c>
      <c r="H669" s="42" t="str">
        <f t="shared" si="36"/>
        <v>2006</v>
      </c>
      <c r="I669" s="8" t="s">
        <v>176</v>
      </c>
      <c r="J669" s="163" t="s">
        <v>112</v>
      </c>
      <c r="K669" s="163" t="s">
        <v>112</v>
      </c>
      <c r="L669" s="167" t="s">
        <v>100</v>
      </c>
      <c r="M669" s="173" t="s">
        <v>177</v>
      </c>
      <c r="N669" s="174" t="s">
        <v>112</v>
      </c>
      <c r="O669" s="45" t="s">
        <v>751</v>
      </c>
      <c r="P669" s="163" t="s">
        <v>106</v>
      </c>
      <c r="Q669" s="163" t="s">
        <v>112</v>
      </c>
      <c r="R669" s="163" t="s">
        <v>112</v>
      </c>
      <c r="S669" s="163" t="s">
        <v>112</v>
      </c>
      <c r="T669" s="163" t="s">
        <v>112</v>
      </c>
      <c r="U669" s="163" t="s">
        <v>112</v>
      </c>
      <c r="V669" s="167" t="s">
        <v>480</v>
      </c>
      <c r="W669" s="163" t="s">
        <v>112</v>
      </c>
      <c r="X669" s="163" t="s">
        <v>112</v>
      </c>
      <c r="Y669" s="163" t="s">
        <v>112</v>
      </c>
      <c r="Z669" s="8" t="s">
        <v>36</v>
      </c>
      <c r="AA669" s="23" t="s">
        <v>144</v>
      </c>
      <c r="AB669" s="21" t="s">
        <v>296</v>
      </c>
      <c r="AE669" s="24"/>
      <c r="AM669" s="24"/>
    </row>
    <row r="670" ht="15.75" customHeight="1">
      <c r="A670" s="8">
        <v>232.0</v>
      </c>
      <c r="B670" s="163" t="s">
        <v>2422</v>
      </c>
      <c r="C670" s="167" t="s">
        <v>48</v>
      </c>
      <c r="D670" s="163" t="s">
        <v>112</v>
      </c>
      <c r="E670" s="163" t="s">
        <v>112</v>
      </c>
      <c r="F670" s="173">
        <v>39063.0</v>
      </c>
      <c r="G670" s="169">
        <v>39052.0</v>
      </c>
      <c r="H670" s="42" t="str">
        <f t="shared" si="36"/>
        <v>2006</v>
      </c>
      <c r="I670" s="8" t="s">
        <v>186</v>
      </c>
      <c r="J670" s="163" t="s">
        <v>112</v>
      </c>
      <c r="K670" s="163" t="s">
        <v>112</v>
      </c>
      <c r="L670" s="167" t="s">
        <v>100</v>
      </c>
      <c r="M670" s="173" t="s">
        <v>112</v>
      </c>
      <c r="N670" s="174" t="s">
        <v>112</v>
      </c>
      <c r="O670" s="45" t="s">
        <v>2380</v>
      </c>
      <c r="P670" s="163" t="s">
        <v>106</v>
      </c>
      <c r="Q670" s="163" t="s">
        <v>112</v>
      </c>
      <c r="R670" s="175" t="s">
        <v>112</v>
      </c>
      <c r="S670" s="167" t="s">
        <v>112</v>
      </c>
      <c r="T670" s="163" t="s">
        <v>112</v>
      </c>
      <c r="U670" s="163" t="s">
        <v>112</v>
      </c>
      <c r="V670" s="167" t="s">
        <v>480</v>
      </c>
      <c r="W670" s="163" t="s">
        <v>112</v>
      </c>
      <c r="X670" s="163" t="s">
        <v>112</v>
      </c>
      <c r="Y670" s="163" t="s">
        <v>112</v>
      </c>
      <c r="Z670" s="8" t="s">
        <v>36</v>
      </c>
      <c r="AA670" s="23" t="s">
        <v>144</v>
      </c>
      <c r="AB670" s="21" t="s">
        <v>296</v>
      </c>
      <c r="AE670" s="24"/>
      <c r="AM670" s="24"/>
    </row>
    <row r="671" ht="15.75" customHeight="1">
      <c r="A671" s="8">
        <v>233.0</v>
      </c>
      <c r="B671" s="163" t="s">
        <v>2423</v>
      </c>
      <c r="C671" s="167" t="s">
        <v>48</v>
      </c>
      <c r="D671" s="163" t="s">
        <v>112</v>
      </c>
      <c r="E671" s="163" t="s">
        <v>112</v>
      </c>
      <c r="F671" s="173">
        <v>39063.0</v>
      </c>
      <c r="G671" s="169">
        <v>39052.0</v>
      </c>
      <c r="H671" s="42" t="str">
        <f t="shared" si="36"/>
        <v>2006</v>
      </c>
      <c r="I671" s="8" t="s">
        <v>186</v>
      </c>
      <c r="J671" s="163" t="s">
        <v>112</v>
      </c>
      <c r="K671" s="163" t="s">
        <v>112</v>
      </c>
      <c r="L671" s="167" t="s">
        <v>100</v>
      </c>
      <c r="M671" s="173" t="s">
        <v>112</v>
      </c>
      <c r="N671" s="174" t="s">
        <v>2424</v>
      </c>
      <c r="O671" s="45" t="s">
        <v>877</v>
      </c>
      <c r="P671" s="163" t="s">
        <v>106</v>
      </c>
      <c r="Q671" s="163" t="s">
        <v>112</v>
      </c>
      <c r="R671" s="163" t="s">
        <v>112</v>
      </c>
      <c r="S671" s="163" t="s">
        <v>112</v>
      </c>
      <c r="T671" s="163" t="s">
        <v>112</v>
      </c>
      <c r="U671" s="163" t="s">
        <v>112</v>
      </c>
      <c r="V671" s="167" t="s">
        <v>480</v>
      </c>
      <c r="W671" s="163" t="s">
        <v>112</v>
      </c>
      <c r="X671" s="163" t="s">
        <v>112</v>
      </c>
      <c r="Y671" s="163" t="s">
        <v>112</v>
      </c>
      <c r="Z671" s="8" t="s">
        <v>36</v>
      </c>
      <c r="AA671" s="23" t="s">
        <v>144</v>
      </c>
      <c r="AB671" s="21" t="s">
        <v>296</v>
      </c>
      <c r="AE671" s="24"/>
      <c r="AM671" s="24"/>
    </row>
    <row r="672" ht="15.75" customHeight="1">
      <c r="A672" s="8">
        <v>235.0</v>
      </c>
      <c r="B672" s="163" t="s">
        <v>2425</v>
      </c>
      <c r="C672" s="167" t="s">
        <v>48</v>
      </c>
      <c r="D672" s="163" t="s">
        <v>112</v>
      </c>
      <c r="E672" s="163" t="s">
        <v>112</v>
      </c>
      <c r="F672" s="173">
        <v>39064.0</v>
      </c>
      <c r="G672" s="169">
        <v>39052.0</v>
      </c>
      <c r="H672" s="42" t="str">
        <f t="shared" si="36"/>
        <v>2006</v>
      </c>
      <c r="I672" s="8" t="s">
        <v>172</v>
      </c>
      <c r="J672" s="163" t="s">
        <v>112</v>
      </c>
      <c r="K672" s="163" t="s">
        <v>112</v>
      </c>
      <c r="L672" s="167" t="s">
        <v>100</v>
      </c>
      <c r="M672" s="173" t="s">
        <v>112</v>
      </c>
      <c r="N672" s="174" t="s">
        <v>2426</v>
      </c>
      <c r="O672" s="45" t="s">
        <v>751</v>
      </c>
      <c r="P672" s="163" t="s">
        <v>106</v>
      </c>
      <c r="Q672" s="163" t="s">
        <v>112</v>
      </c>
      <c r="R672" s="163" t="s">
        <v>112</v>
      </c>
      <c r="S672" s="163" t="s">
        <v>112</v>
      </c>
      <c r="T672" s="163" t="s">
        <v>112</v>
      </c>
      <c r="U672" s="163" t="s">
        <v>112</v>
      </c>
      <c r="V672" s="167" t="s">
        <v>480</v>
      </c>
      <c r="W672" s="163" t="s">
        <v>112</v>
      </c>
      <c r="X672" s="163" t="s">
        <v>112</v>
      </c>
      <c r="Y672" s="163" t="s">
        <v>112</v>
      </c>
      <c r="Z672" s="8" t="s">
        <v>36</v>
      </c>
      <c r="AA672" s="23" t="s">
        <v>144</v>
      </c>
      <c r="AB672" s="21" t="s">
        <v>296</v>
      </c>
      <c r="AE672" s="24"/>
      <c r="AM672" s="24"/>
    </row>
    <row r="673" ht="15.75" customHeight="1">
      <c r="A673" s="8">
        <v>236.0</v>
      </c>
      <c r="B673" s="163" t="s">
        <v>2427</v>
      </c>
      <c r="C673" s="167" t="s">
        <v>58</v>
      </c>
      <c r="D673" s="163" t="s">
        <v>511</v>
      </c>
      <c r="E673" s="163" t="s">
        <v>112</v>
      </c>
      <c r="F673" s="173" t="s">
        <v>2428</v>
      </c>
      <c r="G673" s="169">
        <v>39052.0</v>
      </c>
      <c r="H673" s="50" t="str">
        <f t="shared" si="36"/>
        <v>2006</v>
      </c>
      <c r="I673" s="8" t="s">
        <v>176</v>
      </c>
      <c r="J673" s="163" t="s">
        <v>112</v>
      </c>
      <c r="K673" s="163" t="s">
        <v>112</v>
      </c>
      <c r="L673" s="163" t="s">
        <v>100</v>
      </c>
      <c r="M673" s="158" t="s">
        <v>177</v>
      </c>
      <c r="N673" s="170" t="s">
        <v>2429</v>
      </c>
      <c r="O673" s="108" t="s">
        <v>2430</v>
      </c>
      <c r="P673" s="163" t="s">
        <v>106</v>
      </c>
      <c r="Q673" s="163" t="s">
        <v>112</v>
      </c>
      <c r="R673" s="163" t="s">
        <v>112</v>
      </c>
      <c r="S673" s="278" t="s">
        <v>112</v>
      </c>
      <c r="T673" s="163" t="s">
        <v>112</v>
      </c>
      <c r="U673" s="163" t="s">
        <v>112</v>
      </c>
      <c r="V673" s="167" t="s">
        <v>480</v>
      </c>
      <c r="W673" s="163" t="s">
        <v>112</v>
      </c>
      <c r="X673" s="158">
        <v>1.0</v>
      </c>
      <c r="Y673" s="158" t="s">
        <v>2431</v>
      </c>
      <c r="Z673" s="8" t="s">
        <v>36</v>
      </c>
      <c r="AA673" s="23" t="s">
        <v>144</v>
      </c>
      <c r="AB673" s="21" t="s">
        <v>296</v>
      </c>
      <c r="AE673" s="24"/>
      <c r="AM673" s="24"/>
    </row>
    <row r="674" ht="15.75" customHeight="1">
      <c r="A674" s="8">
        <v>237.0</v>
      </c>
      <c r="B674" s="163" t="s">
        <v>2432</v>
      </c>
      <c r="C674" s="167" t="s">
        <v>48</v>
      </c>
      <c r="D674" s="163" t="s">
        <v>112</v>
      </c>
      <c r="E674" s="163" t="s">
        <v>112</v>
      </c>
      <c r="F674" s="163">
        <v>2007.0</v>
      </c>
      <c r="G674" s="169">
        <v>39264.0</v>
      </c>
      <c r="H674" s="42" t="str">
        <f t="shared" si="36"/>
        <v>2007</v>
      </c>
      <c r="I674" s="8" t="s">
        <v>186</v>
      </c>
      <c r="J674" s="163" t="s">
        <v>112</v>
      </c>
      <c r="K674" s="163" t="s">
        <v>112</v>
      </c>
      <c r="L674" s="167" t="s">
        <v>112</v>
      </c>
      <c r="M674" s="163" t="s">
        <v>112</v>
      </c>
      <c r="N674" s="174" t="s">
        <v>2433</v>
      </c>
      <c r="O674" s="45"/>
      <c r="P674" s="163" t="s">
        <v>106</v>
      </c>
      <c r="Q674" s="163" t="s">
        <v>112</v>
      </c>
      <c r="R674" s="163" t="s">
        <v>112</v>
      </c>
      <c r="S674" s="163" t="s">
        <v>112</v>
      </c>
      <c r="T674" s="163" t="s">
        <v>112</v>
      </c>
      <c r="U674" s="163" t="s">
        <v>112</v>
      </c>
      <c r="V674" s="167" t="s">
        <v>1980</v>
      </c>
      <c r="W674" s="163" t="s">
        <v>112</v>
      </c>
      <c r="X674" s="163" t="s">
        <v>112</v>
      </c>
      <c r="Y674" s="163" t="s">
        <v>112</v>
      </c>
      <c r="Z674" s="8" t="s">
        <v>36</v>
      </c>
      <c r="AA674" s="23" t="s">
        <v>144</v>
      </c>
      <c r="AB674" s="21" t="s">
        <v>296</v>
      </c>
      <c r="AE674" s="24"/>
      <c r="AM674" s="24"/>
    </row>
    <row r="675" ht="15.75" customHeight="1">
      <c r="A675" s="8">
        <v>238.0</v>
      </c>
      <c r="B675" s="163" t="s">
        <v>2434</v>
      </c>
      <c r="C675" s="167" t="s">
        <v>48</v>
      </c>
      <c r="D675" s="163" t="s">
        <v>112</v>
      </c>
      <c r="E675" s="163" t="s">
        <v>112</v>
      </c>
      <c r="F675" s="163">
        <v>2007.0</v>
      </c>
      <c r="G675" s="169">
        <v>39264.0</v>
      </c>
      <c r="H675" s="42" t="str">
        <f t="shared" si="36"/>
        <v>2007</v>
      </c>
      <c r="I675" s="8" t="s">
        <v>186</v>
      </c>
      <c r="J675" s="163" t="s">
        <v>112</v>
      </c>
      <c r="K675" s="163" t="s">
        <v>112</v>
      </c>
      <c r="L675" s="167" t="s">
        <v>112</v>
      </c>
      <c r="M675" s="163" t="s">
        <v>112</v>
      </c>
      <c r="N675" s="174" t="s">
        <v>2433</v>
      </c>
      <c r="O675" s="45"/>
      <c r="P675" s="163" t="s">
        <v>106</v>
      </c>
      <c r="Q675" s="163" t="s">
        <v>112</v>
      </c>
      <c r="R675" s="163" t="s">
        <v>112</v>
      </c>
      <c r="S675" s="163" t="s">
        <v>112</v>
      </c>
      <c r="T675" s="163" t="s">
        <v>112</v>
      </c>
      <c r="U675" s="163" t="s">
        <v>112</v>
      </c>
      <c r="V675" s="167" t="s">
        <v>1980</v>
      </c>
      <c r="W675" s="163" t="s">
        <v>112</v>
      </c>
      <c r="X675" s="163" t="s">
        <v>112</v>
      </c>
      <c r="Y675" s="163" t="s">
        <v>112</v>
      </c>
      <c r="Z675" s="8" t="s">
        <v>36</v>
      </c>
      <c r="AA675" s="23" t="s">
        <v>144</v>
      </c>
      <c r="AB675" s="21" t="s">
        <v>296</v>
      </c>
      <c r="AE675" s="24"/>
      <c r="AM675" s="24"/>
    </row>
    <row r="676" ht="15.75" customHeight="1">
      <c r="A676" s="8">
        <v>239.0</v>
      </c>
      <c r="B676" s="163" t="s">
        <v>2435</v>
      </c>
      <c r="C676" s="167" t="s">
        <v>48</v>
      </c>
      <c r="D676" s="163" t="s">
        <v>112</v>
      </c>
      <c r="E676" s="163" t="s">
        <v>112</v>
      </c>
      <c r="F676" s="163">
        <v>2007.0</v>
      </c>
      <c r="G676" s="169">
        <v>39264.0</v>
      </c>
      <c r="H676" s="42" t="str">
        <f t="shared" si="36"/>
        <v>2007</v>
      </c>
      <c r="I676" s="8" t="s">
        <v>186</v>
      </c>
      <c r="J676" s="163" t="s">
        <v>112</v>
      </c>
      <c r="K676" s="163" t="s">
        <v>112</v>
      </c>
      <c r="L676" s="167" t="s">
        <v>112</v>
      </c>
      <c r="M676" s="163" t="s">
        <v>112</v>
      </c>
      <c r="N676" s="174" t="s">
        <v>2433</v>
      </c>
      <c r="O676" s="45"/>
      <c r="P676" s="163" t="s">
        <v>106</v>
      </c>
      <c r="Q676" s="163" t="s">
        <v>112</v>
      </c>
      <c r="R676" s="163" t="s">
        <v>112</v>
      </c>
      <c r="S676" s="163" t="s">
        <v>112</v>
      </c>
      <c r="T676" s="163" t="s">
        <v>112</v>
      </c>
      <c r="U676" s="163" t="s">
        <v>112</v>
      </c>
      <c r="V676" s="167" t="s">
        <v>1980</v>
      </c>
      <c r="W676" s="163" t="s">
        <v>112</v>
      </c>
      <c r="X676" s="163" t="s">
        <v>112</v>
      </c>
      <c r="Y676" s="163" t="s">
        <v>112</v>
      </c>
      <c r="Z676" s="8" t="s">
        <v>36</v>
      </c>
      <c r="AA676" s="23" t="s">
        <v>144</v>
      </c>
      <c r="AB676" s="21" t="s">
        <v>296</v>
      </c>
      <c r="AE676" s="24"/>
      <c r="AM676" s="24"/>
    </row>
    <row r="677" ht="15.75" customHeight="1">
      <c r="A677" s="8">
        <v>240.0</v>
      </c>
      <c r="B677" s="163" t="s">
        <v>2436</v>
      </c>
      <c r="C677" s="167" t="s">
        <v>48</v>
      </c>
      <c r="D677" s="163" t="s">
        <v>112</v>
      </c>
      <c r="E677" s="163" t="s">
        <v>112</v>
      </c>
      <c r="F677" s="163">
        <v>2007.0</v>
      </c>
      <c r="G677" s="169">
        <v>39264.0</v>
      </c>
      <c r="H677" s="42" t="str">
        <f t="shared" si="36"/>
        <v>2007</v>
      </c>
      <c r="I677" s="8" t="s">
        <v>186</v>
      </c>
      <c r="J677" s="163" t="s">
        <v>112</v>
      </c>
      <c r="K677" s="163" t="s">
        <v>112</v>
      </c>
      <c r="L677" s="167" t="s">
        <v>1336</v>
      </c>
      <c r="M677" s="163" t="s">
        <v>112</v>
      </c>
      <c r="N677" s="174" t="s">
        <v>2437</v>
      </c>
      <c r="O677" s="45" t="s">
        <v>2438</v>
      </c>
      <c r="P677" s="163" t="s">
        <v>106</v>
      </c>
      <c r="Q677" s="163" t="s">
        <v>112</v>
      </c>
      <c r="R677" s="163" t="s">
        <v>112</v>
      </c>
      <c r="S677" s="163" t="s">
        <v>112</v>
      </c>
      <c r="T677" s="163" t="s">
        <v>112</v>
      </c>
      <c r="U677" s="163" t="s">
        <v>112</v>
      </c>
      <c r="V677" s="167" t="s">
        <v>1980</v>
      </c>
      <c r="W677" s="163" t="s">
        <v>112</v>
      </c>
      <c r="X677" s="163" t="s">
        <v>112</v>
      </c>
      <c r="Y677" s="163" t="s">
        <v>112</v>
      </c>
      <c r="Z677" s="8" t="s">
        <v>36</v>
      </c>
      <c r="AA677" s="23" t="s">
        <v>144</v>
      </c>
      <c r="AB677" s="21" t="s">
        <v>296</v>
      </c>
      <c r="AE677" s="24"/>
      <c r="AM677" s="24"/>
    </row>
    <row r="678" ht="15.75" customHeight="1">
      <c r="A678" s="8">
        <v>241.0</v>
      </c>
      <c r="B678" s="163" t="s">
        <v>2439</v>
      </c>
      <c r="C678" s="167" t="s">
        <v>48</v>
      </c>
      <c r="D678" s="181" t="s">
        <v>112</v>
      </c>
      <c r="E678" s="163" t="s">
        <v>112</v>
      </c>
      <c r="F678" s="163">
        <v>2007.0</v>
      </c>
      <c r="G678" s="183">
        <v>39264.0</v>
      </c>
      <c r="H678" s="42" t="str">
        <f t="shared" si="36"/>
        <v>2007</v>
      </c>
      <c r="I678" s="8" t="s">
        <v>176</v>
      </c>
      <c r="J678" s="181" t="s">
        <v>112</v>
      </c>
      <c r="K678" s="181" t="s">
        <v>112</v>
      </c>
      <c r="L678" s="167" t="s">
        <v>1336</v>
      </c>
      <c r="M678" s="168" t="s">
        <v>177</v>
      </c>
      <c r="N678" s="174" t="s">
        <v>112</v>
      </c>
      <c r="O678" s="45" t="s">
        <v>2440</v>
      </c>
      <c r="P678" s="163" t="s">
        <v>106</v>
      </c>
      <c r="Q678" s="181" t="s">
        <v>112</v>
      </c>
      <c r="R678" s="163" t="s">
        <v>112</v>
      </c>
      <c r="S678" s="163" t="s">
        <v>112</v>
      </c>
      <c r="T678" s="163" t="s">
        <v>112</v>
      </c>
      <c r="U678" s="163" t="s">
        <v>112</v>
      </c>
      <c r="V678" s="167" t="s">
        <v>836</v>
      </c>
      <c r="W678" s="181" t="s">
        <v>112</v>
      </c>
      <c r="X678" s="181" t="s">
        <v>112</v>
      </c>
      <c r="Y678" s="181" t="s">
        <v>112</v>
      </c>
      <c r="Z678" s="8" t="s">
        <v>36</v>
      </c>
      <c r="AA678" s="23" t="s">
        <v>144</v>
      </c>
      <c r="AB678" s="21" t="s">
        <v>296</v>
      </c>
      <c r="AE678" s="24"/>
      <c r="AM678" s="24"/>
    </row>
    <row r="679" ht="15.75" customHeight="1">
      <c r="A679" s="8">
        <v>242.0</v>
      </c>
      <c r="B679" s="163" t="s">
        <v>2441</v>
      </c>
      <c r="C679" s="167" t="s">
        <v>48</v>
      </c>
      <c r="D679" s="181" t="s">
        <v>112</v>
      </c>
      <c r="E679" s="163" t="s">
        <v>112</v>
      </c>
      <c r="F679" s="163">
        <v>2007.0</v>
      </c>
      <c r="G679" s="183">
        <v>39264.0</v>
      </c>
      <c r="H679" s="42" t="str">
        <f t="shared" si="36"/>
        <v>2007</v>
      </c>
      <c r="I679" s="8" t="s">
        <v>846</v>
      </c>
      <c r="J679" s="181" t="s">
        <v>112</v>
      </c>
      <c r="K679" s="181" t="s">
        <v>112</v>
      </c>
      <c r="L679" s="167" t="s">
        <v>1336</v>
      </c>
      <c r="M679" s="163" t="s">
        <v>177</v>
      </c>
      <c r="N679" s="174" t="s">
        <v>2442</v>
      </c>
      <c r="O679" s="45"/>
      <c r="P679" s="163" t="s">
        <v>106</v>
      </c>
      <c r="Q679" s="181" t="s">
        <v>112</v>
      </c>
      <c r="R679" s="163" t="s">
        <v>112</v>
      </c>
      <c r="S679" s="163" t="s">
        <v>112</v>
      </c>
      <c r="T679" s="163" t="s">
        <v>112</v>
      </c>
      <c r="U679" s="163" t="s">
        <v>112</v>
      </c>
      <c r="V679" s="167" t="s">
        <v>836</v>
      </c>
      <c r="W679" s="181" t="s">
        <v>112</v>
      </c>
      <c r="X679" s="181" t="s">
        <v>112</v>
      </c>
      <c r="Y679" s="181" t="s">
        <v>112</v>
      </c>
      <c r="Z679" s="8" t="s">
        <v>36</v>
      </c>
      <c r="AA679" s="23" t="s">
        <v>144</v>
      </c>
      <c r="AB679" s="21" t="s">
        <v>296</v>
      </c>
      <c r="AE679" s="24"/>
      <c r="AM679" s="24"/>
    </row>
    <row r="680" ht="15.75" customHeight="1">
      <c r="A680" s="8">
        <v>243.0</v>
      </c>
      <c r="B680" s="163" t="s">
        <v>2443</v>
      </c>
      <c r="C680" s="167" t="s">
        <v>48</v>
      </c>
      <c r="D680" s="181" t="s">
        <v>112</v>
      </c>
      <c r="E680" s="163" t="s">
        <v>112</v>
      </c>
      <c r="F680" s="163">
        <v>2007.0</v>
      </c>
      <c r="G680" s="183">
        <v>39264.0</v>
      </c>
      <c r="H680" s="42" t="str">
        <f t="shared" si="36"/>
        <v>2007</v>
      </c>
      <c r="I680" s="8" t="s">
        <v>774</v>
      </c>
      <c r="J680" s="181" t="s">
        <v>112</v>
      </c>
      <c r="K680" s="181" t="s">
        <v>112</v>
      </c>
      <c r="L680" s="167" t="s">
        <v>1336</v>
      </c>
      <c r="M680" s="168" t="s">
        <v>177</v>
      </c>
      <c r="N680" s="174" t="s">
        <v>2444</v>
      </c>
      <c r="O680" s="45" t="s">
        <v>2445</v>
      </c>
      <c r="P680" s="163" t="s">
        <v>106</v>
      </c>
      <c r="Q680" s="181" t="s">
        <v>112</v>
      </c>
      <c r="R680" s="163" t="s">
        <v>112</v>
      </c>
      <c r="S680" s="163" t="s">
        <v>112</v>
      </c>
      <c r="T680" s="163" t="s">
        <v>112</v>
      </c>
      <c r="U680" s="163" t="s">
        <v>112</v>
      </c>
      <c r="V680" s="167" t="s">
        <v>836</v>
      </c>
      <c r="W680" s="181" t="s">
        <v>112</v>
      </c>
      <c r="X680" s="181" t="s">
        <v>112</v>
      </c>
      <c r="Y680" s="181" t="s">
        <v>112</v>
      </c>
      <c r="Z680" s="8" t="s">
        <v>36</v>
      </c>
      <c r="AA680" s="23" t="s">
        <v>144</v>
      </c>
      <c r="AB680" s="21" t="s">
        <v>296</v>
      </c>
      <c r="AE680" s="24"/>
      <c r="AM680" s="24"/>
    </row>
    <row r="681" ht="15.75" customHeight="1">
      <c r="A681" s="8">
        <v>244.0</v>
      </c>
      <c r="B681" s="163" t="s">
        <v>2446</v>
      </c>
      <c r="C681" s="167" t="s">
        <v>48</v>
      </c>
      <c r="D681" s="181" t="s">
        <v>112</v>
      </c>
      <c r="E681" s="163" t="s">
        <v>112</v>
      </c>
      <c r="F681" s="163">
        <v>2007.0</v>
      </c>
      <c r="G681" s="183">
        <v>39264.0</v>
      </c>
      <c r="H681" s="42" t="str">
        <f t="shared" si="36"/>
        <v>2007</v>
      </c>
      <c r="I681" s="8" t="s">
        <v>186</v>
      </c>
      <c r="J681" s="181" t="s">
        <v>112</v>
      </c>
      <c r="K681" s="181" t="s">
        <v>112</v>
      </c>
      <c r="L681" s="167" t="s">
        <v>1336</v>
      </c>
      <c r="M681" s="163" t="s">
        <v>112</v>
      </c>
      <c r="N681" s="174" t="s">
        <v>2447</v>
      </c>
      <c r="O681" s="108" t="s">
        <v>2448</v>
      </c>
      <c r="P681" s="163" t="s">
        <v>106</v>
      </c>
      <c r="Q681" s="181" t="s">
        <v>112</v>
      </c>
      <c r="R681" s="163" t="s">
        <v>112</v>
      </c>
      <c r="S681" s="163" t="s">
        <v>112</v>
      </c>
      <c r="T681" s="163" t="s">
        <v>112</v>
      </c>
      <c r="U681" s="163" t="s">
        <v>112</v>
      </c>
      <c r="V681" s="167" t="s">
        <v>836</v>
      </c>
      <c r="W681" s="181" t="s">
        <v>112</v>
      </c>
      <c r="X681" s="181" t="s">
        <v>112</v>
      </c>
      <c r="Y681" s="181" t="s">
        <v>112</v>
      </c>
      <c r="Z681" s="8" t="s">
        <v>36</v>
      </c>
      <c r="AA681" s="23" t="s">
        <v>144</v>
      </c>
      <c r="AB681" s="21" t="s">
        <v>296</v>
      </c>
      <c r="AE681" s="24"/>
      <c r="AM681" s="24"/>
    </row>
    <row r="682" ht="15.75" customHeight="1">
      <c r="A682" s="8">
        <v>245.0</v>
      </c>
      <c r="B682" s="163" t="s">
        <v>2449</v>
      </c>
      <c r="C682" s="167" t="s">
        <v>48</v>
      </c>
      <c r="D682" s="181" t="s">
        <v>112</v>
      </c>
      <c r="E682" s="163" t="s">
        <v>112</v>
      </c>
      <c r="F682" s="163">
        <v>2007.0</v>
      </c>
      <c r="G682" s="183">
        <v>39264.0</v>
      </c>
      <c r="H682" s="42" t="str">
        <f t="shared" si="36"/>
        <v>2007</v>
      </c>
      <c r="I682" s="8" t="s">
        <v>186</v>
      </c>
      <c r="J682" s="181" t="s">
        <v>112</v>
      </c>
      <c r="K682" s="181" t="s">
        <v>112</v>
      </c>
      <c r="L682" s="167" t="s">
        <v>1336</v>
      </c>
      <c r="M682" s="163" t="s">
        <v>112</v>
      </c>
      <c r="N682" s="174" t="s">
        <v>2433</v>
      </c>
      <c r="O682" s="45"/>
      <c r="P682" s="163" t="s">
        <v>106</v>
      </c>
      <c r="Q682" s="181" t="s">
        <v>112</v>
      </c>
      <c r="R682" s="163" t="s">
        <v>112</v>
      </c>
      <c r="S682" s="163" t="s">
        <v>112</v>
      </c>
      <c r="T682" s="163" t="s">
        <v>112</v>
      </c>
      <c r="U682" s="163" t="s">
        <v>112</v>
      </c>
      <c r="V682" s="167" t="s">
        <v>836</v>
      </c>
      <c r="W682" s="181" t="s">
        <v>112</v>
      </c>
      <c r="X682" s="181" t="s">
        <v>112</v>
      </c>
      <c r="Y682" s="181" t="s">
        <v>112</v>
      </c>
      <c r="Z682" s="8" t="s">
        <v>36</v>
      </c>
      <c r="AA682" s="23" t="s">
        <v>144</v>
      </c>
      <c r="AB682" s="21" t="s">
        <v>296</v>
      </c>
      <c r="AE682" s="24"/>
      <c r="AM682" s="24"/>
    </row>
    <row r="683" ht="15.75" customHeight="1">
      <c r="A683" s="8">
        <v>246.0</v>
      </c>
      <c r="B683" s="163" t="s">
        <v>2450</v>
      </c>
      <c r="C683" s="167" t="s">
        <v>48</v>
      </c>
      <c r="D683" s="181" t="s">
        <v>112</v>
      </c>
      <c r="E683" s="163" t="s">
        <v>112</v>
      </c>
      <c r="F683" s="163">
        <v>2007.0</v>
      </c>
      <c r="G683" s="183">
        <v>39264.0</v>
      </c>
      <c r="H683" s="42" t="str">
        <f t="shared" si="36"/>
        <v>2007</v>
      </c>
      <c r="I683" s="8" t="s">
        <v>186</v>
      </c>
      <c r="J683" s="181" t="s">
        <v>112</v>
      </c>
      <c r="K683" s="181" t="s">
        <v>112</v>
      </c>
      <c r="L683" s="167" t="s">
        <v>1336</v>
      </c>
      <c r="M683" s="163" t="s">
        <v>112</v>
      </c>
      <c r="N683" s="174" t="s">
        <v>2447</v>
      </c>
      <c r="O683" s="45"/>
      <c r="P683" s="163" t="s">
        <v>106</v>
      </c>
      <c r="Q683" s="181" t="s">
        <v>112</v>
      </c>
      <c r="R683" s="163" t="s">
        <v>112</v>
      </c>
      <c r="S683" s="163" t="s">
        <v>112</v>
      </c>
      <c r="T683" s="163" t="s">
        <v>112</v>
      </c>
      <c r="U683" s="163" t="s">
        <v>112</v>
      </c>
      <c r="V683" s="167" t="s">
        <v>836</v>
      </c>
      <c r="W683" s="181" t="s">
        <v>112</v>
      </c>
      <c r="X683" s="181" t="s">
        <v>112</v>
      </c>
      <c r="Y683" s="181" t="s">
        <v>112</v>
      </c>
      <c r="Z683" s="8" t="s">
        <v>36</v>
      </c>
      <c r="AA683" s="23" t="s">
        <v>144</v>
      </c>
      <c r="AB683" s="21" t="s">
        <v>296</v>
      </c>
      <c r="AE683" s="24"/>
      <c r="AM683" s="24"/>
    </row>
    <row r="684" ht="15.75" customHeight="1">
      <c r="A684" s="8">
        <v>247.0</v>
      </c>
      <c r="B684" s="163" t="s">
        <v>2451</v>
      </c>
      <c r="C684" s="167" t="s">
        <v>48</v>
      </c>
      <c r="D684" s="181" t="s">
        <v>112</v>
      </c>
      <c r="E684" s="163" t="s">
        <v>112</v>
      </c>
      <c r="F684" s="163">
        <v>2007.0</v>
      </c>
      <c r="G684" s="183">
        <v>39264.0</v>
      </c>
      <c r="H684" s="42" t="str">
        <f t="shared" si="36"/>
        <v>2007</v>
      </c>
      <c r="I684" s="8" t="s">
        <v>186</v>
      </c>
      <c r="J684" s="181" t="s">
        <v>112</v>
      </c>
      <c r="K684" s="181" t="s">
        <v>112</v>
      </c>
      <c r="L684" s="167" t="s">
        <v>1336</v>
      </c>
      <c r="M684" s="163" t="s">
        <v>112</v>
      </c>
      <c r="N684" s="174" t="s">
        <v>2452</v>
      </c>
      <c r="O684" s="45" t="s">
        <v>2453</v>
      </c>
      <c r="P684" s="163" t="s">
        <v>106</v>
      </c>
      <c r="Q684" s="181" t="s">
        <v>112</v>
      </c>
      <c r="R684" s="163" t="s">
        <v>112</v>
      </c>
      <c r="S684" s="163" t="s">
        <v>112</v>
      </c>
      <c r="T684" s="163" t="s">
        <v>112</v>
      </c>
      <c r="U684" s="163" t="s">
        <v>112</v>
      </c>
      <c r="V684" s="167" t="s">
        <v>836</v>
      </c>
      <c r="W684" s="181" t="s">
        <v>112</v>
      </c>
      <c r="X684" s="181" t="s">
        <v>112</v>
      </c>
      <c r="Y684" s="181" t="s">
        <v>112</v>
      </c>
      <c r="Z684" s="8" t="s">
        <v>36</v>
      </c>
      <c r="AA684" s="23" t="s">
        <v>144</v>
      </c>
      <c r="AB684" s="21" t="s">
        <v>296</v>
      </c>
      <c r="AE684" s="24"/>
      <c r="AM684" s="24"/>
    </row>
    <row r="685" ht="15.75" customHeight="1">
      <c r="A685" s="8">
        <v>248.0</v>
      </c>
      <c r="B685" s="163" t="s">
        <v>2454</v>
      </c>
      <c r="C685" s="167" t="s">
        <v>48</v>
      </c>
      <c r="D685" s="181" t="s">
        <v>112</v>
      </c>
      <c r="E685" s="163" t="s">
        <v>112</v>
      </c>
      <c r="F685" s="163">
        <v>2007.0</v>
      </c>
      <c r="G685" s="183">
        <v>39264.0</v>
      </c>
      <c r="H685" s="42" t="str">
        <f t="shared" si="36"/>
        <v>2007</v>
      </c>
      <c r="I685" s="8" t="s">
        <v>186</v>
      </c>
      <c r="J685" s="181" t="s">
        <v>112</v>
      </c>
      <c r="K685" s="181" t="s">
        <v>112</v>
      </c>
      <c r="L685" s="167" t="s">
        <v>1336</v>
      </c>
      <c r="M685" s="163" t="s">
        <v>112</v>
      </c>
      <c r="N685" s="174" t="s">
        <v>2455</v>
      </c>
      <c r="O685" s="45"/>
      <c r="P685" s="163" t="s">
        <v>106</v>
      </c>
      <c r="Q685" s="181" t="s">
        <v>112</v>
      </c>
      <c r="R685" s="163" t="s">
        <v>112</v>
      </c>
      <c r="S685" s="163" t="s">
        <v>112</v>
      </c>
      <c r="T685" s="163" t="s">
        <v>112</v>
      </c>
      <c r="U685" s="163" t="s">
        <v>112</v>
      </c>
      <c r="V685" s="167" t="s">
        <v>836</v>
      </c>
      <c r="W685" s="181" t="s">
        <v>112</v>
      </c>
      <c r="X685" s="181" t="s">
        <v>112</v>
      </c>
      <c r="Y685" s="181" t="s">
        <v>112</v>
      </c>
      <c r="Z685" s="8" t="s">
        <v>36</v>
      </c>
      <c r="AA685" s="23" t="s">
        <v>144</v>
      </c>
      <c r="AB685" s="21" t="s">
        <v>296</v>
      </c>
      <c r="AE685" s="24"/>
      <c r="AM685" s="24"/>
    </row>
    <row r="686" ht="15.75" customHeight="1">
      <c r="A686" s="8">
        <v>249.0</v>
      </c>
      <c r="B686" s="163" t="s">
        <v>2456</v>
      </c>
      <c r="C686" s="167" t="s">
        <v>48</v>
      </c>
      <c r="D686" s="181" t="s">
        <v>112</v>
      </c>
      <c r="E686" s="163" t="s">
        <v>112</v>
      </c>
      <c r="F686" s="173">
        <v>39193.0</v>
      </c>
      <c r="G686" s="183">
        <v>39173.0</v>
      </c>
      <c r="H686" s="42" t="str">
        <f t="shared" si="36"/>
        <v>2007</v>
      </c>
      <c r="I686" s="8" t="s">
        <v>176</v>
      </c>
      <c r="J686" s="181" t="s">
        <v>112</v>
      </c>
      <c r="K686" s="181" t="s">
        <v>112</v>
      </c>
      <c r="L686" s="167" t="s">
        <v>112</v>
      </c>
      <c r="M686" s="163" t="s">
        <v>177</v>
      </c>
      <c r="N686" s="174" t="s">
        <v>112</v>
      </c>
      <c r="O686" s="45"/>
      <c r="P686" s="163" t="s">
        <v>106</v>
      </c>
      <c r="Q686" s="181" t="s">
        <v>112</v>
      </c>
      <c r="R686" s="163" t="s">
        <v>112</v>
      </c>
      <c r="S686" s="163" t="s">
        <v>112</v>
      </c>
      <c r="T686" s="163" t="s">
        <v>112</v>
      </c>
      <c r="U686" s="163" t="s">
        <v>112</v>
      </c>
      <c r="V686" s="167" t="s">
        <v>779</v>
      </c>
      <c r="W686" s="181" t="s">
        <v>112</v>
      </c>
      <c r="X686" s="181" t="s">
        <v>112</v>
      </c>
      <c r="Y686" s="181" t="s">
        <v>112</v>
      </c>
      <c r="Z686" s="8" t="s">
        <v>36</v>
      </c>
      <c r="AA686" s="23" t="s">
        <v>144</v>
      </c>
      <c r="AB686" s="21" t="s">
        <v>296</v>
      </c>
      <c r="AE686" s="24"/>
      <c r="AM686" s="24"/>
    </row>
    <row r="687" ht="15.75" customHeight="1">
      <c r="A687" s="8">
        <v>250.0</v>
      </c>
      <c r="B687" s="163" t="s">
        <v>2457</v>
      </c>
      <c r="C687" s="167" t="s">
        <v>48</v>
      </c>
      <c r="D687" s="181" t="s">
        <v>112</v>
      </c>
      <c r="E687" s="163" t="s">
        <v>112</v>
      </c>
      <c r="F687" s="173">
        <v>39193.0</v>
      </c>
      <c r="G687" s="183">
        <v>39173.0</v>
      </c>
      <c r="H687" s="42" t="str">
        <f t="shared" si="36"/>
        <v>2007</v>
      </c>
      <c r="I687" s="8" t="s">
        <v>846</v>
      </c>
      <c r="J687" s="181" t="s">
        <v>112</v>
      </c>
      <c r="K687" s="181" t="s">
        <v>112</v>
      </c>
      <c r="L687" s="167" t="s">
        <v>112</v>
      </c>
      <c r="M687" s="163" t="s">
        <v>177</v>
      </c>
      <c r="N687" s="174" t="s">
        <v>112</v>
      </c>
      <c r="O687" s="45"/>
      <c r="P687" s="163" t="s">
        <v>106</v>
      </c>
      <c r="Q687" s="181" t="s">
        <v>112</v>
      </c>
      <c r="R687" s="163" t="s">
        <v>112</v>
      </c>
      <c r="S687" s="163" t="s">
        <v>112</v>
      </c>
      <c r="T687" s="163" t="s">
        <v>112</v>
      </c>
      <c r="U687" s="163" t="s">
        <v>112</v>
      </c>
      <c r="V687" s="167" t="s">
        <v>779</v>
      </c>
      <c r="W687" s="181" t="s">
        <v>112</v>
      </c>
      <c r="X687" s="181" t="s">
        <v>112</v>
      </c>
      <c r="Y687" s="181" t="s">
        <v>112</v>
      </c>
      <c r="Z687" s="8" t="s">
        <v>36</v>
      </c>
      <c r="AA687" s="23" t="s">
        <v>144</v>
      </c>
      <c r="AB687" s="21" t="s">
        <v>296</v>
      </c>
      <c r="AE687" s="24"/>
      <c r="AM687" s="24"/>
    </row>
    <row r="688" ht="15.75" customHeight="1">
      <c r="A688" s="8">
        <v>252.0</v>
      </c>
      <c r="B688" s="163" t="s">
        <v>2458</v>
      </c>
      <c r="C688" s="167" t="s">
        <v>48</v>
      </c>
      <c r="D688" s="163" t="s">
        <v>112</v>
      </c>
      <c r="E688" s="163" t="s">
        <v>112</v>
      </c>
      <c r="F688" s="173">
        <v>39196.0</v>
      </c>
      <c r="G688" s="169">
        <v>39173.0</v>
      </c>
      <c r="H688" s="42" t="str">
        <f t="shared" si="36"/>
        <v>2007</v>
      </c>
      <c r="I688" s="8" t="s">
        <v>172</v>
      </c>
      <c r="J688" s="163" t="s">
        <v>112</v>
      </c>
      <c r="K688" s="163" t="s">
        <v>112</v>
      </c>
      <c r="L688" s="167" t="s">
        <v>112</v>
      </c>
      <c r="M688" s="173" t="s">
        <v>112</v>
      </c>
      <c r="N688" s="174" t="s">
        <v>2459</v>
      </c>
      <c r="O688" s="45"/>
      <c r="P688" s="163" t="s">
        <v>106</v>
      </c>
      <c r="Q688" s="163" t="s">
        <v>112</v>
      </c>
      <c r="R688" s="163" t="s">
        <v>112</v>
      </c>
      <c r="S688" s="163" t="s">
        <v>112</v>
      </c>
      <c r="T688" s="163" t="s">
        <v>112</v>
      </c>
      <c r="U688" s="163" t="s">
        <v>112</v>
      </c>
      <c r="V688" s="167" t="s">
        <v>717</v>
      </c>
      <c r="W688" s="163" t="s">
        <v>112</v>
      </c>
      <c r="X688" s="163" t="s">
        <v>112</v>
      </c>
      <c r="Y688" s="163" t="s">
        <v>112</v>
      </c>
      <c r="Z688" s="8" t="s">
        <v>36</v>
      </c>
      <c r="AA688" s="23" t="s">
        <v>144</v>
      </c>
      <c r="AB688" s="21" t="s">
        <v>296</v>
      </c>
      <c r="AE688" s="24"/>
      <c r="AM688" s="24"/>
    </row>
    <row r="689" ht="15.75" customHeight="1">
      <c r="A689" s="8">
        <v>253.0</v>
      </c>
      <c r="B689" s="163" t="s">
        <v>2460</v>
      </c>
      <c r="C689" s="167" t="s">
        <v>48</v>
      </c>
      <c r="D689" s="163" t="s">
        <v>112</v>
      </c>
      <c r="E689" s="163" t="s">
        <v>112</v>
      </c>
      <c r="F689" s="168">
        <v>39205.0</v>
      </c>
      <c r="G689" s="169">
        <v>39203.0</v>
      </c>
      <c r="H689" s="42" t="str">
        <f t="shared" si="36"/>
        <v>2007</v>
      </c>
      <c r="I689" s="8" t="s">
        <v>63</v>
      </c>
      <c r="J689" s="163" t="s">
        <v>112</v>
      </c>
      <c r="K689" s="163" t="s">
        <v>112</v>
      </c>
      <c r="L689" s="167" t="s">
        <v>112</v>
      </c>
      <c r="M689" s="168" t="s">
        <v>112</v>
      </c>
      <c r="N689" s="174" t="s">
        <v>112</v>
      </c>
      <c r="O689" s="45"/>
      <c r="P689" s="163" t="s">
        <v>106</v>
      </c>
      <c r="Q689" s="163" t="s">
        <v>112</v>
      </c>
      <c r="R689" s="167" t="s">
        <v>112</v>
      </c>
      <c r="S689" s="167" t="s">
        <v>112</v>
      </c>
      <c r="T689" s="163" t="s">
        <v>112</v>
      </c>
      <c r="U689" s="163" t="s">
        <v>112</v>
      </c>
      <c r="V689" s="167" t="s">
        <v>717</v>
      </c>
      <c r="W689" s="163" t="s">
        <v>112</v>
      </c>
      <c r="X689" s="163" t="s">
        <v>112</v>
      </c>
      <c r="Y689" s="163" t="s">
        <v>112</v>
      </c>
      <c r="Z689" s="8" t="s">
        <v>36</v>
      </c>
      <c r="AA689" s="23" t="s">
        <v>144</v>
      </c>
      <c r="AB689" s="21" t="s">
        <v>296</v>
      </c>
      <c r="AE689" s="24"/>
      <c r="AM689" s="24"/>
    </row>
    <row r="690" ht="15.75" customHeight="1">
      <c r="A690" s="8">
        <v>254.0</v>
      </c>
      <c r="B690" s="163" t="s">
        <v>2461</v>
      </c>
      <c r="C690" s="167" t="s">
        <v>48</v>
      </c>
      <c r="D690" s="181" t="s">
        <v>112</v>
      </c>
      <c r="E690" s="163" t="s">
        <v>112</v>
      </c>
      <c r="F690" s="173">
        <v>39206.0</v>
      </c>
      <c r="G690" s="183">
        <v>39203.0</v>
      </c>
      <c r="H690" s="42" t="str">
        <f t="shared" si="36"/>
        <v>2007</v>
      </c>
      <c r="I690" s="8" t="s">
        <v>186</v>
      </c>
      <c r="J690" s="181" t="s">
        <v>112</v>
      </c>
      <c r="K690" s="181" t="s">
        <v>112</v>
      </c>
      <c r="L690" s="167" t="s">
        <v>112</v>
      </c>
      <c r="M690" s="173" t="s">
        <v>112</v>
      </c>
      <c r="N690" s="174" t="s">
        <v>2462</v>
      </c>
      <c r="O690" s="45"/>
      <c r="P690" s="163" t="s">
        <v>106</v>
      </c>
      <c r="Q690" s="181" t="s">
        <v>112</v>
      </c>
      <c r="R690" s="163" t="s">
        <v>112</v>
      </c>
      <c r="S690" s="163" t="s">
        <v>112</v>
      </c>
      <c r="T690" s="163" t="s">
        <v>112</v>
      </c>
      <c r="U690" s="163" t="s">
        <v>112</v>
      </c>
      <c r="V690" s="167" t="s">
        <v>836</v>
      </c>
      <c r="W690" s="181" t="s">
        <v>112</v>
      </c>
      <c r="X690" s="181" t="s">
        <v>112</v>
      </c>
      <c r="Y690" s="181" t="s">
        <v>112</v>
      </c>
      <c r="Z690" s="8" t="s">
        <v>36</v>
      </c>
      <c r="AA690" s="23" t="s">
        <v>144</v>
      </c>
      <c r="AB690" s="21" t="s">
        <v>296</v>
      </c>
      <c r="AE690" s="24"/>
      <c r="AM690" s="24"/>
    </row>
    <row r="691" ht="15.75" customHeight="1">
      <c r="A691" s="8">
        <v>255.0</v>
      </c>
      <c r="B691" s="163" t="s">
        <v>2463</v>
      </c>
      <c r="C691" s="167" t="s">
        <v>48</v>
      </c>
      <c r="D691" s="163" t="s">
        <v>112</v>
      </c>
      <c r="E691" s="163" t="s">
        <v>112</v>
      </c>
      <c r="F691" s="173">
        <v>39211.0</v>
      </c>
      <c r="G691" s="169">
        <v>39203.0</v>
      </c>
      <c r="H691" s="42" t="str">
        <f t="shared" si="36"/>
        <v>2007</v>
      </c>
      <c r="I691" s="8" t="s">
        <v>63</v>
      </c>
      <c r="J691" s="163" t="s">
        <v>112</v>
      </c>
      <c r="K691" s="163" t="s">
        <v>112</v>
      </c>
      <c r="L691" s="167" t="s">
        <v>112</v>
      </c>
      <c r="M691" s="173" t="s">
        <v>112</v>
      </c>
      <c r="N691" s="174" t="s">
        <v>112</v>
      </c>
      <c r="O691" s="45"/>
      <c r="P691" s="163" t="s">
        <v>106</v>
      </c>
      <c r="Q691" s="163" t="s">
        <v>112</v>
      </c>
      <c r="R691" s="167" t="s">
        <v>112</v>
      </c>
      <c r="S691" s="167" t="s">
        <v>112</v>
      </c>
      <c r="T691" s="163" t="s">
        <v>112</v>
      </c>
      <c r="U691" s="163" t="s">
        <v>112</v>
      </c>
      <c r="V691" s="167" t="s">
        <v>717</v>
      </c>
      <c r="W691" s="163" t="s">
        <v>112</v>
      </c>
      <c r="X691" s="163" t="s">
        <v>112</v>
      </c>
      <c r="Y691" s="163" t="s">
        <v>112</v>
      </c>
      <c r="Z691" s="8" t="s">
        <v>36</v>
      </c>
      <c r="AA691" s="23" t="s">
        <v>144</v>
      </c>
      <c r="AB691" s="21" t="s">
        <v>296</v>
      </c>
      <c r="AE691" s="24"/>
      <c r="AM691" s="24"/>
    </row>
    <row r="692" ht="15.75" customHeight="1">
      <c r="A692" s="8">
        <v>256.0</v>
      </c>
      <c r="B692" s="163" t="s">
        <v>2464</v>
      </c>
      <c r="C692" s="167" t="s">
        <v>48</v>
      </c>
      <c r="D692" s="181" t="s">
        <v>112</v>
      </c>
      <c r="E692" s="163" t="s">
        <v>112</v>
      </c>
      <c r="F692" s="173">
        <v>39272.0</v>
      </c>
      <c r="G692" s="183">
        <v>39264.0</v>
      </c>
      <c r="H692" s="42" t="str">
        <f t="shared" si="36"/>
        <v>2007</v>
      </c>
      <c r="I692" s="8" t="s">
        <v>176</v>
      </c>
      <c r="J692" s="181" t="s">
        <v>112</v>
      </c>
      <c r="K692" s="181" t="s">
        <v>112</v>
      </c>
      <c r="L692" s="163" t="s">
        <v>100</v>
      </c>
      <c r="M692" s="173" t="s">
        <v>177</v>
      </c>
      <c r="N692" s="174" t="s">
        <v>2465</v>
      </c>
      <c r="O692" s="45" t="s">
        <v>2466</v>
      </c>
      <c r="P692" s="163" t="s">
        <v>106</v>
      </c>
      <c r="Q692" s="181" t="s">
        <v>112</v>
      </c>
      <c r="R692" s="163" t="s">
        <v>112</v>
      </c>
      <c r="S692" s="163" t="s">
        <v>112</v>
      </c>
      <c r="T692" s="163" t="s">
        <v>112</v>
      </c>
      <c r="U692" s="163" t="s">
        <v>112</v>
      </c>
      <c r="V692" s="167" t="s">
        <v>779</v>
      </c>
      <c r="W692" s="181" t="s">
        <v>112</v>
      </c>
      <c r="X692" s="181" t="s">
        <v>112</v>
      </c>
      <c r="Y692" s="181" t="s">
        <v>112</v>
      </c>
      <c r="Z692" s="8" t="s">
        <v>36</v>
      </c>
      <c r="AA692" s="23" t="s">
        <v>144</v>
      </c>
      <c r="AB692" s="21" t="s">
        <v>296</v>
      </c>
      <c r="AE692" s="24"/>
      <c r="AM692" s="24"/>
    </row>
    <row r="693" ht="15.75" customHeight="1">
      <c r="A693" s="8">
        <v>257.0</v>
      </c>
      <c r="B693" s="163" t="s">
        <v>2467</v>
      </c>
      <c r="C693" s="167" t="s">
        <v>48</v>
      </c>
      <c r="D693" s="163" t="s">
        <v>112</v>
      </c>
      <c r="E693" s="163" t="s">
        <v>112</v>
      </c>
      <c r="F693" s="168">
        <v>39289.0</v>
      </c>
      <c r="G693" s="169">
        <v>39264.0</v>
      </c>
      <c r="H693" s="42" t="str">
        <f t="shared" si="36"/>
        <v>2007</v>
      </c>
      <c r="I693" s="8" t="s">
        <v>186</v>
      </c>
      <c r="J693" s="163" t="s">
        <v>112</v>
      </c>
      <c r="K693" s="163" t="s">
        <v>112</v>
      </c>
      <c r="L693" s="167" t="s">
        <v>112</v>
      </c>
      <c r="M693" s="168" t="s">
        <v>112</v>
      </c>
      <c r="N693" s="174" t="s">
        <v>112</v>
      </c>
      <c r="O693" s="45"/>
      <c r="P693" s="163" t="s">
        <v>106</v>
      </c>
      <c r="Q693" s="163" t="s">
        <v>112</v>
      </c>
      <c r="R693" s="167" t="s">
        <v>112</v>
      </c>
      <c r="S693" s="167" t="s">
        <v>112</v>
      </c>
      <c r="T693" s="163" t="s">
        <v>112</v>
      </c>
      <c r="U693" s="163" t="s">
        <v>112</v>
      </c>
      <c r="V693" s="167" t="s">
        <v>2468</v>
      </c>
      <c r="W693" s="163" t="s">
        <v>112</v>
      </c>
      <c r="X693" s="163" t="s">
        <v>112</v>
      </c>
      <c r="Y693" s="163" t="s">
        <v>112</v>
      </c>
      <c r="Z693" s="8" t="s">
        <v>36</v>
      </c>
      <c r="AA693" s="23" t="s">
        <v>144</v>
      </c>
      <c r="AB693" s="21" t="s">
        <v>296</v>
      </c>
      <c r="AE693" s="24"/>
      <c r="AM693" s="24"/>
    </row>
    <row r="694" ht="15.75" customHeight="1">
      <c r="A694" s="8">
        <v>258.0</v>
      </c>
      <c r="B694" s="163" t="s">
        <v>2469</v>
      </c>
      <c r="C694" s="167" t="s">
        <v>48</v>
      </c>
      <c r="D694" s="163" t="s">
        <v>112</v>
      </c>
      <c r="E694" s="163" t="s">
        <v>112</v>
      </c>
      <c r="F694" s="173">
        <v>39289.0</v>
      </c>
      <c r="G694" s="169">
        <v>39264.0</v>
      </c>
      <c r="H694" s="42" t="str">
        <f t="shared" si="36"/>
        <v>2007</v>
      </c>
      <c r="I694" s="8" t="s">
        <v>176</v>
      </c>
      <c r="J694" s="163" t="s">
        <v>112</v>
      </c>
      <c r="K694" s="163" t="s">
        <v>112</v>
      </c>
      <c r="L694" s="167" t="s">
        <v>112</v>
      </c>
      <c r="M694" s="163" t="s">
        <v>177</v>
      </c>
      <c r="N694" s="174" t="s">
        <v>2470</v>
      </c>
      <c r="O694" s="45"/>
      <c r="P694" s="163" t="s">
        <v>106</v>
      </c>
      <c r="Q694" s="163" t="s">
        <v>112</v>
      </c>
      <c r="R694" s="167" t="s">
        <v>112</v>
      </c>
      <c r="S694" s="167" t="s">
        <v>112</v>
      </c>
      <c r="T694" s="163" t="s">
        <v>112</v>
      </c>
      <c r="U694" s="163" t="s">
        <v>112</v>
      </c>
      <c r="V694" s="167" t="s">
        <v>2468</v>
      </c>
      <c r="W694" s="163" t="s">
        <v>112</v>
      </c>
      <c r="X694" s="163" t="s">
        <v>112</v>
      </c>
      <c r="Y694" s="163" t="s">
        <v>112</v>
      </c>
      <c r="Z694" s="8" t="s">
        <v>36</v>
      </c>
      <c r="AA694" s="23" t="s">
        <v>144</v>
      </c>
      <c r="AB694" s="21" t="s">
        <v>296</v>
      </c>
      <c r="AE694" s="24"/>
      <c r="AM694" s="24"/>
    </row>
    <row r="695" ht="15.75" customHeight="1">
      <c r="A695" s="8">
        <v>259.0</v>
      </c>
      <c r="B695" s="163" t="s">
        <v>2471</v>
      </c>
      <c r="C695" s="167" t="s">
        <v>48</v>
      </c>
      <c r="D695" s="163" t="s">
        <v>112</v>
      </c>
      <c r="E695" s="163" t="s">
        <v>112</v>
      </c>
      <c r="F695" s="173">
        <v>39293.0</v>
      </c>
      <c r="G695" s="169">
        <v>39264.0</v>
      </c>
      <c r="H695" s="42" t="str">
        <f t="shared" si="36"/>
        <v>2007</v>
      </c>
      <c r="I695" s="8" t="s">
        <v>63</v>
      </c>
      <c r="J695" s="163" t="s">
        <v>112</v>
      </c>
      <c r="K695" s="163" t="s">
        <v>112</v>
      </c>
      <c r="L695" s="167" t="s">
        <v>112</v>
      </c>
      <c r="M695" s="173" t="s">
        <v>112</v>
      </c>
      <c r="N695" s="174" t="s">
        <v>112</v>
      </c>
      <c r="O695" s="45"/>
      <c r="P695" s="163" t="s">
        <v>106</v>
      </c>
      <c r="Q695" s="163" t="s">
        <v>112</v>
      </c>
      <c r="R695" s="167" t="s">
        <v>112</v>
      </c>
      <c r="S695" s="167" t="s">
        <v>112</v>
      </c>
      <c r="T695" s="163" t="s">
        <v>112</v>
      </c>
      <c r="U695" s="163" t="s">
        <v>112</v>
      </c>
      <c r="V695" s="167" t="s">
        <v>2468</v>
      </c>
      <c r="W695" s="163" t="s">
        <v>112</v>
      </c>
      <c r="X695" s="163" t="s">
        <v>112</v>
      </c>
      <c r="Y695" s="163" t="s">
        <v>112</v>
      </c>
      <c r="Z695" s="8" t="s">
        <v>36</v>
      </c>
      <c r="AA695" s="23" t="s">
        <v>144</v>
      </c>
      <c r="AB695" s="21" t="s">
        <v>296</v>
      </c>
      <c r="AE695" s="24"/>
      <c r="AM695" s="24"/>
    </row>
    <row r="696" ht="15.75" customHeight="1">
      <c r="A696" s="8">
        <v>260.0</v>
      </c>
      <c r="B696" s="163" t="s">
        <v>2472</v>
      </c>
      <c r="C696" s="167" t="s">
        <v>48</v>
      </c>
      <c r="D696" s="163" t="s">
        <v>112</v>
      </c>
      <c r="E696" s="163" t="s">
        <v>112</v>
      </c>
      <c r="F696" s="173">
        <v>39302.0</v>
      </c>
      <c r="G696" s="164">
        <v>39295.0</v>
      </c>
      <c r="H696" s="42" t="str">
        <f t="shared" si="36"/>
        <v>2007</v>
      </c>
      <c r="I696" s="8" t="s">
        <v>176</v>
      </c>
      <c r="J696" s="163" t="s">
        <v>112</v>
      </c>
      <c r="K696" s="163" t="s">
        <v>112</v>
      </c>
      <c r="L696" s="167" t="s">
        <v>1336</v>
      </c>
      <c r="M696" s="168" t="s">
        <v>177</v>
      </c>
      <c r="N696" s="174" t="s">
        <v>112</v>
      </c>
      <c r="O696" s="45" t="s">
        <v>2473</v>
      </c>
      <c r="P696" s="163" t="s">
        <v>106</v>
      </c>
      <c r="Q696" s="163" t="s">
        <v>112</v>
      </c>
      <c r="R696" s="163" t="s">
        <v>112</v>
      </c>
      <c r="S696" s="163" t="s">
        <v>112</v>
      </c>
      <c r="T696" s="163" t="s">
        <v>112</v>
      </c>
      <c r="U696" s="163" t="s">
        <v>112</v>
      </c>
      <c r="V696" s="167" t="s">
        <v>1980</v>
      </c>
      <c r="W696" s="163" t="s">
        <v>112</v>
      </c>
      <c r="X696" s="163" t="s">
        <v>112</v>
      </c>
      <c r="Y696" s="163" t="s">
        <v>112</v>
      </c>
      <c r="Z696" s="8" t="s">
        <v>36</v>
      </c>
      <c r="AA696" s="23" t="s">
        <v>144</v>
      </c>
      <c r="AB696" s="21" t="s">
        <v>296</v>
      </c>
      <c r="AE696" s="24"/>
      <c r="AM696" s="24"/>
    </row>
    <row r="697" ht="15.75" customHeight="1">
      <c r="A697" s="8">
        <v>261.0</v>
      </c>
      <c r="B697" s="163" t="s">
        <v>2474</v>
      </c>
      <c r="C697" s="167" t="s">
        <v>48</v>
      </c>
      <c r="D697" s="163" t="s">
        <v>112</v>
      </c>
      <c r="E697" s="163" t="s">
        <v>112</v>
      </c>
      <c r="F697" s="173">
        <v>39302.0</v>
      </c>
      <c r="G697" s="164">
        <v>39295.0</v>
      </c>
      <c r="H697" s="42" t="str">
        <f t="shared" si="36"/>
        <v>2007</v>
      </c>
      <c r="I697" s="8" t="s">
        <v>186</v>
      </c>
      <c r="J697" s="163" t="s">
        <v>112</v>
      </c>
      <c r="K697" s="163" t="s">
        <v>112</v>
      </c>
      <c r="L697" s="167" t="s">
        <v>1336</v>
      </c>
      <c r="M697" s="173" t="s">
        <v>112</v>
      </c>
      <c r="N697" s="174" t="s">
        <v>2475</v>
      </c>
      <c r="O697" s="45" t="s">
        <v>2473</v>
      </c>
      <c r="P697" s="163" t="s">
        <v>106</v>
      </c>
      <c r="Q697" s="163" t="s">
        <v>112</v>
      </c>
      <c r="R697" s="163" t="s">
        <v>112</v>
      </c>
      <c r="S697" s="163" t="s">
        <v>112</v>
      </c>
      <c r="T697" s="163" t="s">
        <v>112</v>
      </c>
      <c r="U697" s="163" t="s">
        <v>112</v>
      </c>
      <c r="V697" s="167" t="s">
        <v>1980</v>
      </c>
      <c r="W697" s="163" t="s">
        <v>112</v>
      </c>
      <c r="X697" s="163" t="s">
        <v>112</v>
      </c>
      <c r="Y697" s="163" t="s">
        <v>112</v>
      </c>
      <c r="Z697" s="8" t="s">
        <v>36</v>
      </c>
      <c r="AA697" s="23" t="s">
        <v>144</v>
      </c>
      <c r="AB697" s="21" t="s">
        <v>296</v>
      </c>
      <c r="AE697" s="24"/>
      <c r="AM697" s="24"/>
    </row>
    <row r="698" ht="15.75" customHeight="1">
      <c r="A698" s="8">
        <v>262.0</v>
      </c>
      <c r="B698" s="163" t="s">
        <v>2476</v>
      </c>
      <c r="C698" s="167" t="s">
        <v>48</v>
      </c>
      <c r="D698" s="163" t="s">
        <v>112</v>
      </c>
      <c r="E698" s="163" t="s">
        <v>112</v>
      </c>
      <c r="F698" s="173">
        <v>39302.0</v>
      </c>
      <c r="G698" s="164">
        <v>39295.0</v>
      </c>
      <c r="H698" s="42" t="str">
        <f t="shared" si="36"/>
        <v>2007</v>
      </c>
      <c r="I698" s="8" t="s">
        <v>186</v>
      </c>
      <c r="J698" s="163" t="s">
        <v>112</v>
      </c>
      <c r="K698" s="163" t="s">
        <v>112</v>
      </c>
      <c r="L698" s="167" t="s">
        <v>1336</v>
      </c>
      <c r="M698" s="173" t="s">
        <v>112</v>
      </c>
      <c r="N698" s="174" t="s">
        <v>2477</v>
      </c>
      <c r="O698" s="45" t="s">
        <v>2478</v>
      </c>
      <c r="P698" s="163" t="s">
        <v>106</v>
      </c>
      <c r="Q698" s="163" t="s">
        <v>112</v>
      </c>
      <c r="R698" s="163" t="s">
        <v>112</v>
      </c>
      <c r="S698" s="163" t="s">
        <v>112</v>
      </c>
      <c r="T698" s="163" t="s">
        <v>112</v>
      </c>
      <c r="U698" s="163" t="s">
        <v>112</v>
      </c>
      <c r="V698" s="167" t="s">
        <v>1980</v>
      </c>
      <c r="W698" s="163" t="s">
        <v>112</v>
      </c>
      <c r="X698" s="163" t="s">
        <v>112</v>
      </c>
      <c r="Y698" s="163" t="s">
        <v>112</v>
      </c>
      <c r="Z698" s="8" t="s">
        <v>36</v>
      </c>
      <c r="AA698" s="23" t="s">
        <v>144</v>
      </c>
      <c r="AB698" s="21" t="s">
        <v>296</v>
      </c>
      <c r="AE698" s="24"/>
      <c r="AM698" s="24"/>
    </row>
    <row r="699" ht="15.75" customHeight="1">
      <c r="A699" s="8">
        <v>263.0</v>
      </c>
      <c r="B699" s="163" t="s">
        <v>2479</v>
      </c>
      <c r="C699" s="167" t="s">
        <v>48</v>
      </c>
      <c r="D699" s="163" t="s">
        <v>112</v>
      </c>
      <c r="E699" s="163" t="s">
        <v>112</v>
      </c>
      <c r="F699" s="173">
        <v>39302.0</v>
      </c>
      <c r="G699" s="164">
        <v>39295.0</v>
      </c>
      <c r="H699" s="42" t="str">
        <f t="shared" si="36"/>
        <v>2007</v>
      </c>
      <c r="I699" s="8" t="s">
        <v>172</v>
      </c>
      <c r="J699" s="163" t="s">
        <v>112</v>
      </c>
      <c r="K699" s="163" t="s">
        <v>112</v>
      </c>
      <c r="L699" s="167" t="s">
        <v>1336</v>
      </c>
      <c r="M699" s="173" t="s">
        <v>112</v>
      </c>
      <c r="N699" s="174" t="s">
        <v>2480</v>
      </c>
      <c r="O699" s="45" t="s">
        <v>2478</v>
      </c>
      <c r="P699" s="163" t="s">
        <v>106</v>
      </c>
      <c r="Q699" s="163" t="s">
        <v>112</v>
      </c>
      <c r="R699" s="163" t="s">
        <v>112</v>
      </c>
      <c r="S699" s="163" t="s">
        <v>112</v>
      </c>
      <c r="T699" s="163" t="s">
        <v>112</v>
      </c>
      <c r="U699" s="163" t="s">
        <v>112</v>
      </c>
      <c r="V699" s="167" t="s">
        <v>1980</v>
      </c>
      <c r="W699" s="163" t="s">
        <v>112</v>
      </c>
      <c r="X699" s="163" t="s">
        <v>112</v>
      </c>
      <c r="Y699" s="163" t="s">
        <v>112</v>
      </c>
      <c r="Z699" s="8" t="s">
        <v>36</v>
      </c>
      <c r="AA699" s="23" t="s">
        <v>144</v>
      </c>
      <c r="AB699" s="21" t="s">
        <v>296</v>
      </c>
      <c r="AE699" s="24"/>
      <c r="AM699" s="24"/>
    </row>
    <row r="700" ht="15.75" customHeight="1">
      <c r="A700" s="8">
        <v>264.0</v>
      </c>
      <c r="B700" s="163" t="s">
        <v>2481</v>
      </c>
      <c r="C700" s="167" t="s">
        <v>48</v>
      </c>
      <c r="D700" s="163" t="s">
        <v>112</v>
      </c>
      <c r="E700" s="163" t="s">
        <v>112</v>
      </c>
      <c r="F700" s="173">
        <v>39302.0</v>
      </c>
      <c r="G700" s="164">
        <v>39295.0</v>
      </c>
      <c r="H700" s="42" t="str">
        <f t="shared" si="36"/>
        <v>2007</v>
      </c>
      <c r="I700" s="8" t="s">
        <v>172</v>
      </c>
      <c r="J700" s="163" t="s">
        <v>112</v>
      </c>
      <c r="K700" s="163" t="s">
        <v>112</v>
      </c>
      <c r="L700" s="167" t="s">
        <v>112</v>
      </c>
      <c r="M700" s="173" t="s">
        <v>112</v>
      </c>
      <c r="N700" s="174" t="s">
        <v>2482</v>
      </c>
      <c r="O700" s="45"/>
      <c r="P700" s="163" t="s">
        <v>106</v>
      </c>
      <c r="Q700" s="163" t="s">
        <v>112</v>
      </c>
      <c r="R700" s="163" t="s">
        <v>112</v>
      </c>
      <c r="S700" s="163" t="s">
        <v>112</v>
      </c>
      <c r="T700" s="163" t="s">
        <v>112</v>
      </c>
      <c r="U700" s="163" t="s">
        <v>112</v>
      </c>
      <c r="V700" s="167" t="s">
        <v>1980</v>
      </c>
      <c r="W700" s="163" t="s">
        <v>112</v>
      </c>
      <c r="X700" s="163" t="s">
        <v>112</v>
      </c>
      <c r="Y700" s="163" t="s">
        <v>112</v>
      </c>
      <c r="Z700" s="8" t="s">
        <v>36</v>
      </c>
      <c r="AA700" s="23" t="s">
        <v>144</v>
      </c>
      <c r="AB700" s="21" t="s">
        <v>296</v>
      </c>
      <c r="AE700" s="24"/>
      <c r="AM700" s="24"/>
    </row>
    <row r="701" ht="15.75" customHeight="1">
      <c r="A701" s="8">
        <v>265.0</v>
      </c>
      <c r="B701" s="163" t="s">
        <v>2483</v>
      </c>
      <c r="C701" s="167" t="s">
        <v>48</v>
      </c>
      <c r="D701" s="163" t="s">
        <v>112</v>
      </c>
      <c r="E701" s="163" t="s">
        <v>112</v>
      </c>
      <c r="F701" s="173">
        <v>39302.0</v>
      </c>
      <c r="G701" s="164">
        <v>39295.0</v>
      </c>
      <c r="H701" s="42" t="str">
        <f t="shared" si="36"/>
        <v>2007</v>
      </c>
      <c r="I701" s="8" t="s">
        <v>186</v>
      </c>
      <c r="J701" s="163" t="s">
        <v>112</v>
      </c>
      <c r="K701" s="163" t="s">
        <v>112</v>
      </c>
      <c r="L701" s="167" t="s">
        <v>1336</v>
      </c>
      <c r="M701" s="173" t="s">
        <v>112</v>
      </c>
      <c r="N701" s="174" t="s">
        <v>2484</v>
      </c>
      <c r="O701" s="45" t="s">
        <v>2485</v>
      </c>
      <c r="P701" s="163" t="s">
        <v>106</v>
      </c>
      <c r="Q701" s="163" t="s">
        <v>112</v>
      </c>
      <c r="R701" s="163" t="s">
        <v>112</v>
      </c>
      <c r="S701" s="163" t="s">
        <v>112</v>
      </c>
      <c r="T701" s="163" t="s">
        <v>112</v>
      </c>
      <c r="U701" s="163" t="s">
        <v>112</v>
      </c>
      <c r="V701" s="167" t="s">
        <v>1980</v>
      </c>
      <c r="W701" s="163" t="s">
        <v>112</v>
      </c>
      <c r="X701" s="163" t="s">
        <v>112</v>
      </c>
      <c r="Y701" s="163" t="s">
        <v>112</v>
      </c>
      <c r="Z701" s="8" t="s">
        <v>36</v>
      </c>
      <c r="AA701" s="23" t="s">
        <v>144</v>
      </c>
      <c r="AB701" s="21" t="s">
        <v>296</v>
      </c>
      <c r="AE701" s="24"/>
      <c r="AM701" s="24"/>
    </row>
    <row r="702" ht="15.75" customHeight="1">
      <c r="A702" s="8">
        <v>266.0</v>
      </c>
      <c r="B702" s="163" t="s">
        <v>2486</v>
      </c>
      <c r="C702" s="167" t="s">
        <v>48</v>
      </c>
      <c r="D702" s="163" t="s">
        <v>112</v>
      </c>
      <c r="E702" s="163" t="s">
        <v>112</v>
      </c>
      <c r="F702" s="173">
        <v>39302.0</v>
      </c>
      <c r="G702" s="164">
        <v>39295.0</v>
      </c>
      <c r="H702" s="42" t="str">
        <f t="shared" si="36"/>
        <v>2007</v>
      </c>
      <c r="I702" s="8" t="s">
        <v>186</v>
      </c>
      <c r="J702" s="163" t="s">
        <v>112</v>
      </c>
      <c r="K702" s="163" t="s">
        <v>112</v>
      </c>
      <c r="L702" s="167" t="s">
        <v>1336</v>
      </c>
      <c r="M702" s="173" t="s">
        <v>112</v>
      </c>
      <c r="N702" s="174" t="s">
        <v>112</v>
      </c>
      <c r="O702" s="45" t="s">
        <v>2487</v>
      </c>
      <c r="P702" s="163" t="s">
        <v>106</v>
      </c>
      <c r="Q702" s="163" t="s">
        <v>112</v>
      </c>
      <c r="R702" s="163" t="s">
        <v>112</v>
      </c>
      <c r="S702" s="163" t="s">
        <v>112</v>
      </c>
      <c r="T702" s="163" t="s">
        <v>112</v>
      </c>
      <c r="U702" s="163" t="s">
        <v>112</v>
      </c>
      <c r="V702" s="167" t="s">
        <v>1980</v>
      </c>
      <c r="W702" s="163" t="s">
        <v>112</v>
      </c>
      <c r="X702" s="163" t="s">
        <v>112</v>
      </c>
      <c r="Y702" s="163" t="s">
        <v>112</v>
      </c>
      <c r="Z702" s="8" t="s">
        <v>36</v>
      </c>
      <c r="AA702" s="23" t="s">
        <v>144</v>
      </c>
      <c r="AB702" s="21" t="s">
        <v>296</v>
      </c>
      <c r="AE702" s="24"/>
      <c r="AM702" s="24"/>
    </row>
    <row r="703" ht="15.75" customHeight="1">
      <c r="A703" s="8">
        <v>267.0</v>
      </c>
      <c r="B703" s="163" t="s">
        <v>2488</v>
      </c>
      <c r="C703" s="167" t="s">
        <v>48</v>
      </c>
      <c r="D703" s="163" t="s">
        <v>112</v>
      </c>
      <c r="E703" s="163" t="s">
        <v>112</v>
      </c>
      <c r="F703" s="173">
        <v>39303.0</v>
      </c>
      <c r="G703" s="164">
        <v>39295.0</v>
      </c>
      <c r="H703" s="42" t="str">
        <f t="shared" si="36"/>
        <v>2007</v>
      </c>
      <c r="I703" s="8" t="s">
        <v>63</v>
      </c>
      <c r="J703" s="163" t="s">
        <v>112</v>
      </c>
      <c r="K703" s="163" t="s">
        <v>112</v>
      </c>
      <c r="L703" s="167" t="s">
        <v>112</v>
      </c>
      <c r="M703" s="173" t="s">
        <v>112</v>
      </c>
      <c r="N703" s="174" t="s">
        <v>2489</v>
      </c>
      <c r="O703" s="45"/>
      <c r="P703" s="163" t="s">
        <v>106</v>
      </c>
      <c r="Q703" s="163" t="s">
        <v>112</v>
      </c>
      <c r="R703" s="163" t="s">
        <v>112</v>
      </c>
      <c r="S703" s="163" t="s">
        <v>112</v>
      </c>
      <c r="T703" s="163" t="s">
        <v>112</v>
      </c>
      <c r="U703" s="163" t="s">
        <v>112</v>
      </c>
      <c r="V703" s="167" t="s">
        <v>1980</v>
      </c>
      <c r="W703" s="163" t="s">
        <v>112</v>
      </c>
      <c r="X703" s="163" t="s">
        <v>112</v>
      </c>
      <c r="Y703" s="163" t="s">
        <v>112</v>
      </c>
      <c r="Z703" s="8" t="s">
        <v>36</v>
      </c>
      <c r="AA703" s="23" t="s">
        <v>144</v>
      </c>
      <c r="AB703" s="21" t="s">
        <v>296</v>
      </c>
      <c r="AE703" s="24"/>
      <c r="AM703" s="24"/>
    </row>
    <row r="704" ht="15.75" customHeight="1">
      <c r="A704" s="8">
        <v>270.0</v>
      </c>
      <c r="B704" s="163" t="s">
        <v>2490</v>
      </c>
      <c r="C704" s="167" t="s">
        <v>48</v>
      </c>
      <c r="D704" s="163" t="s">
        <v>112</v>
      </c>
      <c r="E704" s="163" t="s">
        <v>112</v>
      </c>
      <c r="F704" s="173">
        <v>39378.0</v>
      </c>
      <c r="G704" s="169">
        <v>39356.0</v>
      </c>
      <c r="H704" s="42" t="str">
        <f t="shared" si="36"/>
        <v>2007</v>
      </c>
      <c r="I704" s="8" t="s">
        <v>186</v>
      </c>
      <c r="J704" s="163" t="s">
        <v>112</v>
      </c>
      <c r="K704" s="163" t="s">
        <v>112</v>
      </c>
      <c r="L704" s="167" t="s">
        <v>100</v>
      </c>
      <c r="M704" s="173" t="s">
        <v>112</v>
      </c>
      <c r="N704" s="174" t="s">
        <v>112</v>
      </c>
      <c r="O704" s="45" t="s">
        <v>1031</v>
      </c>
      <c r="P704" s="163" t="s">
        <v>106</v>
      </c>
      <c r="Q704" s="163" t="s">
        <v>112</v>
      </c>
      <c r="R704" s="163" t="s">
        <v>112</v>
      </c>
      <c r="S704" s="163" t="s">
        <v>112</v>
      </c>
      <c r="T704" s="163" t="s">
        <v>112</v>
      </c>
      <c r="U704" s="163" t="s">
        <v>112</v>
      </c>
      <c r="V704" s="167" t="s">
        <v>1032</v>
      </c>
      <c r="W704" s="163" t="s">
        <v>112</v>
      </c>
      <c r="X704" s="163" t="s">
        <v>112</v>
      </c>
      <c r="Y704" s="163" t="s">
        <v>112</v>
      </c>
      <c r="Z704" s="8" t="s">
        <v>36</v>
      </c>
      <c r="AA704" s="23" t="s">
        <v>144</v>
      </c>
      <c r="AB704" s="21" t="s">
        <v>296</v>
      </c>
      <c r="AE704" s="24"/>
      <c r="AM704" s="24"/>
    </row>
    <row r="705" ht="15.75" customHeight="1">
      <c r="A705" s="8">
        <v>271.0</v>
      </c>
      <c r="B705" s="163" t="s">
        <v>2491</v>
      </c>
      <c r="C705" s="167" t="s">
        <v>48</v>
      </c>
      <c r="D705" s="163" t="s">
        <v>112</v>
      </c>
      <c r="E705" s="163" t="s">
        <v>112</v>
      </c>
      <c r="F705" s="173">
        <v>39378.0</v>
      </c>
      <c r="G705" s="169">
        <v>39356.0</v>
      </c>
      <c r="H705" s="42" t="str">
        <f t="shared" si="36"/>
        <v>2007</v>
      </c>
      <c r="I705" s="8" t="s">
        <v>846</v>
      </c>
      <c r="J705" s="163" t="s">
        <v>112</v>
      </c>
      <c r="K705" s="163" t="s">
        <v>112</v>
      </c>
      <c r="L705" s="167" t="s">
        <v>100</v>
      </c>
      <c r="M705" s="173" t="s">
        <v>177</v>
      </c>
      <c r="N705" s="174" t="s">
        <v>112</v>
      </c>
      <c r="O705" s="45" t="s">
        <v>1031</v>
      </c>
      <c r="P705" s="163" t="s">
        <v>106</v>
      </c>
      <c r="Q705" s="163" t="s">
        <v>112</v>
      </c>
      <c r="R705" s="163" t="s">
        <v>112</v>
      </c>
      <c r="S705" s="163" t="s">
        <v>112</v>
      </c>
      <c r="T705" s="163" t="s">
        <v>112</v>
      </c>
      <c r="U705" s="163" t="s">
        <v>112</v>
      </c>
      <c r="V705" s="167" t="s">
        <v>1032</v>
      </c>
      <c r="W705" s="163" t="s">
        <v>112</v>
      </c>
      <c r="X705" s="163" t="s">
        <v>112</v>
      </c>
      <c r="Y705" s="163" t="s">
        <v>112</v>
      </c>
      <c r="Z705" s="8" t="s">
        <v>36</v>
      </c>
      <c r="AA705" s="23" t="s">
        <v>144</v>
      </c>
      <c r="AB705" s="21" t="s">
        <v>296</v>
      </c>
      <c r="AE705" s="24"/>
      <c r="AM705" s="24"/>
    </row>
    <row r="706" ht="15.75" customHeight="1">
      <c r="A706" s="8">
        <v>272.0</v>
      </c>
      <c r="B706" s="163" t="s">
        <v>2492</v>
      </c>
      <c r="C706" s="167" t="s">
        <v>48</v>
      </c>
      <c r="D706" s="181" t="s">
        <v>112</v>
      </c>
      <c r="E706" s="163" t="s">
        <v>112</v>
      </c>
      <c r="F706" s="173">
        <v>39380.0</v>
      </c>
      <c r="G706" s="183">
        <v>39356.0</v>
      </c>
      <c r="H706" s="42" t="str">
        <f t="shared" si="36"/>
        <v>2007</v>
      </c>
      <c r="I706" s="8" t="s">
        <v>176</v>
      </c>
      <c r="J706" s="181" t="s">
        <v>112</v>
      </c>
      <c r="K706" s="181" t="s">
        <v>112</v>
      </c>
      <c r="L706" s="167" t="s">
        <v>112</v>
      </c>
      <c r="M706" s="173" t="s">
        <v>177</v>
      </c>
      <c r="N706" s="174" t="s">
        <v>2493</v>
      </c>
      <c r="O706" s="45"/>
      <c r="P706" s="163" t="s">
        <v>106</v>
      </c>
      <c r="Q706" s="181" t="s">
        <v>112</v>
      </c>
      <c r="R706" s="163" t="s">
        <v>112</v>
      </c>
      <c r="S706" s="163" t="s">
        <v>112</v>
      </c>
      <c r="T706" s="163" t="s">
        <v>112</v>
      </c>
      <c r="U706" s="163" t="s">
        <v>112</v>
      </c>
      <c r="V706" s="167" t="s">
        <v>779</v>
      </c>
      <c r="W706" s="181" t="s">
        <v>112</v>
      </c>
      <c r="X706" s="181">
        <v>1.0</v>
      </c>
      <c r="Y706" s="181" t="s">
        <v>2494</v>
      </c>
      <c r="Z706" s="8" t="s">
        <v>36</v>
      </c>
      <c r="AA706" s="23" t="s">
        <v>144</v>
      </c>
      <c r="AB706" s="21" t="s">
        <v>296</v>
      </c>
      <c r="AE706" s="24"/>
      <c r="AM706" s="24"/>
    </row>
    <row r="707" ht="15.75" customHeight="1">
      <c r="A707" s="8">
        <v>273.0</v>
      </c>
      <c r="B707" s="163" t="s">
        <v>2495</v>
      </c>
      <c r="C707" s="167" t="s">
        <v>48</v>
      </c>
      <c r="D707" s="163" t="s">
        <v>112</v>
      </c>
      <c r="E707" s="163" t="s">
        <v>112</v>
      </c>
      <c r="F707" s="173">
        <v>39384.0</v>
      </c>
      <c r="G707" s="169">
        <v>39356.0</v>
      </c>
      <c r="H707" s="42" t="str">
        <f t="shared" si="36"/>
        <v>2007</v>
      </c>
      <c r="I707" s="8" t="s">
        <v>846</v>
      </c>
      <c r="J707" s="163" t="s">
        <v>112</v>
      </c>
      <c r="K707" s="163" t="s">
        <v>112</v>
      </c>
      <c r="L707" s="167" t="s">
        <v>112</v>
      </c>
      <c r="M707" s="173" t="s">
        <v>177</v>
      </c>
      <c r="N707" s="174" t="s">
        <v>876</v>
      </c>
      <c r="O707" s="45"/>
      <c r="P707" s="163" t="s">
        <v>106</v>
      </c>
      <c r="Q707" s="163" t="s">
        <v>112</v>
      </c>
      <c r="R707" s="163" t="s">
        <v>112</v>
      </c>
      <c r="S707" s="163" t="s">
        <v>112</v>
      </c>
      <c r="T707" s="163" t="s">
        <v>112</v>
      </c>
      <c r="U707" s="163" t="s">
        <v>112</v>
      </c>
      <c r="V707" s="167" t="s">
        <v>1051</v>
      </c>
      <c r="W707" s="163" t="s">
        <v>112</v>
      </c>
      <c r="X707" s="163" t="s">
        <v>112</v>
      </c>
      <c r="Y707" s="163" t="s">
        <v>112</v>
      </c>
      <c r="Z707" s="8" t="s">
        <v>36</v>
      </c>
      <c r="AA707" s="23" t="s">
        <v>144</v>
      </c>
      <c r="AB707" s="21" t="s">
        <v>296</v>
      </c>
      <c r="AE707" s="24"/>
      <c r="AM707" s="24"/>
    </row>
    <row r="708" ht="15.75" customHeight="1">
      <c r="A708" s="8">
        <v>274.0</v>
      </c>
      <c r="B708" s="163" t="s">
        <v>2496</v>
      </c>
      <c r="C708" s="167" t="s">
        <v>48</v>
      </c>
      <c r="D708" s="181" t="s">
        <v>112</v>
      </c>
      <c r="E708" s="163" t="s">
        <v>112</v>
      </c>
      <c r="F708" s="173">
        <v>39385.0</v>
      </c>
      <c r="G708" s="183">
        <v>39356.0</v>
      </c>
      <c r="H708" s="42" t="str">
        <f t="shared" si="36"/>
        <v>2007</v>
      </c>
      <c r="I708" s="8" t="s">
        <v>186</v>
      </c>
      <c r="J708" s="181" t="s">
        <v>112</v>
      </c>
      <c r="K708" s="181" t="s">
        <v>112</v>
      </c>
      <c r="L708" s="167" t="s">
        <v>112</v>
      </c>
      <c r="M708" s="173" t="s">
        <v>112</v>
      </c>
      <c r="N708" s="174" t="s">
        <v>112</v>
      </c>
      <c r="O708" s="45"/>
      <c r="P708" s="163" t="s">
        <v>106</v>
      </c>
      <c r="Q708" s="181" t="s">
        <v>112</v>
      </c>
      <c r="R708" s="163" t="s">
        <v>112</v>
      </c>
      <c r="S708" s="163" t="s">
        <v>112</v>
      </c>
      <c r="T708" s="163" t="s">
        <v>112</v>
      </c>
      <c r="U708" s="163" t="s">
        <v>112</v>
      </c>
      <c r="V708" s="167" t="s">
        <v>836</v>
      </c>
      <c r="W708" s="181" t="s">
        <v>112</v>
      </c>
      <c r="X708" s="181" t="s">
        <v>112</v>
      </c>
      <c r="Y708" s="181" t="s">
        <v>112</v>
      </c>
      <c r="Z708" s="8" t="s">
        <v>36</v>
      </c>
      <c r="AA708" s="23" t="s">
        <v>144</v>
      </c>
      <c r="AB708" s="21" t="s">
        <v>296</v>
      </c>
      <c r="AE708" s="24"/>
      <c r="AM708" s="24"/>
    </row>
    <row r="709" ht="15.75" customHeight="1">
      <c r="A709" s="8">
        <v>276.0</v>
      </c>
      <c r="B709" s="163" t="s">
        <v>2497</v>
      </c>
      <c r="C709" s="167" t="s">
        <v>48</v>
      </c>
      <c r="D709" s="181" t="s">
        <v>112</v>
      </c>
      <c r="E709" s="163" t="s">
        <v>112</v>
      </c>
      <c r="F709" s="173">
        <v>39400.0</v>
      </c>
      <c r="G709" s="183">
        <v>39387.0</v>
      </c>
      <c r="H709" s="42" t="str">
        <f t="shared" si="36"/>
        <v>2007</v>
      </c>
      <c r="I709" s="8" t="s">
        <v>63</v>
      </c>
      <c r="J709" s="181" t="s">
        <v>112</v>
      </c>
      <c r="K709" s="181" t="s">
        <v>112</v>
      </c>
      <c r="L709" s="167" t="s">
        <v>1336</v>
      </c>
      <c r="M709" s="173" t="s">
        <v>112</v>
      </c>
      <c r="N709" s="174" t="s">
        <v>1190</v>
      </c>
      <c r="O709" s="45" t="s">
        <v>2498</v>
      </c>
      <c r="P709" s="163" t="s">
        <v>106</v>
      </c>
      <c r="Q709" s="181" t="s">
        <v>112</v>
      </c>
      <c r="R709" s="163" t="s">
        <v>112</v>
      </c>
      <c r="S709" s="163" t="s">
        <v>112</v>
      </c>
      <c r="T709" s="163" t="s">
        <v>112</v>
      </c>
      <c r="U709" s="163" t="s">
        <v>112</v>
      </c>
      <c r="V709" s="167" t="s">
        <v>836</v>
      </c>
      <c r="W709" s="181" t="s">
        <v>112</v>
      </c>
      <c r="X709" s="181" t="s">
        <v>112</v>
      </c>
      <c r="Y709" s="181" t="s">
        <v>112</v>
      </c>
      <c r="Z709" s="8" t="s">
        <v>36</v>
      </c>
      <c r="AA709" s="23" t="s">
        <v>144</v>
      </c>
      <c r="AB709" s="21" t="s">
        <v>296</v>
      </c>
      <c r="AE709" s="24"/>
      <c r="AM709" s="24"/>
    </row>
    <row r="710" ht="15.75" customHeight="1">
      <c r="A710" s="8">
        <v>278.0</v>
      </c>
      <c r="B710" s="163" t="s">
        <v>2499</v>
      </c>
      <c r="C710" s="167" t="s">
        <v>48</v>
      </c>
      <c r="D710" s="181" t="s">
        <v>112</v>
      </c>
      <c r="E710" s="163" t="s">
        <v>112</v>
      </c>
      <c r="F710" s="173">
        <v>39407.0</v>
      </c>
      <c r="G710" s="183">
        <v>39387.0</v>
      </c>
      <c r="H710" s="42" t="str">
        <f t="shared" si="36"/>
        <v>2007</v>
      </c>
      <c r="I710" s="8" t="s">
        <v>846</v>
      </c>
      <c r="J710" s="181" t="s">
        <v>112</v>
      </c>
      <c r="K710" s="181" t="s">
        <v>112</v>
      </c>
      <c r="L710" s="167" t="s">
        <v>112</v>
      </c>
      <c r="M710" s="163" t="s">
        <v>177</v>
      </c>
      <c r="N710" s="174" t="s">
        <v>112</v>
      </c>
      <c r="O710" s="45"/>
      <c r="P710" s="163" t="s">
        <v>106</v>
      </c>
      <c r="Q710" s="181" t="s">
        <v>112</v>
      </c>
      <c r="R710" s="163" t="s">
        <v>112</v>
      </c>
      <c r="S710" s="163" t="s">
        <v>112</v>
      </c>
      <c r="T710" s="163" t="s">
        <v>112</v>
      </c>
      <c r="U710" s="163" t="s">
        <v>112</v>
      </c>
      <c r="V710" s="167" t="s">
        <v>779</v>
      </c>
      <c r="W710" s="181" t="s">
        <v>112</v>
      </c>
      <c r="X710" s="181" t="s">
        <v>112</v>
      </c>
      <c r="Y710" s="181" t="s">
        <v>112</v>
      </c>
      <c r="Z710" s="8" t="s">
        <v>36</v>
      </c>
      <c r="AA710" s="23" t="s">
        <v>144</v>
      </c>
      <c r="AB710" s="21" t="s">
        <v>296</v>
      </c>
      <c r="AE710" s="24"/>
      <c r="AM710" s="24"/>
    </row>
    <row r="711" ht="15.75" customHeight="1">
      <c r="A711" s="8">
        <v>280.0</v>
      </c>
      <c r="B711" s="163" t="s">
        <v>2500</v>
      </c>
      <c r="C711" s="167" t="s">
        <v>48</v>
      </c>
      <c r="D711" s="181" t="s">
        <v>112</v>
      </c>
      <c r="E711" s="163" t="s">
        <v>112</v>
      </c>
      <c r="F711" s="173">
        <v>39431.0</v>
      </c>
      <c r="G711" s="183">
        <v>39417.0</v>
      </c>
      <c r="H711" s="42" t="str">
        <f t="shared" si="36"/>
        <v>2007</v>
      </c>
      <c r="I711" s="8" t="s">
        <v>186</v>
      </c>
      <c r="J711" s="181" t="s">
        <v>112</v>
      </c>
      <c r="K711" s="181" t="s">
        <v>112</v>
      </c>
      <c r="L711" s="167" t="s">
        <v>112</v>
      </c>
      <c r="M711" s="173" t="s">
        <v>112</v>
      </c>
      <c r="N711" s="174" t="s">
        <v>112</v>
      </c>
      <c r="O711" s="45"/>
      <c r="P711" s="163" t="s">
        <v>106</v>
      </c>
      <c r="Q711" s="181" t="s">
        <v>112</v>
      </c>
      <c r="R711" s="163" t="s">
        <v>112</v>
      </c>
      <c r="S711" s="163" t="s">
        <v>112</v>
      </c>
      <c r="T711" s="163" t="s">
        <v>112</v>
      </c>
      <c r="U711" s="163" t="s">
        <v>112</v>
      </c>
      <c r="V711" s="167" t="s">
        <v>779</v>
      </c>
      <c r="W711" s="181" t="s">
        <v>112</v>
      </c>
      <c r="X711" s="181" t="s">
        <v>112</v>
      </c>
      <c r="Y711" s="181" t="s">
        <v>112</v>
      </c>
      <c r="Z711" s="8" t="s">
        <v>36</v>
      </c>
      <c r="AA711" s="23" t="s">
        <v>144</v>
      </c>
      <c r="AB711" s="21" t="s">
        <v>296</v>
      </c>
      <c r="AE711" s="24"/>
      <c r="AM711" s="24"/>
    </row>
    <row r="712" ht="15.75" customHeight="1">
      <c r="A712" s="8">
        <v>281.0</v>
      </c>
      <c r="B712" s="163" t="s">
        <v>2501</v>
      </c>
      <c r="C712" s="167" t="s">
        <v>48</v>
      </c>
      <c r="D712" s="181" t="s">
        <v>112</v>
      </c>
      <c r="E712" s="163" t="s">
        <v>112</v>
      </c>
      <c r="F712" s="173">
        <v>39439.0</v>
      </c>
      <c r="G712" s="183">
        <v>39417.0</v>
      </c>
      <c r="H712" s="42" t="str">
        <f t="shared" si="36"/>
        <v>2007</v>
      </c>
      <c r="I712" s="8" t="s">
        <v>172</v>
      </c>
      <c r="J712" s="181" t="s">
        <v>112</v>
      </c>
      <c r="K712" s="181" t="s">
        <v>112</v>
      </c>
      <c r="L712" s="167" t="s">
        <v>112</v>
      </c>
      <c r="M712" s="173" t="s">
        <v>112</v>
      </c>
      <c r="N712" s="174" t="s">
        <v>112</v>
      </c>
      <c r="O712" s="45"/>
      <c r="P712" s="163" t="s">
        <v>106</v>
      </c>
      <c r="Q712" s="181" t="s">
        <v>112</v>
      </c>
      <c r="R712" s="163" t="s">
        <v>112</v>
      </c>
      <c r="S712" s="163" t="s">
        <v>112</v>
      </c>
      <c r="T712" s="163" t="s">
        <v>112</v>
      </c>
      <c r="U712" s="163" t="s">
        <v>112</v>
      </c>
      <c r="V712" s="167" t="s">
        <v>836</v>
      </c>
      <c r="W712" s="181" t="s">
        <v>112</v>
      </c>
      <c r="X712" s="181" t="s">
        <v>112</v>
      </c>
      <c r="Y712" s="181" t="s">
        <v>112</v>
      </c>
      <c r="Z712" s="8" t="s">
        <v>36</v>
      </c>
      <c r="AA712" s="23" t="s">
        <v>144</v>
      </c>
      <c r="AB712" s="21" t="s">
        <v>296</v>
      </c>
      <c r="AE712" s="24"/>
      <c r="AM712" s="24"/>
    </row>
    <row r="713" ht="15.75" customHeight="1">
      <c r="A713" s="8">
        <v>285.0</v>
      </c>
      <c r="B713" s="163" t="s">
        <v>2502</v>
      </c>
      <c r="C713" s="167" t="s">
        <v>58</v>
      </c>
      <c r="D713" s="163" t="s">
        <v>511</v>
      </c>
      <c r="E713" s="163" t="s">
        <v>112</v>
      </c>
      <c r="F713" s="168" t="s">
        <v>2503</v>
      </c>
      <c r="G713" s="169">
        <v>39264.0</v>
      </c>
      <c r="H713" s="112" t="str">
        <f t="shared" si="36"/>
        <v>2007</v>
      </c>
      <c r="I713" s="8" t="s">
        <v>176</v>
      </c>
      <c r="J713" s="163" t="s">
        <v>112</v>
      </c>
      <c r="K713" s="163" t="s">
        <v>112</v>
      </c>
      <c r="L713" s="163" t="s">
        <v>100</v>
      </c>
      <c r="M713" s="158" t="s">
        <v>177</v>
      </c>
      <c r="N713" s="170" t="s">
        <v>2504</v>
      </c>
      <c r="O713" s="45" t="s">
        <v>1031</v>
      </c>
      <c r="P713" s="163" t="s">
        <v>106</v>
      </c>
      <c r="Q713" s="163" t="s">
        <v>112</v>
      </c>
      <c r="R713" s="175" t="s">
        <v>112</v>
      </c>
      <c r="S713" s="167" t="s">
        <v>112</v>
      </c>
      <c r="T713" s="163" t="s">
        <v>112</v>
      </c>
      <c r="U713" s="163" t="s">
        <v>112</v>
      </c>
      <c r="V713" s="167" t="s">
        <v>1032</v>
      </c>
      <c r="W713" s="163" t="s">
        <v>112</v>
      </c>
      <c r="X713" s="158">
        <v>1.0</v>
      </c>
      <c r="Y713" s="158" t="s">
        <v>953</v>
      </c>
      <c r="Z713" s="8" t="s">
        <v>36</v>
      </c>
      <c r="AA713" s="23" t="s">
        <v>144</v>
      </c>
      <c r="AB713" s="21" t="s">
        <v>296</v>
      </c>
      <c r="AE713" s="24"/>
      <c r="AM713" s="24"/>
    </row>
    <row r="714" ht="15.75" customHeight="1">
      <c r="A714" s="8">
        <v>286.0</v>
      </c>
      <c r="B714" s="163" t="s">
        <v>2505</v>
      </c>
      <c r="C714" s="167" t="s">
        <v>48</v>
      </c>
      <c r="D714" s="181" t="s">
        <v>112</v>
      </c>
      <c r="E714" s="163" t="s">
        <v>112</v>
      </c>
      <c r="F714" s="163">
        <v>2008.0</v>
      </c>
      <c r="G714" s="183">
        <v>39630.0</v>
      </c>
      <c r="H714" s="42" t="str">
        <f t="shared" si="36"/>
        <v>2008</v>
      </c>
      <c r="I714" s="8" t="s">
        <v>186</v>
      </c>
      <c r="J714" s="181" t="s">
        <v>112</v>
      </c>
      <c r="K714" s="181" t="s">
        <v>112</v>
      </c>
      <c r="L714" s="163" t="s">
        <v>100</v>
      </c>
      <c r="M714" s="163" t="s">
        <v>112</v>
      </c>
      <c r="N714" s="174" t="s">
        <v>112</v>
      </c>
      <c r="O714" s="45" t="s">
        <v>2506</v>
      </c>
      <c r="P714" s="163" t="s">
        <v>106</v>
      </c>
      <c r="Q714" s="181" t="s">
        <v>112</v>
      </c>
      <c r="R714" s="163" t="s">
        <v>112</v>
      </c>
      <c r="S714" s="163" t="s">
        <v>112</v>
      </c>
      <c r="T714" s="163" t="s">
        <v>112</v>
      </c>
      <c r="U714" s="163" t="s">
        <v>112</v>
      </c>
      <c r="V714" s="167" t="s">
        <v>779</v>
      </c>
      <c r="W714" s="181" t="s">
        <v>112</v>
      </c>
      <c r="X714" s="181" t="s">
        <v>112</v>
      </c>
      <c r="Y714" s="181" t="s">
        <v>112</v>
      </c>
      <c r="Z714" s="8" t="s">
        <v>36</v>
      </c>
      <c r="AA714" s="23" t="s">
        <v>144</v>
      </c>
      <c r="AB714" s="21" t="s">
        <v>296</v>
      </c>
      <c r="AE714" s="24"/>
      <c r="AM714" s="24"/>
    </row>
    <row r="715" ht="15.75" customHeight="1">
      <c r="A715" s="8">
        <v>287.0</v>
      </c>
      <c r="B715" s="163" t="s">
        <v>2507</v>
      </c>
      <c r="C715" s="167" t="s">
        <v>48</v>
      </c>
      <c r="D715" s="181" t="s">
        <v>112</v>
      </c>
      <c r="E715" s="163" t="s">
        <v>112</v>
      </c>
      <c r="F715" s="163">
        <v>2008.0</v>
      </c>
      <c r="G715" s="183">
        <v>39630.0</v>
      </c>
      <c r="H715" s="42" t="str">
        <f t="shared" si="36"/>
        <v>2008</v>
      </c>
      <c r="I715" s="8" t="s">
        <v>186</v>
      </c>
      <c r="J715" s="181" t="s">
        <v>112</v>
      </c>
      <c r="K715" s="181" t="s">
        <v>112</v>
      </c>
      <c r="L715" s="167" t="s">
        <v>112</v>
      </c>
      <c r="M715" s="163" t="s">
        <v>112</v>
      </c>
      <c r="N715" s="174" t="s">
        <v>112</v>
      </c>
      <c r="O715" s="45"/>
      <c r="P715" s="163" t="s">
        <v>106</v>
      </c>
      <c r="Q715" s="181" t="s">
        <v>112</v>
      </c>
      <c r="R715" s="163" t="s">
        <v>112</v>
      </c>
      <c r="S715" s="163" t="s">
        <v>112</v>
      </c>
      <c r="T715" s="163" t="s">
        <v>112</v>
      </c>
      <c r="U715" s="163" t="s">
        <v>112</v>
      </c>
      <c r="V715" s="167" t="s">
        <v>2321</v>
      </c>
      <c r="W715" s="181" t="s">
        <v>112</v>
      </c>
      <c r="X715" s="181" t="s">
        <v>112</v>
      </c>
      <c r="Y715" s="181" t="s">
        <v>112</v>
      </c>
      <c r="Z715" s="8" t="s">
        <v>36</v>
      </c>
      <c r="AA715" s="23" t="s">
        <v>144</v>
      </c>
      <c r="AB715" s="21" t="s">
        <v>296</v>
      </c>
      <c r="AE715" s="24"/>
      <c r="AM715" s="24"/>
    </row>
    <row r="716" ht="15.75" customHeight="1">
      <c r="A716" s="8">
        <v>288.0</v>
      </c>
      <c r="B716" s="163" t="s">
        <v>2508</v>
      </c>
      <c r="C716" s="167" t="s">
        <v>48</v>
      </c>
      <c r="D716" s="181" t="s">
        <v>112</v>
      </c>
      <c r="E716" s="163" t="s">
        <v>112</v>
      </c>
      <c r="F716" s="163">
        <v>2008.0</v>
      </c>
      <c r="G716" s="183">
        <v>39630.0</v>
      </c>
      <c r="H716" s="42" t="str">
        <f t="shared" si="36"/>
        <v>2008</v>
      </c>
      <c r="I716" s="8" t="s">
        <v>176</v>
      </c>
      <c r="J716" s="181" t="s">
        <v>112</v>
      </c>
      <c r="K716" s="181" t="s">
        <v>112</v>
      </c>
      <c r="L716" s="167" t="s">
        <v>112</v>
      </c>
      <c r="M716" s="163" t="s">
        <v>177</v>
      </c>
      <c r="N716" s="174" t="s">
        <v>112</v>
      </c>
      <c r="O716" s="45"/>
      <c r="P716" s="163" t="s">
        <v>106</v>
      </c>
      <c r="Q716" s="181" t="s">
        <v>112</v>
      </c>
      <c r="R716" s="163" t="s">
        <v>112</v>
      </c>
      <c r="S716" s="163" t="s">
        <v>112</v>
      </c>
      <c r="T716" s="163" t="s">
        <v>112</v>
      </c>
      <c r="U716" s="163" t="s">
        <v>112</v>
      </c>
      <c r="V716" s="167" t="s">
        <v>2321</v>
      </c>
      <c r="W716" s="181" t="s">
        <v>112</v>
      </c>
      <c r="X716" s="181" t="s">
        <v>112</v>
      </c>
      <c r="Y716" s="181" t="s">
        <v>112</v>
      </c>
      <c r="Z716" s="8" t="s">
        <v>36</v>
      </c>
      <c r="AA716" s="23" t="s">
        <v>144</v>
      </c>
      <c r="AB716" s="21" t="s">
        <v>296</v>
      </c>
      <c r="AE716" s="24"/>
      <c r="AM716" s="24"/>
    </row>
    <row r="717" ht="15.75" customHeight="1">
      <c r="A717" s="8">
        <v>289.0</v>
      </c>
      <c r="B717" s="163" t="s">
        <v>2509</v>
      </c>
      <c r="C717" s="167" t="s">
        <v>48</v>
      </c>
      <c r="D717" s="181" t="s">
        <v>112</v>
      </c>
      <c r="E717" s="163" t="s">
        <v>112</v>
      </c>
      <c r="F717" s="163">
        <v>2008.0</v>
      </c>
      <c r="G717" s="183">
        <v>39630.0</v>
      </c>
      <c r="H717" s="42" t="str">
        <f t="shared" si="36"/>
        <v>2008</v>
      </c>
      <c r="I717" s="8" t="s">
        <v>186</v>
      </c>
      <c r="J717" s="181" t="s">
        <v>112</v>
      </c>
      <c r="K717" s="181" t="s">
        <v>112</v>
      </c>
      <c r="L717" s="167" t="s">
        <v>1336</v>
      </c>
      <c r="M717" s="163" t="s">
        <v>177</v>
      </c>
      <c r="N717" s="174" t="s">
        <v>2510</v>
      </c>
      <c r="O717" s="45" t="s">
        <v>2511</v>
      </c>
      <c r="P717" s="163" t="s">
        <v>106</v>
      </c>
      <c r="Q717" s="181" t="s">
        <v>112</v>
      </c>
      <c r="R717" s="163" t="s">
        <v>112</v>
      </c>
      <c r="S717" s="163" t="s">
        <v>112</v>
      </c>
      <c r="T717" s="163" t="s">
        <v>112</v>
      </c>
      <c r="U717" s="163" t="s">
        <v>112</v>
      </c>
      <c r="V717" s="167" t="s">
        <v>836</v>
      </c>
      <c r="W717" s="181" t="s">
        <v>112</v>
      </c>
      <c r="X717" s="181" t="s">
        <v>112</v>
      </c>
      <c r="Y717" s="181" t="s">
        <v>112</v>
      </c>
      <c r="Z717" s="8" t="s">
        <v>36</v>
      </c>
      <c r="AA717" s="23" t="s">
        <v>144</v>
      </c>
      <c r="AB717" s="21" t="s">
        <v>296</v>
      </c>
      <c r="AE717" s="24"/>
      <c r="AM717" s="24"/>
    </row>
    <row r="718" ht="15.75" customHeight="1">
      <c r="A718" s="8">
        <v>290.0</v>
      </c>
      <c r="B718" s="163" t="s">
        <v>2512</v>
      </c>
      <c r="C718" s="167" t="s">
        <v>48</v>
      </c>
      <c r="D718" s="181" t="s">
        <v>112</v>
      </c>
      <c r="E718" s="163" t="s">
        <v>112</v>
      </c>
      <c r="F718" s="163">
        <v>2008.0</v>
      </c>
      <c r="G718" s="183">
        <v>39630.0</v>
      </c>
      <c r="H718" s="42" t="str">
        <f t="shared" si="36"/>
        <v>2008</v>
      </c>
      <c r="I718" s="8" t="s">
        <v>186</v>
      </c>
      <c r="J718" s="181" t="s">
        <v>112</v>
      </c>
      <c r="K718" s="181" t="s">
        <v>112</v>
      </c>
      <c r="L718" s="167" t="s">
        <v>1336</v>
      </c>
      <c r="M718" s="163" t="s">
        <v>112</v>
      </c>
      <c r="N718" s="174" t="s">
        <v>2513</v>
      </c>
      <c r="O718" s="45" t="s">
        <v>2514</v>
      </c>
      <c r="P718" s="163" t="s">
        <v>106</v>
      </c>
      <c r="Q718" s="181" t="s">
        <v>112</v>
      </c>
      <c r="R718" s="163" t="s">
        <v>112</v>
      </c>
      <c r="S718" s="163" t="s">
        <v>112</v>
      </c>
      <c r="T718" s="163" t="s">
        <v>112</v>
      </c>
      <c r="U718" s="163" t="s">
        <v>112</v>
      </c>
      <c r="V718" s="167" t="s">
        <v>836</v>
      </c>
      <c r="W718" s="181" t="s">
        <v>112</v>
      </c>
      <c r="X718" s="181" t="s">
        <v>112</v>
      </c>
      <c r="Y718" s="181" t="s">
        <v>112</v>
      </c>
      <c r="Z718" s="8" t="s">
        <v>36</v>
      </c>
      <c r="AA718" s="23" t="s">
        <v>144</v>
      </c>
      <c r="AB718" s="21" t="s">
        <v>296</v>
      </c>
      <c r="AE718" s="24"/>
      <c r="AM718" s="24"/>
    </row>
    <row r="719" ht="15.75" customHeight="1">
      <c r="A719" s="8">
        <v>291.0</v>
      </c>
      <c r="B719" s="163" t="s">
        <v>2515</v>
      </c>
      <c r="C719" s="167" t="s">
        <v>48</v>
      </c>
      <c r="D719" s="181" t="s">
        <v>112</v>
      </c>
      <c r="E719" s="163" t="s">
        <v>112</v>
      </c>
      <c r="F719" s="163">
        <v>2008.0</v>
      </c>
      <c r="G719" s="183">
        <v>39630.0</v>
      </c>
      <c r="H719" s="42" t="str">
        <f t="shared" si="36"/>
        <v>2008</v>
      </c>
      <c r="I719" s="8" t="s">
        <v>186</v>
      </c>
      <c r="J719" s="181" t="s">
        <v>112</v>
      </c>
      <c r="K719" s="181" t="s">
        <v>112</v>
      </c>
      <c r="L719" s="167" t="s">
        <v>1336</v>
      </c>
      <c r="M719" s="163" t="s">
        <v>112</v>
      </c>
      <c r="N719" s="174" t="s">
        <v>2516</v>
      </c>
      <c r="O719" s="45" t="s">
        <v>2514</v>
      </c>
      <c r="P719" s="163" t="s">
        <v>106</v>
      </c>
      <c r="Q719" s="181" t="s">
        <v>112</v>
      </c>
      <c r="R719" s="163" t="s">
        <v>112</v>
      </c>
      <c r="S719" s="163" t="s">
        <v>112</v>
      </c>
      <c r="T719" s="163" t="s">
        <v>112</v>
      </c>
      <c r="U719" s="163" t="s">
        <v>112</v>
      </c>
      <c r="V719" s="167" t="s">
        <v>836</v>
      </c>
      <c r="W719" s="181" t="s">
        <v>112</v>
      </c>
      <c r="X719" s="181" t="s">
        <v>112</v>
      </c>
      <c r="Y719" s="181" t="s">
        <v>112</v>
      </c>
      <c r="Z719" s="8" t="s">
        <v>36</v>
      </c>
      <c r="AA719" s="23" t="s">
        <v>144</v>
      </c>
      <c r="AB719" s="21" t="s">
        <v>296</v>
      </c>
      <c r="AE719" s="24"/>
      <c r="AM719" s="24"/>
    </row>
    <row r="720" ht="15.75" customHeight="1">
      <c r="A720" s="8">
        <v>292.0</v>
      </c>
      <c r="B720" s="163" t="s">
        <v>2517</v>
      </c>
      <c r="C720" s="167" t="s">
        <v>48</v>
      </c>
      <c r="D720" s="181" t="s">
        <v>112</v>
      </c>
      <c r="E720" s="163" t="s">
        <v>112</v>
      </c>
      <c r="F720" s="163">
        <v>2008.0</v>
      </c>
      <c r="G720" s="183">
        <v>39630.0</v>
      </c>
      <c r="H720" s="42" t="str">
        <f t="shared" si="36"/>
        <v>2008</v>
      </c>
      <c r="I720" s="8" t="s">
        <v>774</v>
      </c>
      <c r="J720" s="181" t="s">
        <v>112</v>
      </c>
      <c r="K720" s="181" t="s">
        <v>112</v>
      </c>
      <c r="L720" s="167" t="s">
        <v>1336</v>
      </c>
      <c r="M720" s="163" t="s">
        <v>177</v>
      </c>
      <c r="N720" s="174" t="s">
        <v>112</v>
      </c>
      <c r="O720" s="45"/>
      <c r="P720" s="163" t="s">
        <v>106</v>
      </c>
      <c r="Q720" s="181" t="s">
        <v>112</v>
      </c>
      <c r="R720" s="163" t="s">
        <v>112</v>
      </c>
      <c r="S720" s="163" t="s">
        <v>112</v>
      </c>
      <c r="T720" s="163" t="s">
        <v>112</v>
      </c>
      <c r="U720" s="163" t="s">
        <v>112</v>
      </c>
      <c r="V720" s="167" t="s">
        <v>836</v>
      </c>
      <c r="W720" s="181" t="s">
        <v>112</v>
      </c>
      <c r="X720" s="181" t="s">
        <v>112</v>
      </c>
      <c r="Y720" s="181" t="s">
        <v>112</v>
      </c>
      <c r="Z720" s="8" t="s">
        <v>36</v>
      </c>
      <c r="AA720" s="23" t="s">
        <v>144</v>
      </c>
      <c r="AB720" s="21" t="s">
        <v>296</v>
      </c>
      <c r="AE720" s="24"/>
      <c r="AM720" s="24"/>
    </row>
    <row r="721" ht="15.75" customHeight="1">
      <c r="A721" s="8">
        <v>293.0</v>
      </c>
      <c r="B721" s="163" t="s">
        <v>2518</v>
      </c>
      <c r="C721" s="167" t="s">
        <v>48</v>
      </c>
      <c r="D721" s="163" t="s">
        <v>112</v>
      </c>
      <c r="E721" s="163" t="s">
        <v>112</v>
      </c>
      <c r="F721" s="168">
        <v>39453.0</v>
      </c>
      <c r="G721" s="169">
        <v>39448.0</v>
      </c>
      <c r="H721" s="42" t="str">
        <f t="shared" si="36"/>
        <v>2008</v>
      </c>
      <c r="I721" s="8" t="s">
        <v>176</v>
      </c>
      <c r="J721" s="163" t="s">
        <v>112</v>
      </c>
      <c r="K721" s="163" t="s">
        <v>112</v>
      </c>
      <c r="L721" s="167" t="s">
        <v>100</v>
      </c>
      <c r="M721" s="173" t="s">
        <v>177</v>
      </c>
      <c r="N721" s="174" t="s">
        <v>2519</v>
      </c>
      <c r="O721" s="45"/>
      <c r="P721" s="163" t="s">
        <v>106</v>
      </c>
      <c r="Q721" s="163" t="s">
        <v>112</v>
      </c>
      <c r="R721" s="163" t="s">
        <v>112</v>
      </c>
      <c r="S721" s="163" t="s">
        <v>112</v>
      </c>
      <c r="T721" s="163" t="s">
        <v>112</v>
      </c>
      <c r="U721" s="163" t="s">
        <v>112</v>
      </c>
      <c r="V721" s="167" t="s">
        <v>1032</v>
      </c>
      <c r="W721" s="163" t="s">
        <v>112</v>
      </c>
      <c r="X721" s="163" t="s">
        <v>112</v>
      </c>
      <c r="Y721" s="163" t="s">
        <v>112</v>
      </c>
      <c r="Z721" s="8" t="s">
        <v>36</v>
      </c>
      <c r="AA721" s="23" t="s">
        <v>144</v>
      </c>
      <c r="AB721" s="21" t="s">
        <v>296</v>
      </c>
      <c r="AE721" s="24"/>
      <c r="AM721" s="24"/>
    </row>
    <row r="722" ht="15.75" customHeight="1">
      <c r="A722" s="8">
        <v>294.0</v>
      </c>
      <c r="B722" s="163" t="s">
        <v>2520</v>
      </c>
      <c r="C722" s="167" t="s">
        <v>48</v>
      </c>
      <c r="D722" s="181" t="s">
        <v>112</v>
      </c>
      <c r="E722" s="163" t="s">
        <v>112</v>
      </c>
      <c r="F722" s="173">
        <v>39455.0</v>
      </c>
      <c r="G722" s="183">
        <v>39448.0</v>
      </c>
      <c r="H722" s="42" t="str">
        <f t="shared" si="36"/>
        <v>2008</v>
      </c>
      <c r="I722" s="8" t="s">
        <v>186</v>
      </c>
      <c r="J722" s="181" t="s">
        <v>112</v>
      </c>
      <c r="K722" s="181" t="s">
        <v>112</v>
      </c>
      <c r="L722" s="167" t="s">
        <v>112</v>
      </c>
      <c r="M722" s="173" t="s">
        <v>112</v>
      </c>
      <c r="N722" s="174" t="s">
        <v>2521</v>
      </c>
      <c r="O722" s="45"/>
      <c r="P722" s="163" t="s">
        <v>106</v>
      </c>
      <c r="Q722" s="181" t="s">
        <v>112</v>
      </c>
      <c r="R722" s="163" t="s">
        <v>112</v>
      </c>
      <c r="S722" s="163" t="s">
        <v>112</v>
      </c>
      <c r="T722" s="163" t="s">
        <v>112</v>
      </c>
      <c r="U722" s="163" t="s">
        <v>112</v>
      </c>
      <c r="V722" s="167" t="s">
        <v>779</v>
      </c>
      <c r="W722" s="181" t="s">
        <v>112</v>
      </c>
      <c r="X722" s="181" t="s">
        <v>112</v>
      </c>
      <c r="Y722" s="181" t="s">
        <v>112</v>
      </c>
      <c r="Z722" s="8" t="s">
        <v>36</v>
      </c>
      <c r="AA722" s="23" t="s">
        <v>144</v>
      </c>
      <c r="AB722" s="21" t="s">
        <v>296</v>
      </c>
      <c r="AE722" s="24"/>
      <c r="AM722" s="24"/>
    </row>
    <row r="723" ht="15.75" customHeight="1">
      <c r="A723" s="8">
        <v>295.0</v>
      </c>
      <c r="B723" s="163" t="s">
        <v>2522</v>
      </c>
      <c r="C723" s="167" t="s">
        <v>48</v>
      </c>
      <c r="D723" s="163" t="s">
        <v>112</v>
      </c>
      <c r="E723" s="163" t="s">
        <v>112</v>
      </c>
      <c r="F723" s="173">
        <v>39460.0</v>
      </c>
      <c r="G723" s="169">
        <v>39448.0</v>
      </c>
      <c r="H723" s="42" t="str">
        <f t="shared" si="36"/>
        <v>2008</v>
      </c>
      <c r="I723" s="8" t="s">
        <v>846</v>
      </c>
      <c r="J723" s="163" t="s">
        <v>112</v>
      </c>
      <c r="K723" s="163" t="s">
        <v>112</v>
      </c>
      <c r="L723" s="167" t="s">
        <v>112</v>
      </c>
      <c r="M723" s="163" t="s">
        <v>177</v>
      </c>
      <c r="N723" s="174" t="s">
        <v>112</v>
      </c>
      <c r="O723" s="45"/>
      <c r="P723" s="163" t="s">
        <v>106</v>
      </c>
      <c r="Q723" s="163" t="s">
        <v>112</v>
      </c>
      <c r="R723" s="127" t="s">
        <v>112</v>
      </c>
      <c r="S723" s="127" t="s">
        <v>112</v>
      </c>
      <c r="T723" s="163" t="s">
        <v>112</v>
      </c>
      <c r="U723" s="163" t="s">
        <v>112</v>
      </c>
      <c r="V723" s="167" t="s">
        <v>717</v>
      </c>
      <c r="W723" s="163" t="s">
        <v>112</v>
      </c>
      <c r="X723" s="163" t="s">
        <v>112</v>
      </c>
      <c r="Y723" s="163" t="s">
        <v>112</v>
      </c>
      <c r="Z723" s="8" t="s">
        <v>36</v>
      </c>
      <c r="AA723" s="23" t="s">
        <v>144</v>
      </c>
      <c r="AB723" s="21" t="s">
        <v>296</v>
      </c>
      <c r="AE723" s="24"/>
      <c r="AM723" s="24"/>
    </row>
    <row r="724" ht="15.75" customHeight="1">
      <c r="A724" s="8">
        <v>296.0</v>
      </c>
      <c r="B724" s="163" t="s">
        <v>2523</v>
      </c>
      <c r="C724" s="167" t="s">
        <v>48</v>
      </c>
      <c r="D724" s="163" t="s">
        <v>112</v>
      </c>
      <c r="E724" s="163" t="s">
        <v>112</v>
      </c>
      <c r="F724" s="173">
        <v>39461.0</v>
      </c>
      <c r="G724" s="169">
        <v>39448.0</v>
      </c>
      <c r="H724" s="42" t="str">
        <f t="shared" si="36"/>
        <v>2008</v>
      </c>
      <c r="I724" s="8" t="s">
        <v>186</v>
      </c>
      <c r="J724" s="163" t="s">
        <v>112</v>
      </c>
      <c r="K724" s="163" t="s">
        <v>112</v>
      </c>
      <c r="L724" s="167" t="s">
        <v>112</v>
      </c>
      <c r="M724" s="173" t="s">
        <v>112</v>
      </c>
      <c r="N724" s="174" t="s">
        <v>112</v>
      </c>
      <c r="O724" s="45"/>
      <c r="P724" s="163" t="s">
        <v>106</v>
      </c>
      <c r="Q724" s="163" t="s">
        <v>112</v>
      </c>
      <c r="R724" s="163" t="s">
        <v>112</v>
      </c>
      <c r="S724" s="163" t="s">
        <v>112</v>
      </c>
      <c r="T724" s="163" t="s">
        <v>112</v>
      </c>
      <c r="U724" s="163" t="s">
        <v>112</v>
      </c>
      <c r="V724" s="167" t="s">
        <v>1032</v>
      </c>
      <c r="W724" s="163" t="s">
        <v>112</v>
      </c>
      <c r="X724" s="163" t="s">
        <v>112</v>
      </c>
      <c r="Y724" s="163" t="s">
        <v>112</v>
      </c>
      <c r="Z724" s="8" t="s">
        <v>36</v>
      </c>
      <c r="AA724" s="23" t="s">
        <v>144</v>
      </c>
      <c r="AB724" s="21" t="s">
        <v>296</v>
      </c>
      <c r="AE724" s="24"/>
      <c r="AM724" s="24"/>
    </row>
    <row r="725" ht="15.75" customHeight="1">
      <c r="A725" s="8">
        <v>297.0</v>
      </c>
      <c r="B725" s="163" t="s">
        <v>2524</v>
      </c>
      <c r="C725" s="167" t="s">
        <v>48</v>
      </c>
      <c r="D725" s="163" t="s">
        <v>112</v>
      </c>
      <c r="E725" s="163" t="s">
        <v>112</v>
      </c>
      <c r="F725" s="173">
        <v>39464.0</v>
      </c>
      <c r="G725" s="169">
        <v>39448.0</v>
      </c>
      <c r="H725" s="42" t="str">
        <f t="shared" si="36"/>
        <v>2008</v>
      </c>
      <c r="I725" s="8" t="s">
        <v>176</v>
      </c>
      <c r="J725" s="163" t="s">
        <v>112</v>
      </c>
      <c r="K725" s="163" t="s">
        <v>112</v>
      </c>
      <c r="L725" s="167" t="s">
        <v>100</v>
      </c>
      <c r="M725" s="173" t="s">
        <v>177</v>
      </c>
      <c r="N725" s="174" t="s">
        <v>2525</v>
      </c>
      <c r="O725" s="45" t="s">
        <v>751</v>
      </c>
      <c r="P725" s="163" t="s">
        <v>106</v>
      </c>
      <c r="Q725" s="163" t="s">
        <v>112</v>
      </c>
      <c r="R725" s="163" t="s">
        <v>112</v>
      </c>
      <c r="S725" s="163" t="s">
        <v>112</v>
      </c>
      <c r="T725" s="163" t="s">
        <v>112</v>
      </c>
      <c r="U725" s="163" t="s">
        <v>112</v>
      </c>
      <c r="V725" s="167" t="s">
        <v>717</v>
      </c>
      <c r="W725" s="163" t="s">
        <v>112</v>
      </c>
      <c r="X725" s="163" t="s">
        <v>112</v>
      </c>
      <c r="Y725" s="163" t="s">
        <v>112</v>
      </c>
      <c r="Z725" s="8" t="s">
        <v>36</v>
      </c>
      <c r="AA725" s="23" t="s">
        <v>144</v>
      </c>
      <c r="AB725" s="21" t="s">
        <v>296</v>
      </c>
      <c r="AE725" s="24"/>
      <c r="AM725" s="24"/>
    </row>
    <row r="726" ht="15.75" customHeight="1">
      <c r="A726" s="8">
        <v>298.0</v>
      </c>
      <c r="B726" s="163" t="s">
        <v>2526</v>
      </c>
      <c r="C726" s="167" t="s">
        <v>48</v>
      </c>
      <c r="D726" s="163" t="s">
        <v>112</v>
      </c>
      <c r="E726" s="163" t="s">
        <v>112</v>
      </c>
      <c r="F726" s="173">
        <v>39467.0</v>
      </c>
      <c r="G726" s="169">
        <v>39448.0</v>
      </c>
      <c r="H726" s="42" t="str">
        <f t="shared" si="36"/>
        <v>2008</v>
      </c>
      <c r="I726" s="8" t="s">
        <v>63</v>
      </c>
      <c r="J726" s="163" t="s">
        <v>112</v>
      </c>
      <c r="K726" s="163" t="s">
        <v>112</v>
      </c>
      <c r="L726" s="167" t="s">
        <v>112</v>
      </c>
      <c r="M726" s="173" t="s">
        <v>112</v>
      </c>
      <c r="N726" s="174" t="s">
        <v>112</v>
      </c>
      <c r="O726" s="45"/>
      <c r="P726" s="163" t="s">
        <v>106</v>
      </c>
      <c r="Q726" s="163" t="s">
        <v>112</v>
      </c>
      <c r="R726" s="163" t="s">
        <v>112</v>
      </c>
      <c r="S726" s="163" t="s">
        <v>112</v>
      </c>
      <c r="T726" s="163" t="s">
        <v>112</v>
      </c>
      <c r="U726" s="163" t="s">
        <v>112</v>
      </c>
      <c r="V726" s="167" t="s">
        <v>1032</v>
      </c>
      <c r="W726" s="163" t="s">
        <v>112</v>
      </c>
      <c r="X726" s="163" t="s">
        <v>112</v>
      </c>
      <c r="Y726" s="163" t="s">
        <v>112</v>
      </c>
      <c r="Z726" s="8" t="s">
        <v>36</v>
      </c>
      <c r="AA726" s="23" t="s">
        <v>144</v>
      </c>
      <c r="AB726" s="21" t="s">
        <v>296</v>
      </c>
      <c r="AE726" s="24"/>
      <c r="AM726" s="24"/>
    </row>
    <row r="727" ht="15.75" customHeight="1">
      <c r="A727" s="8">
        <v>299.0</v>
      </c>
      <c r="B727" s="163" t="s">
        <v>2527</v>
      </c>
      <c r="C727" s="167" t="s">
        <v>48</v>
      </c>
      <c r="D727" s="163" t="s">
        <v>112</v>
      </c>
      <c r="E727" s="163" t="s">
        <v>112</v>
      </c>
      <c r="F727" s="173">
        <v>39486.0</v>
      </c>
      <c r="G727" s="169">
        <v>39479.0</v>
      </c>
      <c r="H727" s="42" t="str">
        <f t="shared" si="36"/>
        <v>2008</v>
      </c>
      <c r="I727" s="8" t="s">
        <v>176</v>
      </c>
      <c r="J727" s="163" t="s">
        <v>112</v>
      </c>
      <c r="K727" s="163" t="s">
        <v>112</v>
      </c>
      <c r="L727" s="167" t="s">
        <v>100</v>
      </c>
      <c r="M727" s="173" t="s">
        <v>177</v>
      </c>
      <c r="N727" s="174" t="s">
        <v>2346</v>
      </c>
      <c r="O727" s="45" t="s">
        <v>2528</v>
      </c>
      <c r="P727" s="163" t="s">
        <v>106</v>
      </c>
      <c r="Q727" s="163" t="s">
        <v>112</v>
      </c>
      <c r="R727" s="163" t="s">
        <v>112</v>
      </c>
      <c r="S727" s="163" t="s">
        <v>112</v>
      </c>
      <c r="T727" s="163" t="s">
        <v>112</v>
      </c>
      <c r="U727" s="163" t="s">
        <v>112</v>
      </c>
      <c r="V727" s="167" t="s">
        <v>717</v>
      </c>
      <c r="W727" s="163" t="s">
        <v>112</v>
      </c>
      <c r="X727" s="163" t="s">
        <v>112</v>
      </c>
      <c r="Y727" s="163" t="s">
        <v>112</v>
      </c>
      <c r="Z727" s="8" t="s">
        <v>36</v>
      </c>
      <c r="AA727" s="23" t="s">
        <v>144</v>
      </c>
      <c r="AB727" s="21" t="s">
        <v>296</v>
      </c>
      <c r="AE727" s="24"/>
      <c r="AM727" s="24"/>
    </row>
    <row r="728" ht="15.75" customHeight="1">
      <c r="A728" s="8">
        <v>300.0</v>
      </c>
      <c r="B728" s="163" t="s">
        <v>2529</v>
      </c>
      <c r="C728" s="167" t="s">
        <v>48</v>
      </c>
      <c r="D728" s="163" t="s">
        <v>112</v>
      </c>
      <c r="E728" s="163" t="s">
        <v>112</v>
      </c>
      <c r="F728" s="173">
        <v>39489.0</v>
      </c>
      <c r="G728" s="169">
        <v>39479.0</v>
      </c>
      <c r="H728" s="42" t="str">
        <f t="shared" si="36"/>
        <v>2008</v>
      </c>
      <c r="I728" s="8" t="s">
        <v>176</v>
      </c>
      <c r="J728" s="163" t="s">
        <v>112</v>
      </c>
      <c r="K728" s="163" t="s">
        <v>112</v>
      </c>
      <c r="L728" s="167" t="s">
        <v>100</v>
      </c>
      <c r="M728" s="173" t="s">
        <v>177</v>
      </c>
      <c r="N728" s="174" t="s">
        <v>876</v>
      </c>
      <c r="O728" s="45" t="s">
        <v>751</v>
      </c>
      <c r="P728" s="163" t="s">
        <v>106</v>
      </c>
      <c r="Q728" s="163" t="s">
        <v>112</v>
      </c>
      <c r="R728" s="163" t="s">
        <v>112</v>
      </c>
      <c r="S728" s="236" t="s">
        <v>112</v>
      </c>
      <c r="T728" s="163" t="s">
        <v>112</v>
      </c>
      <c r="U728" s="163" t="s">
        <v>112</v>
      </c>
      <c r="V728" s="167" t="s">
        <v>717</v>
      </c>
      <c r="W728" s="163" t="s">
        <v>112</v>
      </c>
      <c r="X728" s="163" t="s">
        <v>112</v>
      </c>
      <c r="Y728" s="163" t="s">
        <v>112</v>
      </c>
      <c r="Z728" s="8" t="s">
        <v>36</v>
      </c>
      <c r="AA728" s="23" t="s">
        <v>144</v>
      </c>
      <c r="AB728" s="21" t="s">
        <v>296</v>
      </c>
      <c r="AE728" s="24"/>
      <c r="AM728" s="24"/>
    </row>
    <row r="729" ht="15.75" customHeight="1">
      <c r="A729" s="8">
        <v>301.0</v>
      </c>
      <c r="B729" s="163" t="s">
        <v>2530</v>
      </c>
      <c r="C729" s="167" t="s">
        <v>48</v>
      </c>
      <c r="D729" s="163" t="s">
        <v>112</v>
      </c>
      <c r="E729" s="163" t="s">
        <v>112</v>
      </c>
      <c r="F729" s="173">
        <v>39491.0</v>
      </c>
      <c r="G729" s="169">
        <v>39479.0</v>
      </c>
      <c r="H729" s="42" t="str">
        <f t="shared" si="36"/>
        <v>2008</v>
      </c>
      <c r="I729" s="8" t="s">
        <v>846</v>
      </c>
      <c r="J729" s="163" t="s">
        <v>112</v>
      </c>
      <c r="K729" s="163" t="s">
        <v>112</v>
      </c>
      <c r="L729" s="167" t="s">
        <v>112</v>
      </c>
      <c r="M729" s="163" t="s">
        <v>177</v>
      </c>
      <c r="N729" s="174" t="s">
        <v>112</v>
      </c>
      <c r="O729" s="45"/>
      <c r="P729" s="163" t="s">
        <v>106</v>
      </c>
      <c r="Q729" s="163" t="s">
        <v>112</v>
      </c>
      <c r="R729" s="163" t="s">
        <v>112</v>
      </c>
      <c r="S729" s="163" t="s">
        <v>112</v>
      </c>
      <c r="T729" s="163" t="s">
        <v>112</v>
      </c>
      <c r="U729" s="163" t="s">
        <v>112</v>
      </c>
      <c r="V729" s="167" t="s">
        <v>717</v>
      </c>
      <c r="W729" s="163" t="s">
        <v>112</v>
      </c>
      <c r="X729" s="163" t="s">
        <v>112</v>
      </c>
      <c r="Y729" s="163" t="s">
        <v>112</v>
      </c>
      <c r="Z729" s="8" t="s">
        <v>36</v>
      </c>
      <c r="AA729" s="23" t="s">
        <v>144</v>
      </c>
      <c r="AB729" s="21" t="s">
        <v>296</v>
      </c>
      <c r="AE729" s="24"/>
      <c r="AM729" s="24"/>
    </row>
    <row r="730" ht="15.75" customHeight="1">
      <c r="A730" s="8">
        <v>302.0</v>
      </c>
      <c r="B730" s="163" t="s">
        <v>2531</v>
      </c>
      <c r="C730" s="167" t="s">
        <v>48</v>
      </c>
      <c r="D730" s="163" t="s">
        <v>112</v>
      </c>
      <c r="E730" s="163" t="s">
        <v>112</v>
      </c>
      <c r="F730" s="173">
        <v>39492.0</v>
      </c>
      <c r="G730" s="169">
        <v>39479.0</v>
      </c>
      <c r="H730" s="42" t="str">
        <f t="shared" si="36"/>
        <v>2008</v>
      </c>
      <c r="I730" s="8" t="s">
        <v>846</v>
      </c>
      <c r="J730" s="163" t="s">
        <v>112</v>
      </c>
      <c r="K730" s="163" t="s">
        <v>112</v>
      </c>
      <c r="L730" s="167" t="s">
        <v>112</v>
      </c>
      <c r="M730" s="173" t="s">
        <v>177</v>
      </c>
      <c r="N730" s="174" t="s">
        <v>2532</v>
      </c>
      <c r="O730" s="45"/>
      <c r="P730" s="163" t="s">
        <v>106</v>
      </c>
      <c r="Q730" s="163" t="s">
        <v>112</v>
      </c>
      <c r="R730" s="163" t="s">
        <v>112</v>
      </c>
      <c r="S730" s="163" t="s">
        <v>112</v>
      </c>
      <c r="T730" s="163" t="s">
        <v>112</v>
      </c>
      <c r="U730" s="163" t="s">
        <v>112</v>
      </c>
      <c r="V730" s="167" t="s">
        <v>717</v>
      </c>
      <c r="W730" s="163" t="s">
        <v>112</v>
      </c>
      <c r="X730" s="163" t="s">
        <v>112</v>
      </c>
      <c r="Y730" s="163" t="s">
        <v>112</v>
      </c>
      <c r="Z730" s="8" t="s">
        <v>36</v>
      </c>
      <c r="AA730" s="23" t="s">
        <v>144</v>
      </c>
      <c r="AB730" s="21" t="s">
        <v>296</v>
      </c>
      <c r="AE730" s="24"/>
      <c r="AM730" s="24"/>
    </row>
    <row r="731" ht="15.75" customHeight="1">
      <c r="A731" s="8">
        <v>303.0</v>
      </c>
      <c r="B731" s="163" t="s">
        <v>2533</v>
      </c>
      <c r="C731" s="167" t="s">
        <v>48</v>
      </c>
      <c r="D731" s="163" t="s">
        <v>112</v>
      </c>
      <c r="E731" s="163" t="s">
        <v>112</v>
      </c>
      <c r="F731" s="173">
        <v>39494.0</v>
      </c>
      <c r="G731" s="169">
        <v>39479.0</v>
      </c>
      <c r="H731" s="42" t="str">
        <f t="shared" si="36"/>
        <v>2008</v>
      </c>
      <c r="I731" s="8" t="s">
        <v>63</v>
      </c>
      <c r="J731" s="163" t="s">
        <v>112</v>
      </c>
      <c r="K731" s="163" t="s">
        <v>112</v>
      </c>
      <c r="L731" s="167" t="s">
        <v>112</v>
      </c>
      <c r="M731" s="173" t="s">
        <v>112</v>
      </c>
      <c r="N731" s="174" t="s">
        <v>112</v>
      </c>
      <c r="O731" s="45"/>
      <c r="P731" s="163" t="s">
        <v>106</v>
      </c>
      <c r="Q731" s="167" t="s">
        <v>112</v>
      </c>
      <c r="R731" s="167" t="s">
        <v>112</v>
      </c>
      <c r="S731" s="167" t="s">
        <v>112</v>
      </c>
      <c r="T731" s="167" t="s">
        <v>112</v>
      </c>
      <c r="U731" s="167" t="s">
        <v>112</v>
      </c>
      <c r="V731" s="167" t="s">
        <v>2534</v>
      </c>
      <c r="W731" s="163" t="s">
        <v>112</v>
      </c>
      <c r="X731" s="163" t="s">
        <v>112</v>
      </c>
      <c r="Y731" s="163" t="s">
        <v>112</v>
      </c>
      <c r="Z731" s="8" t="s">
        <v>36</v>
      </c>
      <c r="AA731" s="23" t="s">
        <v>144</v>
      </c>
      <c r="AB731" s="21" t="s">
        <v>296</v>
      </c>
      <c r="AE731" s="24"/>
      <c r="AM731" s="24"/>
    </row>
    <row r="732" ht="15.75" customHeight="1">
      <c r="A732" s="8">
        <v>304.0</v>
      </c>
      <c r="B732" s="163" t="s">
        <v>2535</v>
      </c>
      <c r="C732" s="167" t="s">
        <v>48</v>
      </c>
      <c r="D732" s="163" t="s">
        <v>112</v>
      </c>
      <c r="E732" s="163" t="s">
        <v>112</v>
      </c>
      <c r="F732" s="173">
        <v>39500.0</v>
      </c>
      <c r="G732" s="169">
        <v>39479.0</v>
      </c>
      <c r="H732" s="42" t="str">
        <f t="shared" si="36"/>
        <v>2008</v>
      </c>
      <c r="I732" s="8" t="s">
        <v>186</v>
      </c>
      <c r="J732" s="163" t="s">
        <v>112</v>
      </c>
      <c r="K732" s="163" t="s">
        <v>112</v>
      </c>
      <c r="L732" s="167" t="s">
        <v>112</v>
      </c>
      <c r="M732" s="173" t="s">
        <v>112</v>
      </c>
      <c r="N732" s="174" t="s">
        <v>112</v>
      </c>
      <c r="O732" s="45"/>
      <c r="P732" s="163" t="s">
        <v>106</v>
      </c>
      <c r="Q732" s="167" t="s">
        <v>112</v>
      </c>
      <c r="R732" s="167" t="s">
        <v>112</v>
      </c>
      <c r="S732" s="167" t="s">
        <v>112</v>
      </c>
      <c r="T732" s="167" t="s">
        <v>112</v>
      </c>
      <c r="U732" s="167" t="s">
        <v>112</v>
      </c>
      <c r="V732" s="167" t="s">
        <v>2534</v>
      </c>
      <c r="W732" s="163" t="s">
        <v>112</v>
      </c>
      <c r="X732" s="163" t="s">
        <v>112</v>
      </c>
      <c r="Y732" s="163" t="s">
        <v>112</v>
      </c>
      <c r="Z732" s="8" t="s">
        <v>36</v>
      </c>
      <c r="AA732" s="23" t="s">
        <v>144</v>
      </c>
      <c r="AB732" s="21" t="s">
        <v>296</v>
      </c>
      <c r="AE732" s="24"/>
      <c r="AM732" s="24"/>
    </row>
    <row r="733" ht="15.75" customHeight="1">
      <c r="A733" s="8">
        <v>305.0</v>
      </c>
      <c r="B733" s="163" t="s">
        <v>2536</v>
      </c>
      <c r="C733" s="167" t="s">
        <v>48</v>
      </c>
      <c r="D733" s="163" t="s">
        <v>112</v>
      </c>
      <c r="E733" s="163" t="s">
        <v>112</v>
      </c>
      <c r="F733" s="173">
        <v>39500.0</v>
      </c>
      <c r="G733" s="169">
        <v>39479.0</v>
      </c>
      <c r="H733" s="42" t="str">
        <f t="shared" si="36"/>
        <v>2008</v>
      </c>
      <c r="I733" s="8" t="s">
        <v>63</v>
      </c>
      <c r="J733" s="163" t="s">
        <v>112</v>
      </c>
      <c r="K733" s="163" t="s">
        <v>112</v>
      </c>
      <c r="L733" s="167" t="s">
        <v>100</v>
      </c>
      <c r="M733" s="173" t="s">
        <v>112</v>
      </c>
      <c r="N733" s="174" t="s">
        <v>112</v>
      </c>
      <c r="O733" s="45" t="s">
        <v>2380</v>
      </c>
      <c r="P733" s="163" t="s">
        <v>106</v>
      </c>
      <c r="Q733" s="167" t="s">
        <v>112</v>
      </c>
      <c r="R733" s="167" t="s">
        <v>112</v>
      </c>
      <c r="S733" s="167" t="s">
        <v>112</v>
      </c>
      <c r="T733" s="167" t="s">
        <v>112</v>
      </c>
      <c r="U733" s="167" t="s">
        <v>112</v>
      </c>
      <c r="V733" s="167" t="s">
        <v>2534</v>
      </c>
      <c r="W733" s="163" t="s">
        <v>112</v>
      </c>
      <c r="X733" s="163" t="s">
        <v>112</v>
      </c>
      <c r="Y733" s="163" t="s">
        <v>112</v>
      </c>
      <c r="Z733" s="8" t="s">
        <v>36</v>
      </c>
      <c r="AA733" s="23" t="s">
        <v>144</v>
      </c>
      <c r="AB733" s="21" t="s">
        <v>296</v>
      </c>
      <c r="AE733" s="24"/>
      <c r="AM733" s="24"/>
    </row>
    <row r="734" ht="15.75" customHeight="1">
      <c r="A734" s="8">
        <v>306.0</v>
      </c>
      <c r="B734" s="163" t="s">
        <v>2537</v>
      </c>
      <c r="C734" s="167" t="s">
        <v>48</v>
      </c>
      <c r="D734" s="163" t="s">
        <v>112</v>
      </c>
      <c r="E734" s="163" t="s">
        <v>112</v>
      </c>
      <c r="F734" s="173">
        <v>39501.0</v>
      </c>
      <c r="G734" s="169">
        <v>39479.0</v>
      </c>
      <c r="H734" s="42" t="str">
        <f t="shared" si="36"/>
        <v>2008</v>
      </c>
      <c r="I734" s="8" t="s">
        <v>186</v>
      </c>
      <c r="J734" s="163" t="s">
        <v>112</v>
      </c>
      <c r="K734" s="163" t="s">
        <v>112</v>
      </c>
      <c r="L734" s="167" t="s">
        <v>100</v>
      </c>
      <c r="M734" s="173" t="s">
        <v>112</v>
      </c>
      <c r="N734" s="143" t="s">
        <v>2538</v>
      </c>
      <c r="O734" s="45" t="s">
        <v>2539</v>
      </c>
      <c r="P734" s="163" t="s">
        <v>106</v>
      </c>
      <c r="Q734" s="167" t="s">
        <v>112</v>
      </c>
      <c r="R734" s="167" t="s">
        <v>112</v>
      </c>
      <c r="S734" s="167" t="s">
        <v>112</v>
      </c>
      <c r="T734" s="167" t="s">
        <v>112</v>
      </c>
      <c r="U734" s="167" t="s">
        <v>112</v>
      </c>
      <c r="V734" s="167" t="s">
        <v>2534</v>
      </c>
      <c r="W734" s="163" t="s">
        <v>112</v>
      </c>
      <c r="X734" s="163" t="s">
        <v>112</v>
      </c>
      <c r="Y734" s="163" t="s">
        <v>112</v>
      </c>
      <c r="Z734" s="8" t="s">
        <v>36</v>
      </c>
      <c r="AA734" s="23" t="s">
        <v>144</v>
      </c>
      <c r="AB734" s="21" t="s">
        <v>296</v>
      </c>
      <c r="AE734" s="24"/>
      <c r="AM734" s="24"/>
    </row>
    <row r="735" ht="15.75" customHeight="1">
      <c r="A735" s="8">
        <v>307.0</v>
      </c>
      <c r="B735" s="163" t="s">
        <v>2540</v>
      </c>
      <c r="C735" s="167" t="s">
        <v>48</v>
      </c>
      <c r="D735" s="163" t="s">
        <v>112</v>
      </c>
      <c r="E735" s="163" t="s">
        <v>112</v>
      </c>
      <c r="F735" s="173">
        <v>39501.0</v>
      </c>
      <c r="G735" s="169">
        <v>39479.0</v>
      </c>
      <c r="H735" s="42" t="str">
        <f t="shared" si="36"/>
        <v>2008</v>
      </c>
      <c r="I735" s="8" t="s">
        <v>186</v>
      </c>
      <c r="J735" s="163" t="s">
        <v>112</v>
      </c>
      <c r="K735" s="163" t="s">
        <v>112</v>
      </c>
      <c r="L735" s="167" t="s">
        <v>112</v>
      </c>
      <c r="M735" s="173" t="s">
        <v>112</v>
      </c>
      <c r="N735" s="174" t="s">
        <v>112</v>
      </c>
      <c r="O735" s="45"/>
      <c r="P735" s="163" t="s">
        <v>106</v>
      </c>
      <c r="Q735" s="167" t="s">
        <v>112</v>
      </c>
      <c r="R735" s="167" t="s">
        <v>112</v>
      </c>
      <c r="S735" s="167" t="s">
        <v>112</v>
      </c>
      <c r="T735" s="167" t="s">
        <v>112</v>
      </c>
      <c r="U735" s="167" t="s">
        <v>112</v>
      </c>
      <c r="V735" s="167" t="s">
        <v>2534</v>
      </c>
      <c r="W735" s="163" t="s">
        <v>112</v>
      </c>
      <c r="X735" s="163" t="s">
        <v>112</v>
      </c>
      <c r="Y735" s="163" t="s">
        <v>112</v>
      </c>
      <c r="Z735" s="8" t="s">
        <v>36</v>
      </c>
      <c r="AA735" s="23" t="s">
        <v>144</v>
      </c>
      <c r="AB735" s="21" t="s">
        <v>296</v>
      </c>
      <c r="AE735" s="24"/>
      <c r="AM735" s="24"/>
    </row>
    <row r="736" ht="15.75" customHeight="1">
      <c r="A736" s="8">
        <v>308.0</v>
      </c>
      <c r="B736" s="163" t="s">
        <v>2541</v>
      </c>
      <c r="C736" s="167" t="s">
        <v>48</v>
      </c>
      <c r="D736" s="163" t="s">
        <v>112</v>
      </c>
      <c r="E736" s="163" t="s">
        <v>112</v>
      </c>
      <c r="F736" s="173">
        <v>39502.0</v>
      </c>
      <c r="G736" s="169">
        <v>39479.0</v>
      </c>
      <c r="H736" s="42" t="str">
        <f t="shared" si="36"/>
        <v>2008</v>
      </c>
      <c r="I736" s="8" t="s">
        <v>63</v>
      </c>
      <c r="J736" s="163" t="s">
        <v>112</v>
      </c>
      <c r="K736" s="163" t="s">
        <v>112</v>
      </c>
      <c r="L736" s="167" t="s">
        <v>112</v>
      </c>
      <c r="M736" s="173" t="s">
        <v>112</v>
      </c>
      <c r="N736" s="174" t="s">
        <v>112</v>
      </c>
      <c r="O736" s="45"/>
      <c r="P736" s="163" t="s">
        <v>106</v>
      </c>
      <c r="Q736" s="167" t="s">
        <v>112</v>
      </c>
      <c r="R736" s="167" t="s">
        <v>112</v>
      </c>
      <c r="S736" s="167" t="s">
        <v>112</v>
      </c>
      <c r="T736" s="167" t="s">
        <v>112</v>
      </c>
      <c r="U736" s="167" t="s">
        <v>112</v>
      </c>
      <c r="V736" s="167" t="s">
        <v>2534</v>
      </c>
      <c r="W736" s="163" t="s">
        <v>112</v>
      </c>
      <c r="X736" s="163" t="s">
        <v>112</v>
      </c>
      <c r="Y736" s="163" t="s">
        <v>112</v>
      </c>
      <c r="Z736" s="8" t="s">
        <v>36</v>
      </c>
      <c r="AA736" s="23" t="s">
        <v>144</v>
      </c>
      <c r="AB736" s="21" t="s">
        <v>296</v>
      </c>
      <c r="AE736" s="24"/>
      <c r="AM736" s="24"/>
    </row>
    <row r="737" ht="15.75" customHeight="1">
      <c r="A737" s="8">
        <v>309.0</v>
      </c>
      <c r="B737" s="163" t="s">
        <v>2542</v>
      </c>
      <c r="C737" s="167" t="s">
        <v>48</v>
      </c>
      <c r="D737" s="163" t="s">
        <v>112</v>
      </c>
      <c r="E737" s="163" t="s">
        <v>112</v>
      </c>
      <c r="F737" s="173">
        <v>39502.0</v>
      </c>
      <c r="G737" s="169">
        <v>39479.0</v>
      </c>
      <c r="H737" s="42" t="str">
        <f t="shared" si="36"/>
        <v>2008</v>
      </c>
      <c r="I737" s="8" t="s">
        <v>186</v>
      </c>
      <c r="J737" s="163" t="s">
        <v>112</v>
      </c>
      <c r="K737" s="163" t="s">
        <v>112</v>
      </c>
      <c r="L737" s="167" t="s">
        <v>112</v>
      </c>
      <c r="M737" s="173" t="s">
        <v>112</v>
      </c>
      <c r="N737" s="174" t="s">
        <v>112</v>
      </c>
      <c r="O737" s="45"/>
      <c r="P737" s="163" t="s">
        <v>106</v>
      </c>
      <c r="Q737" s="167" t="s">
        <v>112</v>
      </c>
      <c r="R737" s="167" t="s">
        <v>112</v>
      </c>
      <c r="S737" s="167" t="s">
        <v>112</v>
      </c>
      <c r="T737" s="167" t="s">
        <v>112</v>
      </c>
      <c r="U737" s="167" t="s">
        <v>112</v>
      </c>
      <c r="V737" s="167" t="s">
        <v>2534</v>
      </c>
      <c r="W737" s="163" t="s">
        <v>112</v>
      </c>
      <c r="X737" s="163" t="s">
        <v>112</v>
      </c>
      <c r="Y737" s="163" t="s">
        <v>112</v>
      </c>
      <c r="Z737" s="8" t="s">
        <v>36</v>
      </c>
      <c r="AA737" s="23" t="s">
        <v>144</v>
      </c>
      <c r="AB737" s="21" t="s">
        <v>296</v>
      </c>
      <c r="AE737" s="24"/>
      <c r="AM737" s="24"/>
    </row>
    <row r="738" ht="15.75" customHeight="1">
      <c r="A738" s="8">
        <v>310.0</v>
      </c>
      <c r="B738" s="163" t="s">
        <v>2543</v>
      </c>
      <c r="C738" s="167" t="s">
        <v>48</v>
      </c>
      <c r="D738" s="163" t="s">
        <v>112</v>
      </c>
      <c r="E738" s="163" t="s">
        <v>112</v>
      </c>
      <c r="F738" s="173">
        <v>39502.0</v>
      </c>
      <c r="G738" s="169">
        <v>39479.0</v>
      </c>
      <c r="H738" s="42" t="str">
        <f t="shared" si="36"/>
        <v>2008</v>
      </c>
      <c r="I738" s="8" t="s">
        <v>846</v>
      </c>
      <c r="J738" s="163" t="s">
        <v>112</v>
      </c>
      <c r="K738" s="163" t="s">
        <v>112</v>
      </c>
      <c r="L738" s="167" t="s">
        <v>100</v>
      </c>
      <c r="M738" s="173" t="s">
        <v>177</v>
      </c>
      <c r="N738" s="174" t="s">
        <v>112</v>
      </c>
      <c r="O738" s="45" t="s">
        <v>1031</v>
      </c>
      <c r="P738" s="163" t="s">
        <v>106</v>
      </c>
      <c r="Q738" s="167" t="s">
        <v>112</v>
      </c>
      <c r="R738" s="167" t="s">
        <v>112</v>
      </c>
      <c r="S738" s="167" t="s">
        <v>112</v>
      </c>
      <c r="T738" s="167" t="s">
        <v>112</v>
      </c>
      <c r="U738" s="167" t="s">
        <v>112</v>
      </c>
      <c r="V738" s="167" t="s">
        <v>2534</v>
      </c>
      <c r="W738" s="163" t="s">
        <v>112</v>
      </c>
      <c r="X738" s="163" t="s">
        <v>112</v>
      </c>
      <c r="Y738" s="163" t="s">
        <v>112</v>
      </c>
      <c r="Z738" s="8" t="s">
        <v>36</v>
      </c>
      <c r="AA738" s="23" t="s">
        <v>144</v>
      </c>
      <c r="AB738" s="21" t="s">
        <v>296</v>
      </c>
      <c r="AE738" s="24"/>
      <c r="AM738" s="24"/>
    </row>
    <row r="739" ht="15.75" customHeight="1">
      <c r="A739" s="8">
        <v>311.0</v>
      </c>
      <c r="B739" s="163" t="s">
        <v>2544</v>
      </c>
      <c r="C739" s="167" t="s">
        <v>48</v>
      </c>
      <c r="D739" s="163" t="s">
        <v>112</v>
      </c>
      <c r="E739" s="163" t="s">
        <v>112</v>
      </c>
      <c r="F739" s="173">
        <v>39502.0</v>
      </c>
      <c r="G739" s="169">
        <v>39479.0</v>
      </c>
      <c r="H739" s="42" t="str">
        <f t="shared" si="36"/>
        <v>2008</v>
      </c>
      <c r="I739" s="8" t="s">
        <v>176</v>
      </c>
      <c r="J739" s="163" t="s">
        <v>112</v>
      </c>
      <c r="K739" s="163" t="s">
        <v>112</v>
      </c>
      <c r="L739" s="167" t="s">
        <v>112</v>
      </c>
      <c r="M739" s="163" t="s">
        <v>177</v>
      </c>
      <c r="N739" s="174" t="s">
        <v>112</v>
      </c>
      <c r="O739" s="45"/>
      <c r="P739" s="163" t="s">
        <v>106</v>
      </c>
      <c r="Q739" s="167" t="s">
        <v>112</v>
      </c>
      <c r="R739" s="167" t="s">
        <v>112</v>
      </c>
      <c r="S739" s="167" t="s">
        <v>112</v>
      </c>
      <c r="T739" s="167" t="s">
        <v>112</v>
      </c>
      <c r="U739" s="167" t="s">
        <v>112</v>
      </c>
      <c r="V739" s="167" t="s">
        <v>2534</v>
      </c>
      <c r="W739" s="163" t="s">
        <v>112</v>
      </c>
      <c r="X739" s="163" t="s">
        <v>112</v>
      </c>
      <c r="Y739" s="163" t="s">
        <v>112</v>
      </c>
      <c r="Z739" s="8" t="s">
        <v>36</v>
      </c>
      <c r="AA739" s="23" t="s">
        <v>144</v>
      </c>
      <c r="AB739" s="21" t="s">
        <v>296</v>
      </c>
      <c r="AE739" s="24"/>
      <c r="AM739" s="24"/>
    </row>
    <row r="740" ht="15.75" customHeight="1">
      <c r="A740" s="47">
        <v>313.0</v>
      </c>
      <c r="B740" s="163" t="s">
        <v>2545</v>
      </c>
      <c r="C740" s="167" t="s">
        <v>48</v>
      </c>
      <c r="D740" s="181" t="s">
        <v>112</v>
      </c>
      <c r="E740" s="163" t="s">
        <v>112</v>
      </c>
      <c r="F740" s="172">
        <v>39524.0</v>
      </c>
      <c r="G740" s="183">
        <v>39508.0</v>
      </c>
      <c r="H740" s="42" t="str">
        <f t="shared" si="36"/>
        <v>2008</v>
      </c>
      <c r="I740" s="8" t="s">
        <v>846</v>
      </c>
      <c r="J740" s="181" t="s">
        <v>112</v>
      </c>
      <c r="K740" s="141" t="s">
        <v>99</v>
      </c>
      <c r="L740" s="167" t="s">
        <v>112</v>
      </c>
      <c r="M740" s="163" t="s">
        <v>177</v>
      </c>
      <c r="N740" s="174" t="s">
        <v>112</v>
      </c>
      <c r="O740" s="45"/>
      <c r="P740" s="163" t="s">
        <v>106</v>
      </c>
      <c r="Q740" s="181" t="s">
        <v>112</v>
      </c>
      <c r="R740" s="163" t="s">
        <v>112</v>
      </c>
      <c r="S740" s="163" t="s">
        <v>112</v>
      </c>
      <c r="T740" s="163" t="s">
        <v>112</v>
      </c>
      <c r="U740" s="163" t="s">
        <v>112</v>
      </c>
      <c r="V740" s="167" t="s">
        <v>779</v>
      </c>
      <c r="W740" s="181" t="s">
        <v>112</v>
      </c>
      <c r="X740" s="181" t="s">
        <v>112</v>
      </c>
      <c r="Y740" s="181" t="s">
        <v>112</v>
      </c>
      <c r="Z740" s="47" t="s">
        <v>37</v>
      </c>
      <c r="AA740" s="23" t="s">
        <v>115</v>
      </c>
      <c r="AB740" s="21" t="s">
        <v>296</v>
      </c>
      <c r="AE740" s="24"/>
      <c r="AM740" s="24"/>
    </row>
    <row r="741" ht="15.75" customHeight="1">
      <c r="A741" s="47">
        <v>314.0</v>
      </c>
      <c r="B741" s="163" t="s">
        <v>2546</v>
      </c>
      <c r="C741" s="167" t="s">
        <v>48</v>
      </c>
      <c r="D741" s="181" t="s">
        <v>112</v>
      </c>
      <c r="E741" s="163" t="s">
        <v>112</v>
      </c>
      <c r="F741" s="172">
        <v>39526.0</v>
      </c>
      <c r="G741" s="183">
        <v>39508.0</v>
      </c>
      <c r="H741" s="42" t="str">
        <f t="shared" si="36"/>
        <v>2008</v>
      </c>
      <c r="I741" s="8" t="s">
        <v>176</v>
      </c>
      <c r="J741" s="181" t="s">
        <v>112</v>
      </c>
      <c r="K741" s="141" t="s">
        <v>99</v>
      </c>
      <c r="L741" s="167" t="s">
        <v>1336</v>
      </c>
      <c r="M741" s="168" t="s">
        <v>177</v>
      </c>
      <c r="N741" s="174" t="s">
        <v>112</v>
      </c>
      <c r="O741" s="45" t="s">
        <v>2547</v>
      </c>
      <c r="P741" s="163" t="s">
        <v>106</v>
      </c>
      <c r="Q741" s="181" t="s">
        <v>112</v>
      </c>
      <c r="R741" s="163" t="s">
        <v>112</v>
      </c>
      <c r="S741" s="163" t="s">
        <v>112</v>
      </c>
      <c r="T741" s="163" t="s">
        <v>112</v>
      </c>
      <c r="U741" s="163" t="s">
        <v>112</v>
      </c>
      <c r="V741" s="167" t="s">
        <v>836</v>
      </c>
      <c r="W741" s="181" t="s">
        <v>112</v>
      </c>
      <c r="X741" s="181" t="s">
        <v>112</v>
      </c>
      <c r="Y741" s="181" t="s">
        <v>112</v>
      </c>
      <c r="Z741" s="47" t="s">
        <v>37</v>
      </c>
      <c r="AA741" s="23" t="s">
        <v>115</v>
      </c>
      <c r="AB741" s="21" t="s">
        <v>296</v>
      </c>
      <c r="AE741" s="24"/>
      <c r="AM741" s="24"/>
    </row>
    <row r="742" ht="15.75" customHeight="1">
      <c r="A742" s="47">
        <v>315.0</v>
      </c>
      <c r="B742" s="163" t="s">
        <v>2548</v>
      </c>
      <c r="C742" s="167" t="s">
        <v>48</v>
      </c>
      <c r="D742" s="181" t="s">
        <v>112</v>
      </c>
      <c r="E742" s="163" t="s">
        <v>112</v>
      </c>
      <c r="F742" s="172">
        <v>39527.0</v>
      </c>
      <c r="G742" s="183">
        <v>39508.0</v>
      </c>
      <c r="H742" s="42" t="str">
        <f t="shared" si="36"/>
        <v>2008</v>
      </c>
      <c r="I742" s="8" t="s">
        <v>176</v>
      </c>
      <c r="J742" s="181" t="s">
        <v>112</v>
      </c>
      <c r="K742" s="141" t="s">
        <v>99</v>
      </c>
      <c r="L742" s="167" t="s">
        <v>112</v>
      </c>
      <c r="M742" s="173" t="s">
        <v>177</v>
      </c>
      <c r="N742" s="174" t="s">
        <v>2549</v>
      </c>
      <c r="O742" s="45"/>
      <c r="P742" s="163" t="s">
        <v>106</v>
      </c>
      <c r="Q742" s="181" t="s">
        <v>112</v>
      </c>
      <c r="R742" s="163" t="s">
        <v>112</v>
      </c>
      <c r="S742" s="163" t="s">
        <v>112</v>
      </c>
      <c r="T742" s="163" t="s">
        <v>112</v>
      </c>
      <c r="U742" s="163" t="s">
        <v>112</v>
      </c>
      <c r="V742" s="167" t="s">
        <v>2321</v>
      </c>
      <c r="W742" s="181" t="s">
        <v>112</v>
      </c>
      <c r="X742" s="181" t="s">
        <v>112</v>
      </c>
      <c r="Y742" s="181" t="s">
        <v>112</v>
      </c>
      <c r="Z742" s="47" t="s">
        <v>37</v>
      </c>
      <c r="AA742" s="23" t="s">
        <v>115</v>
      </c>
      <c r="AB742" s="21" t="s">
        <v>296</v>
      </c>
      <c r="AE742" s="24"/>
      <c r="AM742" s="24"/>
    </row>
    <row r="743" ht="15.75" customHeight="1">
      <c r="A743" s="47">
        <v>317.0</v>
      </c>
      <c r="B743" s="163" t="s">
        <v>2550</v>
      </c>
      <c r="C743" s="167" t="s">
        <v>48</v>
      </c>
      <c r="D743" s="181" t="s">
        <v>112</v>
      </c>
      <c r="E743" s="163" t="s">
        <v>112</v>
      </c>
      <c r="F743" s="172">
        <v>39569.0</v>
      </c>
      <c r="G743" s="183">
        <v>39569.0</v>
      </c>
      <c r="H743" s="42" t="str">
        <f t="shared" si="36"/>
        <v>2008</v>
      </c>
      <c r="I743" s="8" t="s">
        <v>176</v>
      </c>
      <c r="J743" s="181" t="s">
        <v>112</v>
      </c>
      <c r="K743" s="141" t="s">
        <v>99</v>
      </c>
      <c r="L743" s="167" t="s">
        <v>1336</v>
      </c>
      <c r="M743" s="168" t="s">
        <v>177</v>
      </c>
      <c r="N743" s="174" t="s">
        <v>112</v>
      </c>
      <c r="O743" s="45" t="s">
        <v>1818</v>
      </c>
      <c r="P743" s="163" t="s">
        <v>106</v>
      </c>
      <c r="Q743" s="181" t="s">
        <v>112</v>
      </c>
      <c r="R743" s="163" t="s">
        <v>112</v>
      </c>
      <c r="S743" s="163" t="s">
        <v>112</v>
      </c>
      <c r="T743" s="163" t="s">
        <v>112</v>
      </c>
      <c r="U743" s="163" t="s">
        <v>112</v>
      </c>
      <c r="V743" s="167" t="s">
        <v>836</v>
      </c>
      <c r="W743" s="181" t="s">
        <v>112</v>
      </c>
      <c r="X743" s="181" t="s">
        <v>112</v>
      </c>
      <c r="Y743" s="181" t="s">
        <v>112</v>
      </c>
      <c r="Z743" s="47" t="s">
        <v>37</v>
      </c>
      <c r="AA743" s="23" t="s">
        <v>115</v>
      </c>
      <c r="AB743" s="21" t="s">
        <v>296</v>
      </c>
      <c r="AE743" s="24"/>
      <c r="AM743" s="24"/>
    </row>
    <row r="744" ht="15.75" customHeight="1">
      <c r="A744" s="47">
        <v>318.0</v>
      </c>
      <c r="B744" s="163" t="s">
        <v>2551</v>
      </c>
      <c r="C744" s="167" t="s">
        <v>48</v>
      </c>
      <c r="D744" s="181" t="s">
        <v>112</v>
      </c>
      <c r="E744" s="163" t="s">
        <v>112</v>
      </c>
      <c r="F744" s="172">
        <v>39570.0</v>
      </c>
      <c r="G744" s="183">
        <v>39569.0</v>
      </c>
      <c r="H744" s="42" t="str">
        <f t="shared" si="36"/>
        <v>2008</v>
      </c>
      <c r="I744" s="8" t="s">
        <v>63</v>
      </c>
      <c r="J744" s="181" t="s">
        <v>112</v>
      </c>
      <c r="K744" s="141" t="s">
        <v>99</v>
      </c>
      <c r="L744" s="167" t="s">
        <v>112</v>
      </c>
      <c r="M744" s="173" t="s">
        <v>112</v>
      </c>
      <c r="N744" s="174" t="s">
        <v>112</v>
      </c>
      <c r="O744" s="45"/>
      <c r="P744" s="163" t="s">
        <v>106</v>
      </c>
      <c r="Q744" s="181" t="s">
        <v>112</v>
      </c>
      <c r="R744" s="163" t="s">
        <v>112</v>
      </c>
      <c r="S744" s="163" t="s">
        <v>112</v>
      </c>
      <c r="T744" s="163" t="s">
        <v>112</v>
      </c>
      <c r="U744" s="163" t="s">
        <v>112</v>
      </c>
      <c r="V744" s="167" t="s">
        <v>836</v>
      </c>
      <c r="W744" s="181" t="s">
        <v>112</v>
      </c>
      <c r="X744" s="181" t="s">
        <v>112</v>
      </c>
      <c r="Y744" s="181" t="s">
        <v>112</v>
      </c>
      <c r="Z744" s="47" t="s">
        <v>37</v>
      </c>
      <c r="AA744" s="23" t="s">
        <v>115</v>
      </c>
      <c r="AB744" s="21" t="s">
        <v>296</v>
      </c>
      <c r="AE744" s="24"/>
      <c r="AM744" s="24"/>
    </row>
    <row r="745" ht="15.75" customHeight="1">
      <c r="A745" s="47">
        <v>319.0</v>
      </c>
      <c r="B745" s="163" t="s">
        <v>2552</v>
      </c>
      <c r="C745" s="167" t="s">
        <v>48</v>
      </c>
      <c r="D745" s="181" t="s">
        <v>112</v>
      </c>
      <c r="E745" s="163" t="s">
        <v>112</v>
      </c>
      <c r="F745" s="172">
        <v>39570.0</v>
      </c>
      <c r="G745" s="183">
        <v>39569.0</v>
      </c>
      <c r="H745" s="42" t="str">
        <f t="shared" si="36"/>
        <v>2008</v>
      </c>
      <c r="I745" s="8" t="s">
        <v>63</v>
      </c>
      <c r="J745" s="181" t="s">
        <v>112</v>
      </c>
      <c r="K745" s="141" t="s">
        <v>99</v>
      </c>
      <c r="L745" s="167" t="s">
        <v>112</v>
      </c>
      <c r="M745" s="173" t="s">
        <v>112</v>
      </c>
      <c r="N745" s="174" t="s">
        <v>112</v>
      </c>
      <c r="O745" s="45"/>
      <c r="P745" s="163" t="s">
        <v>106</v>
      </c>
      <c r="Q745" s="181" t="s">
        <v>112</v>
      </c>
      <c r="R745" s="163" t="s">
        <v>112</v>
      </c>
      <c r="S745" s="163" t="s">
        <v>112</v>
      </c>
      <c r="T745" s="163" t="s">
        <v>112</v>
      </c>
      <c r="U745" s="163" t="s">
        <v>112</v>
      </c>
      <c r="V745" s="167" t="s">
        <v>836</v>
      </c>
      <c r="W745" s="181" t="s">
        <v>112</v>
      </c>
      <c r="X745" s="181" t="s">
        <v>112</v>
      </c>
      <c r="Y745" s="181" t="s">
        <v>112</v>
      </c>
      <c r="Z745" s="47" t="s">
        <v>37</v>
      </c>
      <c r="AA745" s="23" t="s">
        <v>115</v>
      </c>
      <c r="AB745" s="21" t="s">
        <v>296</v>
      </c>
      <c r="AE745" s="24"/>
      <c r="AM745" s="24"/>
    </row>
    <row r="746" ht="15.75" customHeight="1">
      <c r="A746" s="47">
        <v>322.0</v>
      </c>
      <c r="B746" s="163" t="s">
        <v>2553</v>
      </c>
      <c r="C746" s="167" t="s">
        <v>48</v>
      </c>
      <c r="D746" s="181" t="s">
        <v>112</v>
      </c>
      <c r="E746" s="163" t="s">
        <v>112</v>
      </c>
      <c r="F746" s="172">
        <v>39573.0</v>
      </c>
      <c r="G746" s="183">
        <v>39569.0</v>
      </c>
      <c r="H746" s="42" t="str">
        <f t="shared" si="36"/>
        <v>2008</v>
      </c>
      <c r="I746" s="8" t="s">
        <v>186</v>
      </c>
      <c r="J746" s="181" t="s">
        <v>112</v>
      </c>
      <c r="K746" s="141" t="s">
        <v>99</v>
      </c>
      <c r="L746" s="167" t="s">
        <v>112</v>
      </c>
      <c r="M746" s="173" t="s">
        <v>112</v>
      </c>
      <c r="N746" s="174" t="s">
        <v>112</v>
      </c>
      <c r="O746" s="45"/>
      <c r="P746" s="163" t="s">
        <v>106</v>
      </c>
      <c r="Q746" s="181" t="s">
        <v>112</v>
      </c>
      <c r="R746" s="163" t="s">
        <v>112</v>
      </c>
      <c r="S746" s="163" t="s">
        <v>112</v>
      </c>
      <c r="T746" s="163" t="s">
        <v>112</v>
      </c>
      <c r="U746" s="163" t="s">
        <v>112</v>
      </c>
      <c r="V746" s="167" t="s">
        <v>836</v>
      </c>
      <c r="W746" s="181" t="s">
        <v>112</v>
      </c>
      <c r="X746" s="181" t="s">
        <v>112</v>
      </c>
      <c r="Y746" s="181" t="s">
        <v>112</v>
      </c>
      <c r="Z746" s="47" t="s">
        <v>37</v>
      </c>
      <c r="AA746" s="23" t="s">
        <v>115</v>
      </c>
      <c r="AB746" s="21" t="s">
        <v>296</v>
      </c>
      <c r="AE746" s="24"/>
      <c r="AM746" s="24"/>
    </row>
    <row r="747" ht="15.75" customHeight="1">
      <c r="A747" s="47">
        <v>323.0</v>
      </c>
      <c r="B747" s="163" t="s">
        <v>2554</v>
      </c>
      <c r="C747" s="167" t="s">
        <v>48</v>
      </c>
      <c r="D747" s="181" t="s">
        <v>112</v>
      </c>
      <c r="E747" s="163" t="s">
        <v>112</v>
      </c>
      <c r="F747" s="172">
        <v>39574.0</v>
      </c>
      <c r="G747" s="183">
        <v>39569.0</v>
      </c>
      <c r="H747" s="42" t="str">
        <f t="shared" si="36"/>
        <v>2008</v>
      </c>
      <c r="I747" s="8" t="s">
        <v>186</v>
      </c>
      <c r="J747" s="181" t="s">
        <v>112</v>
      </c>
      <c r="K747" s="141" t="s">
        <v>99</v>
      </c>
      <c r="L747" s="167" t="s">
        <v>112</v>
      </c>
      <c r="M747" s="173" t="s">
        <v>112</v>
      </c>
      <c r="N747" s="174" t="s">
        <v>112</v>
      </c>
      <c r="O747" s="45"/>
      <c r="P747" s="163" t="s">
        <v>106</v>
      </c>
      <c r="Q747" s="181" t="s">
        <v>112</v>
      </c>
      <c r="R747" s="163" t="s">
        <v>112</v>
      </c>
      <c r="S747" s="163" t="s">
        <v>112</v>
      </c>
      <c r="T747" s="163" t="s">
        <v>112</v>
      </c>
      <c r="U747" s="163" t="s">
        <v>112</v>
      </c>
      <c r="V747" s="167" t="s">
        <v>836</v>
      </c>
      <c r="W747" s="181" t="s">
        <v>112</v>
      </c>
      <c r="X747" s="181" t="s">
        <v>112</v>
      </c>
      <c r="Y747" s="181" t="s">
        <v>112</v>
      </c>
      <c r="Z747" s="47" t="s">
        <v>37</v>
      </c>
      <c r="AA747" s="23" t="s">
        <v>115</v>
      </c>
      <c r="AB747" s="21" t="s">
        <v>296</v>
      </c>
      <c r="AE747" s="24"/>
      <c r="AM747" s="24"/>
    </row>
    <row r="748" ht="15.75" customHeight="1">
      <c r="A748" s="47">
        <v>324.0</v>
      </c>
      <c r="B748" s="163" t="s">
        <v>2555</v>
      </c>
      <c r="C748" s="167" t="s">
        <v>48</v>
      </c>
      <c r="D748" s="181" t="s">
        <v>112</v>
      </c>
      <c r="E748" s="163" t="s">
        <v>112</v>
      </c>
      <c r="F748" s="172">
        <v>39581.0</v>
      </c>
      <c r="G748" s="183">
        <v>39569.0</v>
      </c>
      <c r="H748" s="42" t="str">
        <f t="shared" si="36"/>
        <v>2008</v>
      </c>
      <c r="I748" s="8" t="s">
        <v>846</v>
      </c>
      <c r="J748" s="181" t="s">
        <v>112</v>
      </c>
      <c r="K748" s="141" t="s">
        <v>99</v>
      </c>
      <c r="L748" s="167" t="s">
        <v>112</v>
      </c>
      <c r="M748" s="163" t="s">
        <v>177</v>
      </c>
      <c r="N748" s="174" t="s">
        <v>112</v>
      </c>
      <c r="O748" s="45"/>
      <c r="P748" s="163" t="s">
        <v>106</v>
      </c>
      <c r="Q748" s="181" t="s">
        <v>112</v>
      </c>
      <c r="R748" s="163" t="s">
        <v>112</v>
      </c>
      <c r="S748" s="163" t="s">
        <v>112</v>
      </c>
      <c r="T748" s="163" t="s">
        <v>112</v>
      </c>
      <c r="U748" s="163" t="s">
        <v>112</v>
      </c>
      <c r="V748" s="167" t="s">
        <v>779</v>
      </c>
      <c r="W748" s="181" t="s">
        <v>112</v>
      </c>
      <c r="X748" s="181" t="s">
        <v>112</v>
      </c>
      <c r="Y748" s="181" t="s">
        <v>112</v>
      </c>
      <c r="Z748" s="47" t="s">
        <v>37</v>
      </c>
      <c r="AA748" s="23" t="s">
        <v>115</v>
      </c>
      <c r="AB748" s="21" t="s">
        <v>296</v>
      </c>
      <c r="AE748" s="24"/>
      <c r="AM748" s="24"/>
    </row>
    <row r="749" ht="15.75" customHeight="1">
      <c r="A749" s="47">
        <v>325.0</v>
      </c>
      <c r="B749" s="163" t="s">
        <v>2556</v>
      </c>
      <c r="C749" s="167" t="s">
        <v>48</v>
      </c>
      <c r="D749" s="163" t="s">
        <v>112</v>
      </c>
      <c r="E749" s="163" t="s">
        <v>112</v>
      </c>
      <c r="F749" s="172">
        <v>39582.0</v>
      </c>
      <c r="G749" s="169">
        <v>39569.0</v>
      </c>
      <c r="H749" s="42" t="str">
        <f t="shared" si="36"/>
        <v>2008</v>
      </c>
      <c r="I749" s="8" t="s">
        <v>176</v>
      </c>
      <c r="J749" s="163" t="s">
        <v>112</v>
      </c>
      <c r="K749" s="141" t="s">
        <v>99</v>
      </c>
      <c r="L749" s="167" t="s">
        <v>112</v>
      </c>
      <c r="M749" s="173" t="s">
        <v>177</v>
      </c>
      <c r="N749" s="174" t="s">
        <v>2557</v>
      </c>
      <c r="O749" s="45"/>
      <c r="P749" s="163" t="s">
        <v>106</v>
      </c>
      <c r="Q749" s="163" t="s">
        <v>112</v>
      </c>
      <c r="R749" s="163" t="s">
        <v>112</v>
      </c>
      <c r="S749" s="163" t="s">
        <v>112</v>
      </c>
      <c r="T749" s="163" t="s">
        <v>112</v>
      </c>
      <c r="U749" s="163" t="s">
        <v>112</v>
      </c>
      <c r="V749" s="167" t="s">
        <v>717</v>
      </c>
      <c r="W749" s="163" t="s">
        <v>112</v>
      </c>
      <c r="X749" s="163" t="s">
        <v>112</v>
      </c>
      <c r="Y749" s="163" t="s">
        <v>112</v>
      </c>
      <c r="Z749" s="47" t="s">
        <v>37</v>
      </c>
      <c r="AA749" s="23" t="s">
        <v>115</v>
      </c>
      <c r="AB749" s="21" t="s">
        <v>296</v>
      </c>
      <c r="AE749" s="24"/>
      <c r="AM749" s="24"/>
    </row>
    <row r="750" ht="15.75" customHeight="1">
      <c r="A750" s="47">
        <v>326.0</v>
      </c>
      <c r="B750" s="163" t="s">
        <v>2558</v>
      </c>
      <c r="C750" s="167" t="s">
        <v>48</v>
      </c>
      <c r="D750" s="181" t="s">
        <v>112</v>
      </c>
      <c r="E750" s="163" t="s">
        <v>112</v>
      </c>
      <c r="F750" s="172">
        <v>39582.0</v>
      </c>
      <c r="G750" s="183">
        <v>39569.0</v>
      </c>
      <c r="H750" s="42" t="str">
        <f t="shared" si="36"/>
        <v>2008</v>
      </c>
      <c r="I750" s="8" t="s">
        <v>846</v>
      </c>
      <c r="J750" s="181" t="s">
        <v>112</v>
      </c>
      <c r="K750" s="141" t="s">
        <v>99</v>
      </c>
      <c r="L750" s="167" t="s">
        <v>112</v>
      </c>
      <c r="M750" s="163" t="s">
        <v>177</v>
      </c>
      <c r="N750" s="174" t="s">
        <v>112</v>
      </c>
      <c r="O750" s="45"/>
      <c r="P750" s="163" t="s">
        <v>106</v>
      </c>
      <c r="Q750" s="181" t="s">
        <v>112</v>
      </c>
      <c r="R750" s="163" t="s">
        <v>112</v>
      </c>
      <c r="S750" s="163" t="s">
        <v>112</v>
      </c>
      <c r="T750" s="163" t="s">
        <v>112</v>
      </c>
      <c r="U750" s="163" t="s">
        <v>112</v>
      </c>
      <c r="V750" s="167" t="s">
        <v>779</v>
      </c>
      <c r="W750" s="181" t="s">
        <v>112</v>
      </c>
      <c r="X750" s="181" t="s">
        <v>112</v>
      </c>
      <c r="Y750" s="181" t="s">
        <v>112</v>
      </c>
      <c r="Z750" s="47" t="s">
        <v>37</v>
      </c>
      <c r="AA750" s="23" t="s">
        <v>115</v>
      </c>
      <c r="AB750" s="21" t="s">
        <v>296</v>
      </c>
      <c r="AE750" s="24"/>
      <c r="AM750" s="24"/>
    </row>
    <row r="751" ht="15.75" customHeight="1">
      <c r="A751" s="47">
        <v>327.0</v>
      </c>
      <c r="B751" s="163" t="s">
        <v>2559</v>
      </c>
      <c r="C751" s="167" t="s">
        <v>48</v>
      </c>
      <c r="D751" s="181" t="s">
        <v>112</v>
      </c>
      <c r="E751" s="163" t="s">
        <v>112</v>
      </c>
      <c r="F751" s="172">
        <v>39582.0</v>
      </c>
      <c r="G751" s="183">
        <v>39569.0</v>
      </c>
      <c r="H751" s="42" t="str">
        <f t="shared" si="36"/>
        <v>2008</v>
      </c>
      <c r="I751" s="8" t="s">
        <v>186</v>
      </c>
      <c r="J751" s="181" t="s">
        <v>112</v>
      </c>
      <c r="K751" s="141" t="s">
        <v>99</v>
      </c>
      <c r="L751" s="167" t="s">
        <v>112</v>
      </c>
      <c r="M751" s="173" t="s">
        <v>112</v>
      </c>
      <c r="N751" s="174" t="s">
        <v>112</v>
      </c>
      <c r="O751" s="45"/>
      <c r="P751" s="163" t="s">
        <v>106</v>
      </c>
      <c r="Q751" s="181" t="s">
        <v>112</v>
      </c>
      <c r="R751" s="163" t="s">
        <v>112</v>
      </c>
      <c r="S751" s="163" t="s">
        <v>112</v>
      </c>
      <c r="T751" s="163" t="s">
        <v>112</v>
      </c>
      <c r="U751" s="163" t="s">
        <v>112</v>
      </c>
      <c r="V751" s="167" t="s">
        <v>2321</v>
      </c>
      <c r="W751" s="181" t="s">
        <v>112</v>
      </c>
      <c r="X751" s="181" t="s">
        <v>112</v>
      </c>
      <c r="Y751" s="181" t="s">
        <v>112</v>
      </c>
      <c r="Z751" s="47" t="s">
        <v>37</v>
      </c>
      <c r="AA751" s="23" t="s">
        <v>115</v>
      </c>
      <c r="AB751" s="21" t="s">
        <v>296</v>
      </c>
      <c r="AE751" s="24"/>
      <c r="AM751" s="24"/>
    </row>
    <row r="752" ht="15.75" customHeight="1">
      <c r="A752" s="47">
        <v>329.0</v>
      </c>
      <c r="B752" s="163" t="s">
        <v>2560</v>
      </c>
      <c r="C752" s="167" t="s">
        <v>48</v>
      </c>
      <c r="D752" s="181" t="s">
        <v>112</v>
      </c>
      <c r="E752" s="163" t="s">
        <v>112</v>
      </c>
      <c r="F752" s="172">
        <v>39609.0</v>
      </c>
      <c r="G752" s="183">
        <v>39600.0</v>
      </c>
      <c r="H752" s="42" t="str">
        <f t="shared" si="36"/>
        <v>2008</v>
      </c>
      <c r="I752" s="8" t="s">
        <v>176</v>
      </c>
      <c r="J752" s="181" t="s">
        <v>112</v>
      </c>
      <c r="K752" s="141" t="s">
        <v>99</v>
      </c>
      <c r="L752" s="167" t="s">
        <v>112</v>
      </c>
      <c r="M752" s="163" t="s">
        <v>177</v>
      </c>
      <c r="N752" s="174" t="s">
        <v>112</v>
      </c>
      <c r="O752" s="45"/>
      <c r="P752" s="163" t="s">
        <v>106</v>
      </c>
      <c r="Q752" s="181" t="s">
        <v>112</v>
      </c>
      <c r="R752" s="163" t="s">
        <v>112</v>
      </c>
      <c r="S752" s="163" t="s">
        <v>112</v>
      </c>
      <c r="T752" s="163" t="s">
        <v>112</v>
      </c>
      <c r="U752" s="163" t="s">
        <v>112</v>
      </c>
      <c r="V752" s="167" t="s">
        <v>2321</v>
      </c>
      <c r="W752" s="181" t="s">
        <v>112</v>
      </c>
      <c r="X752" s="181" t="s">
        <v>112</v>
      </c>
      <c r="Y752" s="181" t="s">
        <v>112</v>
      </c>
      <c r="Z752" s="47" t="s">
        <v>37</v>
      </c>
      <c r="AA752" s="23" t="s">
        <v>115</v>
      </c>
      <c r="AB752" s="21" t="s">
        <v>296</v>
      </c>
      <c r="AE752" s="24"/>
      <c r="AM752" s="24"/>
    </row>
    <row r="753" ht="15.75" customHeight="1">
      <c r="A753" s="47">
        <v>330.0</v>
      </c>
      <c r="B753" s="163" t="s">
        <v>2561</v>
      </c>
      <c r="C753" s="167" t="s">
        <v>48</v>
      </c>
      <c r="D753" s="181" t="s">
        <v>112</v>
      </c>
      <c r="E753" s="163" t="s">
        <v>112</v>
      </c>
      <c r="F753" s="172">
        <v>39610.0</v>
      </c>
      <c r="G753" s="183">
        <v>39600.0</v>
      </c>
      <c r="H753" s="42" t="str">
        <f t="shared" si="36"/>
        <v>2008</v>
      </c>
      <c r="I753" s="8" t="s">
        <v>63</v>
      </c>
      <c r="J753" s="181" t="s">
        <v>112</v>
      </c>
      <c r="K753" s="141" t="s">
        <v>99</v>
      </c>
      <c r="L753" s="167" t="s">
        <v>112</v>
      </c>
      <c r="M753" s="173" t="s">
        <v>112</v>
      </c>
      <c r="N753" s="174" t="s">
        <v>112</v>
      </c>
      <c r="O753" s="45"/>
      <c r="P753" s="163" t="s">
        <v>106</v>
      </c>
      <c r="Q753" s="181" t="s">
        <v>112</v>
      </c>
      <c r="R753" s="163" t="s">
        <v>112</v>
      </c>
      <c r="S753" s="163" t="s">
        <v>112</v>
      </c>
      <c r="T753" s="163" t="s">
        <v>112</v>
      </c>
      <c r="U753" s="163" t="s">
        <v>112</v>
      </c>
      <c r="V753" s="167" t="s">
        <v>836</v>
      </c>
      <c r="W753" s="181" t="s">
        <v>112</v>
      </c>
      <c r="X753" s="181" t="s">
        <v>112</v>
      </c>
      <c r="Y753" s="181" t="s">
        <v>112</v>
      </c>
      <c r="Z753" s="47" t="s">
        <v>37</v>
      </c>
      <c r="AA753" s="23" t="s">
        <v>115</v>
      </c>
      <c r="AB753" s="21" t="s">
        <v>296</v>
      </c>
      <c r="AE753" s="24"/>
      <c r="AM753" s="24"/>
    </row>
    <row r="754" ht="15.75" customHeight="1">
      <c r="A754" s="47">
        <v>331.0</v>
      </c>
      <c r="B754" s="163" t="s">
        <v>2562</v>
      </c>
      <c r="C754" s="167" t="s">
        <v>48</v>
      </c>
      <c r="D754" s="181" t="s">
        <v>112</v>
      </c>
      <c r="E754" s="163" t="s">
        <v>112</v>
      </c>
      <c r="F754" s="172">
        <v>39615.0</v>
      </c>
      <c r="G754" s="183">
        <v>39600.0</v>
      </c>
      <c r="H754" s="42" t="str">
        <f t="shared" si="36"/>
        <v>2008</v>
      </c>
      <c r="I754" s="8" t="s">
        <v>63</v>
      </c>
      <c r="J754" s="181" t="s">
        <v>112</v>
      </c>
      <c r="K754" s="141" t="s">
        <v>99</v>
      </c>
      <c r="L754" s="167" t="s">
        <v>112</v>
      </c>
      <c r="M754" s="173" t="s">
        <v>112</v>
      </c>
      <c r="N754" s="174" t="s">
        <v>112</v>
      </c>
      <c r="O754" s="45"/>
      <c r="P754" s="163" t="s">
        <v>106</v>
      </c>
      <c r="Q754" s="181" t="s">
        <v>112</v>
      </c>
      <c r="R754" s="163" t="s">
        <v>112</v>
      </c>
      <c r="S754" s="163" t="s">
        <v>112</v>
      </c>
      <c r="T754" s="163" t="s">
        <v>112</v>
      </c>
      <c r="U754" s="163" t="s">
        <v>112</v>
      </c>
      <c r="V754" s="167" t="s">
        <v>836</v>
      </c>
      <c r="W754" s="181" t="s">
        <v>112</v>
      </c>
      <c r="X754" s="181" t="s">
        <v>112</v>
      </c>
      <c r="Y754" s="181" t="s">
        <v>112</v>
      </c>
      <c r="Z754" s="47" t="s">
        <v>37</v>
      </c>
      <c r="AA754" s="23" t="s">
        <v>115</v>
      </c>
      <c r="AB754" s="21" t="s">
        <v>296</v>
      </c>
      <c r="AE754" s="24"/>
      <c r="AM754" s="24"/>
    </row>
    <row r="755" ht="15.75" customHeight="1">
      <c r="A755" s="47">
        <v>333.0</v>
      </c>
      <c r="B755" s="163" t="s">
        <v>2563</v>
      </c>
      <c r="C755" s="167" t="s">
        <v>48</v>
      </c>
      <c r="D755" s="163" t="s">
        <v>112</v>
      </c>
      <c r="E755" s="163" t="s">
        <v>112</v>
      </c>
      <c r="F755" s="172">
        <v>39651.0</v>
      </c>
      <c r="G755" s="169">
        <v>39630.0</v>
      </c>
      <c r="H755" s="42" t="str">
        <f t="shared" si="36"/>
        <v>2008</v>
      </c>
      <c r="I755" s="8" t="s">
        <v>176</v>
      </c>
      <c r="J755" s="163" t="s">
        <v>112</v>
      </c>
      <c r="K755" s="141" t="s">
        <v>99</v>
      </c>
      <c r="L755" s="167" t="s">
        <v>112</v>
      </c>
      <c r="M755" s="163" t="s">
        <v>177</v>
      </c>
      <c r="N755" s="174" t="s">
        <v>112</v>
      </c>
      <c r="O755" s="45"/>
      <c r="P755" s="163" t="s">
        <v>106</v>
      </c>
      <c r="Q755" s="163" t="s">
        <v>112</v>
      </c>
      <c r="R755" s="163" t="s">
        <v>112</v>
      </c>
      <c r="S755" s="163" t="s">
        <v>112</v>
      </c>
      <c r="T755" s="163" t="s">
        <v>112</v>
      </c>
      <c r="U755" s="163" t="s">
        <v>112</v>
      </c>
      <c r="V755" s="167" t="s">
        <v>1051</v>
      </c>
      <c r="W755" s="163" t="s">
        <v>112</v>
      </c>
      <c r="X755" s="163" t="s">
        <v>112</v>
      </c>
      <c r="Y755" s="163" t="s">
        <v>112</v>
      </c>
      <c r="Z755" s="47" t="s">
        <v>37</v>
      </c>
      <c r="AA755" s="23" t="s">
        <v>115</v>
      </c>
      <c r="AB755" s="21" t="s">
        <v>296</v>
      </c>
      <c r="AE755" s="24"/>
      <c r="AM755" s="24"/>
    </row>
    <row r="756" ht="15.75" customHeight="1">
      <c r="A756" s="47">
        <v>336.0</v>
      </c>
      <c r="B756" s="163" t="s">
        <v>2564</v>
      </c>
      <c r="C756" s="167" t="s">
        <v>48</v>
      </c>
      <c r="D756" s="163" t="s">
        <v>112</v>
      </c>
      <c r="E756" s="163" t="s">
        <v>112</v>
      </c>
      <c r="F756" s="172">
        <v>39710.0</v>
      </c>
      <c r="G756" s="169">
        <v>39692.0</v>
      </c>
      <c r="H756" s="42" t="str">
        <f t="shared" si="36"/>
        <v>2008</v>
      </c>
      <c r="I756" s="8" t="s">
        <v>176</v>
      </c>
      <c r="J756" s="163" t="s">
        <v>112</v>
      </c>
      <c r="K756" s="141" t="s">
        <v>99</v>
      </c>
      <c r="L756" s="167" t="s">
        <v>112</v>
      </c>
      <c r="M756" s="173" t="s">
        <v>177</v>
      </c>
      <c r="N756" s="174" t="s">
        <v>2557</v>
      </c>
      <c r="O756" s="45" t="s">
        <v>2565</v>
      </c>
      <c r="P756" s="163" t="s">
        <v>106</v>
      </c>
      <c r="Q756" s="163" t="s">
        <v>112</v>
      </c>
      <c r="R756" s="163" t="s">
        <v>112</v>
      </c>
      <c r="S756" s="163" t="s">
        <v>112</v>
      </c>
      <c r="T756" s="163" t="s">
        <v>112</v>
      </c>
      <c r="U756" s="163" t="s">
        <v>112</v>
      </c>
      <c r="V756" s="167" t="s">
        <v>717</v>
      </c>
      <c r="W756" s="163" t="s">
        <v>112</v>
      </c>
      <c r="X756" s="163" t="s">
        <v>112</v>
      </c>
      <c r="Y756" s="163" t="s">
        <v>112</v>
      </c>
      <c r="Z756" s="47" t="s">
        <v>37</v>
      </c>
      <c r="AA756" s="23" t="s">
        <v>115</v>
      </c>
      <c r="AB756" s="21" t="s">
        <v>296</v>
      </c>
      <c r="AE756" s="24"/>
      <c r="AM756" s="24"/>
    </row>
    <row r="757" ht="15.75" customHeight="1">
      <c r="A757" s="47">
        <v>337.0</v>
      </c>
      <c r="B757" s="163" t="s">
        <v>2566</v>
      </c>
      <c r="C757" s="167" t="s">
        <v>48</v>
      </c>
      <c r="D757" s="163" t="s">
        <v>112</v>
      </c>
      <c r="E757" s="163" t="s">
        <v>112</v>
      </c>
      <c r="F757" s="172">
        <v>39717.0</v>
      </c>
      <c r="G757" s="169">
        <v>39692.0</v>
      </c>
      <c r="H757" s="42" t="str">
        <f t="shared" si="36"/>
        <v>2008</v>
      </c>
      <c r="I757" s="8" t="s">
        <v>63</v>
      </c>
      <c r="J757" s="163" t="s">
        <v>112</v>
      </c>
      <c r="K757" s="141" t="s">
        <v>99</v>
      </c>
      <c r="L757" s="167" t="s">
        <v>112</v>
      </c>
      <c r="M757" s="173" t="s">
        <v>112</v>
      </c>
      <c r="N757" s="174" t="s">
        <v>112</v>
      </c>
      <c r="O757" s="45"/>
      <c r="P757" s="163" t="s">
        <v>106</v>
      </c>
      <c r="Q757" s="163" t="s">
        <v>112</v>
      </c>
      <c r="R757" s="163" t="s">
        <v>112</v>
      </c>
      <c r="S757" s="163" t="s">
        <v>112</v>
      </c>
      <c r="T757" s="163" t="s">
        <v>112</v>
      </c>
      <c r="U757" s="163" t="s">
        <v>112</v>
      </c>
      <c r="V757" s="167" t="s">
        <v>1051</v>
      </c>
      <c r="W757" s="163" t="s">
        <v>112</v>
      </c>
      <c r="X757" s="163" t="s">
        <v>112</v>
      </c>
      <c r="Y757" s="163" t="s">
        <v>112</v>
      </c>
      <c r="Z757" s="47" t="s">
        <v>37</v>
      </c>
      <c r="AA757" s="23" t="s">
        <v>115</v>
      </c>
      <c r="AB757" s="21" t="s">
        <v>296</v>
      </c>
      <c r="AE757" s="24"/>
      <c r="AM757" s="24"/>
    </row>
    <row r="758" ht="15.75" customHeight="1">
      <c r="A758" s="47">
        <v>338.0</v>
      </c>
      <c r="B758" s="163" t="s">
        <v>2567</v>
      </c>
      <c r="C758" s="167" t="s">
        <v>48</v>
      </c>
      <c r="D758" s="163" t="s">
        <v>112</v>
      </c>
      <c r="E758" s="163" t="s">
        <v>112</v>
      </c>
      <c r="F758" s="172">
        <v>39743.0</v>
      </c>
      <c r="G758" s="169">
        <v>39722.0</v>
      </c>
      <c r="H758" s="42" t="str">
        <f t="shared" si="36"/>
        <v>2008</v>
      </c>
      <c r="I758" s="8" t="s">
        <v>176</v>
      </c>
      <c r="J758" s="163" t="s">
        <v>112</v>
      </c>
      <c r="K758" s="141" t="s">
        <v>99</v>
      </c>
      <c r="L758" s="167" t="s">
        <v>1336</v>
      </c>
      <c r="M758" s="173" t="s">
        <v>177</v>
      </c>
      <c r="N758" s="174" t="s">
        <v>112</v>
      </c>
      <c r="O758" s="45" t="s">
        <v>2568</v>
      </c>
      <c r="P758" s="163" t="s">
        <v>106</v>
      </c>
      <c r="Q758" s="167" t="s">
        <v>112</v>
      </c>
      <c r="R758" s="167" t="s">
        <v>112</v>
      </c>
      <c r="S758" s="167" t="s">
        <v>112</v>
      </c>
      <c r="T758" s="167" t="s">
        <v>112</v>
      </c>
      <c r="U758" s="167" t="s">
        <v>112</v>
      </c>
      <c r="V758" s="167" t="s">
        <v>2329</v>
      </c>
      <c r="W758" s="163" t="s">
        <v>112</v>
      </c>
      <c r="X758" s="163" t="s">
        <v>112</v>
      </c>
      <c r="Y758" s="163" t="s">
        <v>112</v>
      </c>
      <c r="Z758" s="47" t="s">
        <v>37</v>
      </c>
      <c r="AA758" s="23" t="s">
        <v>115</v>
      </c>
      <c r="AB758" s="21" t="s">
        <v>296</v>
      </c>
      <c r="AE758" s="24"/>
      <c r="AM758" s="24"/>
    </row>
    <row r="759" ht="15.75" customHeight="1">
      <c r="A759" s="47">
        <v>339.0</v>
      </c>
      <c r="B759" s="163" t="s">
        <v>2569</v>
      </c>
      <c r="C759" s="167" t="s">
        <v>48</v>
      </c>
      <c r="D759" s="163" t="s">
        <v>112</v>
      </c>
      <c r="E759" s="163" t="s">
        <v>112</v>
      </c>
      <c r="F759" s="172">
        <v>39745.0</v>
      </c>
      <c r="G759" s="169">
        <v>39722.0</v>
      </c>
      <c r="H759" s="42" t="str">
        <f t="shared" si="36"/>
        <v>2008</v>
      </c>
      <c r="I759" s="8" t="s">
        <v>186</v>
      </c>
      <c r="J759" s="163" t="s">
        <v>112</v>
      </c>
      <c r="K759" s="141" t="s">
        <v>99</v>
      </c>
      <c r="L759" s="167" t="s">
        <v>112</v>
      </c>
      <c r="M759" s="173" t="s">
        <v>112</v>
      </c>
      <c r="N759" s="174" t="s">
        <v>112</v>
      </c>
      <c r="O759" s="45"/>
      <c r="P759" s="163" t="s">
        <v>106</v>
      </c>
      <c r="Q759" s="167" t="s">
        <v>112</v>
      </c>
      <c r="R759" s="167" t="s">
        <v>112</v>
      </c>
      <c r="S759" s="167" t="s">
        <v>112</v>
      </c>
      <c r="T759" s="167" t="s">
        <v>112</v>
      </c>
      <c r="U759" s="167" t="s">
        <v>112</v>
      </c>
      <c r="V759" s="167" t="s">
        <v>2329</v>
      </c>
      <c r="W759" s="163" t="s">
        <v>112</v>
      </c>
      <c r="X759" s="163" t="s">
        <v>112</v>
      </c>
      <c r="Y759" s="163" t="s">
        <v>112</v>
      </c>
      <c r="Z759" s="47" t="s">
        <v>37</v>
      </c>
      <c r="AA759" s="23" t="s">
        <v>115</v>
      </c>
      <c r="AB759" s="21" t="s">
        <v>296</v>
      </c>
      <c r="AE759" s="24"/>
      <c r="AM759" s="24"/>
    </row>
    <row r="760" ht="15.75" customHeight="1">
      <c r="A760" s="47">
        <v>341.0</v>
      </c>
      <c r="B760" s="163" t="s">
        <v>2570</v>
      </c>
      <c r="C760" s="167" t="s">
        <v>48</v>
      </c>
      <c r="D760" s="181" t="s">
        <v>112</v>
      </c>
      <c r="E760" s="163" t="s">
        <v>112</v>
      </c>
      <c r="F760" s="172">
        <v>39761.0</v>
      </c>
      <c r="G760" s="183">
        <v>39753.0</v>
      </c>
      <c r="H760" s="42" t="str">
        <f t="shared" si="36"/>
        <v>2008</v>
      </c>
      <c r="I760" s="8" t="s">
        <v>176</v>
      </c>
      <c r="J760" s="181" t="s">
        <v>112</v>
      </c>
      <c r="K760" s="141" t="s">
        <v>99</v>
      </c>
      <c r="L760" s="167" t="s">
        <v>1336</v>
      </c>
      <c r="M760" s="168" t="s">
        <v>177</v>
      </c>
      <c r="N760" s="174" t="s">
        <v>2571</v>
      </c>
      <c r="O760" s="45" t="s">
        <v>1833</v>
      </c>
      <c r="P760" s="163" t="s">
        <v>106</v>
      </c>
      <c r="Q760" s="181" t="s">
        <v>112</v>
      </c>
      <c r="R760" s="163" t="s">
        <v>112</v>
      </c>
      <c r="S760" s="163" t="s">
        <v>112</v>
      </c>
      <c r="T760" s="163" t="s">
        <v>112</v>
      </c>
      <c r="U760" s="163" t="s">
        <v>112</v>
      </c>
      <c r="V760" s="167" t="s">
        <v>836</v>
      </c>
      <c r="W760" s="181" t="s">
        <v>112</v>
      </c>
      <c r="X760" s="181" t="s">
        <v>112</v>
      </c>
      <c r="Y760" s="181" t="s">
        <v>112</v>
      </c>
      <c r="Z760" s="47" t="s">
        <v>37</v>
      </c>
      <c r="AA760" s="23" t="s">
        <v>115</v>
      </c>
      <c r="AB760" s="21" t="s">
        <v>296</v>
      </c>
      <c r="AE760" s="24"/>
      <c r="AM760" s="24"/>
    </row>
    <row r="761" ht="15.75" customHeight="1">
      <c r="A761" s="47">
        <v>342.0</v>
      </c>
      <c r="B761" s="163" t="s">
        <v>2572</v>
      </c>
      <c r="C761" s="167" t="s">
        <v>48</v>
      </c>
      <c r="D761" s="181" t="s">
        <v>112</v>
      </c>
      <c r="E761" s="163" t="s">
        <v>112</v>
      </c>
      <c r="F761" s="172">
        <v>39765.0</v>
      </c>
      <c r="G761" s="183">
        <v>39753.0</v>
      </c>
      <c r="H761" s="42" t="str">
        <f t="shared" si="36"/>
        <v>2008</v>
      </c>
      <c r="I761" s="8" t="s">
        <v>186</v>
      </c>
      <c r="J761" s="181" t="s">
        <v>112</v>
      </c>
      <c r="K761" s="141" t="s">
        <v>99</v>
      </c>
      <c r="L761" s="167" t="s">
        <v>112</v>
      </c>
      <c r="M761" s="173" t="s">
        <v>112</v>
      </c>
      <c r="N761" s="174" t="s">
        <v>112</v>
      </c>
      <c r="O761" s="45"/>
      <c r="P761" s="163" t="s">
        <v>106</v>
      </c>
      <c r="Q761" s="181" t="s">
        <v>112</v>
      </c>
      <c r="R761" s="163" t="s">
        <v>112</v>
      </c>
      <c r="S761" s="163" t="s">
        <v>112</v>
      </c>
      <c r="T761" s="163" t="s">
        <v>112</v>
      </c>
      <c r="U761" s="163" t="s">
        <v>112</v>
      </c>
      <c r="V761" s="167" t="s">
        <v>779</v>
      </c>
      <c r="W761" s="181" t="s">
        <v>112</v>
      </c>
      <c r="X761" s="181" t="s">
        <v>112</v>
      </c>
      <c r="Y761" s="181" t="s">
        <v>112</v>
      </c>
      <c r="Z761" s="47" t="s">
        <v>37</v>
      </c>
      <c r="AA761" s="23" t="s">
        <v>115</v>
      </c>
      <c r="AB761" s="21" t="s">
        <v>296</v>
      </c>
      <c r="AE761" s="24"/>
      <c r="AM761" s="24"/>
    </row>
    <row r="762" ht="15.75" customHeight="1">
      <c r="A762" s="47">
        <v>343.0</v>
      </c>
      <c r="B762" s="163" t="s">
        <v>2573</v>
      </c>
      <c r="C762" s="167" t="s">
        <v>48</v>
      </c>
      <c r="D762" s="181" t="s">
        <v>112</v>
      </c>
      <c r="E762" s="163" t="s">
        <v>112</v>
      </c>
      <c r="F762" s="172">
        <v>39765.0</v>
      </c>
      <c r="G762" s="183">
        <v>39753.0</v>
      </c>
      <c r="H762" s="42" t="str">
        <f t="shared" si="36"/>
        <v>2008</v>
      </c>
      <c r="I762" s="8" t="s">
        <v>846</v>
      </c>
      <c r="J762" s="181" t="s">
        <v>112</v>
      </c>
      <c r="K762" s="141" t="s">
        <v>99</v>
      </c>
      <c r="L762" s="167" t="s">
        <v>112</v>
      </c>
      <c r="M762" s="163" t="s">
        <v>177</v>
      </c>
      <c r="N762" s="174" t="s">
        <v>112</v>
      </c>
      <c r="O762" s="45"/>
      <c r="P762" s="163" t="s">
        <v>106</v>
      </c>
      <c r="Q762" s="181" t="s">
        <v>112</v>
      </c>
      <c r="R762" s="163" t="s">
        <v>112</v>
      </c>
      <c r="S762" s="163" t="s">
        <v>112</v>
      </c>
      <c r="T762" s="163" t="s">
        <v>112</v>
      </c>
      <c r="U762" s="163" t="s">
        <v>112</v>
      </c>
      <c r="V762" s="167" t="s">
        <v>779</v>
      </c>
      <c r="W762" s="181" t="s">
        <v>112</v>
      </c>
      <c r="X762" s="181" t="s">
        <v>112</v>
      </c>
      <c r="Y762" s="181" t="s">
        <v>112</v>
      </c>
      <c r="Z762" s="47" t="s">
        <v>37</v>
      </c>
      <c r="AA762" s="23" t="s">
        <v>115</v>
      </c>
      <c r="AB762" s="21" t="s">
        <v>296</v>
      </c>
      <c r="AE762" s="24"/>
      <c r="AM762" s="24"/>
    </row>
    <row r="763" ht="15.75" customHeight="1">
      <c r="A763" s="47">
        <v>344.0</v>
      </c>
      <c r="B763" s="163" t="s">
        <v>2574</v>
      </c>
      <c r="C763" s="167" t="s">
        <v>48</v>
      </c>
      <c r="D763" s="181" t="s">
        <v>112</v>
      </c>
      <c r="E763" s="163" t="s">
        <v>112</v>
      </c>
      <c r="F763" s="172">
        <v>39765.0</v>
      </c>
      <c r="G763" s="183">
        <v>39753.0</v>
      </c>
      <c r="H763" s="42" t="str">
        <f t="shared" si="36"/>
        <v>2008</v>
      </c>
      <c r="I763" s="8" t="s">
        <v>846</v>
      </c>
      <c r="J763" s="181" t="s">
        <v>112</v>
      </c>
      <c r="K763" s="141" t="s">
        <v>99</v>
      </c>
      <c r="L763" s="167" t="s">
        <v>112</v>
      </c>
      <c r="M763" s="163" t="s">
        <v>177</v>
      </c>
      <c r="N763" s="174" t="s">
        <v>112</v>
      </c>
      <c r="O763" s="45"/>
      <c r="P763" s="163" t="s">
        <v>106</v>
      </c>
      <c r="Q763" s="181" t="s">
        <v>112</v>
      </c>
      <c r="R763" s="163" t="s">
        <v>112</v>
      </c>
      <c r="S763" s="163" t="s">
        <v>112</v>
      </c>
      <c r="T763" s="163" t="s">
        <v>112</v>
      </c>
      <c r="U763" s="163" t="s">
        <v>112</v>
      </c>
      <c r="V763" s="167" t="s">
        <v>779</v>
      </c>
      <c r="W763" s="181" t="s">
        <v>112</v>
      </c>
      <c r="X763" s="181" t="s">
        <v>112</v>
      </c>
      <c r="Y763" s="181" t="s">
        <v>112</v>
      </c>
      <c r="Z763" s="47" t="s">
        <v>37</v>
      </c>
      <c r="AA763" s="23" t="s">
        <v>115</v>
      </c>
      <c r="AB763" s="21" t="s">
        <v>296</v>
      </c>
      <c r="AE763" s="24"/>
      <c r="AM763" s="24"/>
    </row>
    <row r="764" ht="15.75" customHeight="1">
      <c r="A764" s="47">
        <v>345.0</v>
      </c>
      <c r="B764" s="163" t="s">
        <v>2575</v>
      </c>
      <c r="C764" s="167" t="s">
        <v>48</v>
      </c>
      <c r="D764" s="181" t="s">
        <v>112</v>
      </c>
      <c r="E764" s="163" t="s">
        <v>112</v>
      </c>
      <c r="F764" s="172">
        <v>39765.0</v>
      </c>
      <c r="G764" s="183">
        <v>39753.0</v>
      </c>
      <c r="H764" s="42" t="str">
        <f t="shared" si="36"/>
        <v>2008</v>
      </c>
      <c r="I764" s="8" t="s">
        <v>63</v>
      </c>
      <c r="J764" s="181" t="s">
        <v>112</v>
      </c>
      <c r="K764" s="141" t="s">
        <v>99</v>
      </c>
      <c r="L764" s="167" t="s">
        <v>112</v>
      </c>
      <c r="M764" s="173" t="s">
        <v>112</v>
      </c>
      <c r="N764" s="174" t="s">
        <v>112</v>
      </c>
      <c r="O764" s="45"/>
      <c r="P764" s="163" t="s">
        <v>106</v>
      </c>
      <c r="Q764" s="181" t="s">
        <v>112</v>
      </c>
      <c r="R764" s="163" t="s">
        <v>112</v>
      </c>
      <c r="S764" s="163" t="s">
        <v>112</v>
      </c>
      <c r="T764" s="163" t="s">
        <v>112</v>
      </c>
      <c r="U764" s="163" t="s">
        <v>112</v>
      </c>
      <c r="V764" s="167" t="s">
        <v>779</v>
      </c>
      <c r="W764" s="181" t="s">
        <v>112</v>
      </c>
      <c r="X764" s="181" t="s">
        <v>112</v>
      </c>
      <c r="Y764" s="181" t="s">
        <v>112</v>
      </c>
      <c r="Z764" s="47" t="s">
        <v>37</v>
      </c>
      <c r="AA764" s="23" t="s">
        <v>115</v>
      </c>
      <c r="AB764" s="21" t="s">
        <v>296</v>
      </c>
      <c r="AE764" s="24"/>
      <c r="AM764" s="24"/>
    </row>
    <row r="765" ht="15.75" customHeight="1">
      <c r="A765" s="47">
        <v>346.0</v>
      </c>
      <c r="B765" s="163" t="s">
        <v>2576</v>
      </c>
      <c r="C765" s="167" t="s">
        <v>48</v>
      </c>
      <c r="D765" s="181" t="s">
        <v>112</v>
      </c>
      <c r="E765" s="163" t="s">
        <v>112</v>
      </c>
      <c r="F765" s="172">
        <v>39766.0</v>
      </c>
      <c r="G765" s="183">
        <v>39753.0</v>
      </c>
      <c r="H765" s="42" t="str">
        <f t="shared" si="36"/>
        <v>2008</v>
      </c>
      <c r="I765" s="8" t="s">
        <v>186</v>
      </c>
      <c r="J765" s="181" t="s">
        <v>112</v>
      </c>
      <c r="K765" s="141" t="s">
        <v>99</v>
      </c>
      <c r="L765" s="167" t="s">
        <v>112</v>
      </c>
      <c r="M765" s="173" t="s">
        <v>112</v>
      </c>
      <c r="N765" s="174" t="s">
        <v>112</v>
      </c>
      <c r="O765" s="45"/>
      <c r="P765" s="163" t="s">
        <v>106</v>
      </c>
      <c r="Q765" s="181" t="s">
        <v>112</v>
      </c>
      <c r="R765" s="163" t="s">
        <v>112</v>
      </c>
      <c r="S765" s="163" t="s">
        <v>112</v>
      </c>
      <c r="T765" s="163" t="s">
        <v>112</v>
      </c>
      <c r="U765" s="163" t="s">
        <v>112</v>
      </c>
      <c r="V765" s="167" t="s">
        <v>779</v>
      </c>
      <c r="W765" s="181" t="s">
        <v>112</v>
      </c>
      <c r="X765" s="181" t="s">
        <v>112</v>
      </c>
      <c r="Y765" s="181" t="s">
        <v>112</v>
      </c>
      <c r="Z765" s="47" t="s">
        <v>37</v>
      </c>
      <c r="AA765" s="23" t="s">
        <v>115</v>
      </c>
      <c r="AB765" s="21" t="s">
        <v>296</v>
      </c>
      <c r="AE765" s="24"/>
      <c r="AM765" s="24"/>
    </row>
    <row r="766" ht="15.75" customHeight="1">
      <c r="A766" s="47">
        <v>347.0</v>
      </c>
      <c r="B766" s="163" t="s">
        <v>2577</v>
      </c>
      <c r="C766" s="167" t="s">
        <v>48</v>
      </c>
      <c r="D766" s="181" t="s">
        <v>112</v>
      </c>
      <c r="E766" s="163" t="s">
        <v>112</v>
      </c>
      <c r="F766" s="172">
        <v>39766.0</v>
      </c>
      <c r="G766" s="183">
        <v>39753.0</v>
      </c>
      <c r="H766" s="42" t="str">
        <f t="shared" si="36"/>
        <v>2008</v>
      </c>
      <c r="I766" s="8" t="s">
        <v>846</v>
      </c>
      <c r="J766" s="181" t="s">
        <v>112</v>
      </c>
      <c r="K766" s="141" t="s">
        <v>99</v>
      </c>
      <c r="L766" s="167" t="s">
        <v>112</v>
      </c>
      <c r="M766" s="163" t="s">
        <v>177</v>
      </c>
      <c r="N766" s="174" t="s">
        <v>112</v>
      </c>
      <c r="O766" s="45"/>
      <c r="P766" s="163" t="s">
        <v>106</v>
      </c>
      <c r="Q766" s="181" t="s">
        <v>112</v>
      </c>
      <c r="R766" s="163" t="s">
        <v>112</v>
      </c>
      <c r="S766" s="163" t="s">
        <v>112</v>
      </c>
      <c r="T766" s="163" t="s">
        <v>112</v>
      </c>
      <c r="U766" s="163" t="s">
        <v>112</v>
      </c>
      <c r="V766" s="167" t="s">
        <v>779</v>
      </c>
      <c r="W766" s="181" t="s">
        <v>112</v>
      </c>
      <c r="X766" s="181" t="s">
        <v>112</v>
      </c>
      <c r="Y766" s="181" t="s">
        <v>112</v>
      </c>
      <c r="Z766" s="47" t="s">
        <v>37</v>
      </c>
      <c r="AA766" s="23" t="s">
        <v>115</v>
      </c>
      <c r="AB766" s="21" t="s">
        <v>296</v>
      </c>
      <c r="AE766" s="24"/>
      <c r="AM766" s="24"/>
    </row>
    <row r="767" ht="15.75" customHeight="1">
      <c r="A767" s="47">
        <v>348.0</v>
      </c>
      <c r="B767" s="163" t="s">
        <v>2578</v>
      </c>
      <c r="C767" s="167" t="s">
        <v>48</v>
      </c>
      <c r="D767" s="181" t="s">
        <v>112</v>
      </c>
      <c r="E767" s="163" t="s">
        <v>112</v>
      </c>
      <c r="F767" s="172">
        <v>39766.0</v>
      </c>
      <c r="G767" s="183">
        <v>39753.0</v>
      </c>
      <c r="H767" s="42" t="str">
        <f t="shared" si="36"/>
        <v>2008</v>
      </c>
      <c r="I767" s="8" t="s">
        <v>186</v>
      </c>
      <c r="J767" s="181" t="s">
        <v>112</v>
      </c>
      <c r="K767" s="141" t="s">
        <v>99</v>
      </c>
      <c r="L767" s="167" t="s">
        <v>112</v>
      </c>
      <c r="M767" s="173" t="s">
        <v>112</v>
      </c>
      <c r="N767" s="174" t="s">
        <v>112</v>
      </c>
      <c r="O767" s="45"/>
      <c r="P767" s="163" t="s">
        <v>106</v>
      </c>
      <c r="Q767" s="181" t="s">
        <v>112</v>
      </c>
      <c r="R767" s="163" t="s">
        <v>112</v>
      </c>
      <c r="S767" s="163" t="s">
        <v>112</v>
      </c>
      <c r="T767" s="163" t="s">
        <v>112</v>
      </c>
      <c r="U767" s="163" t="s">
        <v>112</v>
      </c>
      <c r="V767" s="167" t="s">
        <v>779</v>
      </c>
      <c r="W767" s="181" t="s">
        <v>112</v>
      </c>
      <c r="X767" s="181" t="s">
        <v>112</v>
      </c>
      <c r="Y767" s="181" t="s">
        <v>112</v>
      </c>
      <c r="Z767" s="47" t="s">
        <v>37</v>
      </c>
      <c r="AA767" s="23" t="s">
        <v>115</v>
      </c>
      <c r="AB767" s="21" t="s">
        <v>296</v>
      </c>
      <c r="AE767" s="24"/>
      <c r="AM767" s="24"/>
    </row>
    <row r="768" ht="15.75" customHeight="1">
      <c r="A768" s="47">
        <v>350.0</v>
      </c>
      <c r="B768" s="163" t="s">
        <v>2579</v>
      </c>
      <c r="C768" s="167" t="s">
        <v>48</v>
      </c>
      <c r="D768" s="181" t="s">
        <v>112</v>
      </c>
      <c r="E768" s="163" t="s">
        <v>112</v>
      </c>
      <c r="F768" s="172">
        <v>39766.0</v>
      </c>
      <c r="G768" s="183">
        <v>39753.0</v>
      </c>
      <c r="H768" s="42" t="str">
        <f t="shared" si="36"/>
        <v>2008</v>
      </c>
      <c r="I768" s="8" t="s">
        <v>846</v>
      </c>
      <c r="J768" s="181" t="s">
        <v>112</v>
      </c>
      <c r="K768" s="141" t="s">
        <v>99</v>
      </c>
      <c r="L768" s="167" t="s">
        <v>112</v>
      </c>
      <c r="M768" s="163" t="s">
        <v>177</v>
      </c>
      <c r="N768" s="174" t="s">
        <v>112</v>
      </c>
      <c r="O768" s="45"/>
      <c r="P768" s="163" t="s">
        <v>106</v>
      </c>
      <c r="Q768" s="181" t="s">
        <v>112</v>
      </c>
      <c r="R768" s="163" t="s">
        <v>112</v>
      </c>
      <c r="S768" s="163" t="s">
        <v>112</v>
      </c>
      <c r="T768" s="163" t="s">
        <v>112</v>
      </c>
      <c r="U768" s="163" t="s">
        <v>112</v>
      </c>
      <c r="V768" s="167" t="s">
        <v>779</v>
      </c>
      <c r="W768" s="181" t="s">
        <v>112</v>
      </c>
      <c r="X768" s="181" t="s">
        <v>112</v>
      </c>
      <c r="Y768" s="181" t="s">
        <v>112</v>
      </c>
      <c r="Z768" s="47" t="s">
        <v>37</v>
      </c>
      <c r="AA768" s="23" t="s">
        <v>115</v>
      </c>
      <c r="AB768" s="21" t="s">
        <v>296</v>
      </c>
      <c r="AE768" s="24"/>
      <c r="AM768" s="24"/>
    </row>
    <row r="769" ht="15.75" customHeight="1">
      <c r="A769" s="47">
        <v>351.0</v>
      </c>
      <c r="B769" s="163" t="s">
        <v>2580</v>
      </c>
      <c r="C769" s="167" t="s">
        <v>48</v>
      </c>
      <c r="D769" s="181" t="s">
        <v>112</v>
      </c>
      <c r="E769" s="163" t="s">
        <v>112</v>
      </c>
      <c r="F769" s="172">
        <v>39787.0</v>
      </c>
      <c r="G769" s="183">
        <v>39783.0</v>
      </c>
      <c r="H769" s="42" t="str">
        <f t="shared" si="36"/>
        <v>2008</v>
      </c>
      <c r="I769" s="8" t="s">
        <v>176</v>
      </c>
      <c r="J769" s="181" t="s">
        <v>112</v>
      </c>
      <c r="K769" s="141" t="s">
        <v>99</v>
      </c>
      <c r="L769" s="167" t="s">
        <v>1336</v>
      </c>
      <c r="M769" s="168" t="s">
        <v>177</v>
      </c>
      <c r="N769" s="174" t="s">
        <v>112</v>
      </c>
      <c r="O769" s="45" t="s">
        <v>2547</v>
      </c>
      <c r="P769" s="163" t="s">
        <v>106</v>
      </c>
      <c r="Q769" s="181" t="s">
        <v>112</v>
      </c>
      <c r="R769" s="163" t="s">
        <v>112</v>
      </c>
      <c r="S769" s="163" t="s">
        <v>112</v>
      </c>
      <c r="T769" s="163" t="s">
        <v>112</v>
      </c>
      <c r="U769" s="163" t="s">
        <v>112</v>
      </c>
      <c r="V769" s="167" t="s">
        <v>836</v>
      </c>
      <c r="W769" s="181" t="s">
        <v>112</v>
      </c>
      <c r="X769" s="181" t="s">
        <v>112</v>
      </c>
      <c r="Y769" s="181" t="s">
        <v>112</v>
      </c>
      <c r="Z769" s="47" t="s">
        <v>37</v>
      </c>
      <c r="AA769" s="23" t="s">
        <v>115</v>
      </c>
      <c r="AB769" s="21" t="s">
        <v>296</v>
      </c>
      <c r="AE769" s="24"/>
      <c r="AM769" s="24"/>
    </row>
    <row r="770" ht="15.75" customHeight="1">
      <c r="A770" s="47">
        <v>352.0</v>
      </c>
      <c r="B770" s="163" t="s">
        <v>2581</v>
      </c>
      <c r="C770" s="167" t="s">
        <v>48</v>
      </c>
      <c r="D770" s="181" t="s">
        <v>112</v>
      </c>
      <c r="E770" s="163" t="s">
        <v>112</v>
      </c>
      <c r="F770" s="172">
        <v>39788.0</v>
      </c>
      <c r="G770" s="183">
        <v>39783.0</v>
      </c>
      <c r="H770" s="42" t="str">
        <f t="shared" si="36"/>
        <v>2008</v>
      </c>
      <c r="I770" s="8" t="s">
        <v>176</v>
      </c>
      <c r="J770" s="181" t="s">
        <v>112</v>
      </c>
      <c r="K770" s="141" t="s">
        <v>99</v>
      </c>
      <c r="L770" s="167" t="s">
        <v>1336</v>
      </c>
      <c r="M770" s="168" t="s">
        <v>177</v>
      </c>
      <c r="N770" s="174" t="s">
        <v>112</v>
      </c>
      <c r="O770" s="45" t="s">
        <v>2547</v>
      </c>
      <c r="P770" s="163" t="s">
        <v>106</v>
      </c>
      <c r="Q770" s="181" t="s">
        <v>112</v>
      </c>
      <c r="R770" s="163" t="s">
        <v>112</v>
      </c>
      <c r="S770" s="163" t="s">
        <v>112</v>
      </c>
      <c r="T770" s="163" t="s">
        <v>112</v>
      </c>
      <c r="U770" s="163" t="s">
        <v>112</v>
      </c>
      <c r="V770" s="167" t="s">
        <v>836</v>
      </c>
      <c r="W770" s="181" t="s">
        <v>112</v>
      </c>
      <c r="X770" s="181" t="s">
        <v>112</v>
      </c>
      <c r="Y770" s="181" t="s">
        <v>112</v>
      </c>
      <c r="Z770" s="47" t="s">
        <v>37</v>
      </c>
      <c r="AA770" s="23" t="s">
        <v>115</v>
      </c>
      <c r="AB770" s="21" t="s">
        <v>296</v>
      </c>
      <c r="AC770" s="70"/>
      <c r="AD770" s="70"/>
      <c r="AE770" s="24"/>
      <c r="AF770" s="70"/>
      <c r="AG770" s="70"/>
      <c r="AH770" s="70"/>
      <c r="AI770" s="70"/>
      <c r="AJ770" s="70"/>
      <c r="AK770" s="70"/>
      <c r="AL770" s="70"/>
      <c r="AM770" s="24"/>
      <c r="AN770" s="70"/>
      <c r="AO770" s="70"/>
      <c r="AP770" s="70"/>
      <c r="AQ770" s="70"/>
      <c r="AR770" s="70"/>
      <c r="AS770" s="70"/>
      <c r="AT770" s="70"/>
      <c r="AU770" s="70"/>
      <c r="AV770" s="70"/>
      <c r="AW770" s="70"/>
      <c r="AX770" s="70"/>
      <c r="AY770" s="70"/>
      <c r="AZ770" s="70"/>
      <c r="BA770" s="70"/>
      <c r="BB770" s="70"/>
      <c r="BC770" s="70"/>
      <c r="BD770" s="70"/>
      <c r="BE770" s="70"/>
      <c r="BF770" s="70"/>
      <c r="BG770" s="70"/>
      <c r="BH770" s="70"/>
      <c r="BI770" s="70"/>
      <c r="BJ770" s="70"/>
      <c r="BK770" s="70"/>
      <c r="BL770" s="70"/>
      <c r="BM770" s="70"/>
      <c r="BN770" s="70"/>
      <c r="BO770" s="70"/>
      <c r="BP770" s="70"/>
      <c r="BQ770" s="70"/>
      <c r="BR770" s="70"/>
      <c r="BS770" s="70"/>
      <c r="BT770" s="70"/>
      <c r="BU770" s="70"/>
      <c r="BV770" s="70"/>
      <c r="BW770" s="70"/>
      <c r="BX770" s="70"/>
      <c r="BY770" s="70"/>
    </row>
    <row r="771" ht="15.75" customHeight="1">
      <c r="A771" s="47">
        <v>355.0</v>
      </c>
      <c r="B771" s="163" t="s">
        <v>2582</v>
      </c>
      <c r="C771" s="167" t="s">
        <v>58</v>
      </c>
      <c r="D771" s="181" t="s">
        <v>511</v>
      </c>
      <c r="E771" s="163" t="s">
        <v>112</v>
      </c>
      <c r="F771" s="173" t="s">
        <v>2583</v>
      </c>
      <c r="G771" s="183">
        <v>39569.0</v>
      </c>
      <c r="H771" s="112" t="str">
        <f t="shared" si="36"/>
        <v>2008</v>
      </c>
      <c r="I771" s="8" t="s">
        <v>614</v>
      </c>
      <c r="J771" s="181" t="s">
        <v>112</v>
      </c>
      <c r="K771" s="141" t="s">
        <v>99</v>
      </c>
      <c r="L771" s="158" t="s">
        <v>1336</v>
      </c>
      <c r="M771" s="158" t="s">
        <v>177</v>
      </c>
      <c r="N771" s="170" t="s">
        <v>2584</v>
      </c>
      <c r="O771" s="45" t="s">
        <v>2585</v>
      </c>
      <c r="P771" s="163" t="s">
        <v>106</v>
      </c>
      <c r="Q771" s="181" t="s">
        <v>112</v>
      </c>
      <c r="R771" s="163" t="s">
        <v>112</v>
      </c>
      <c r="S771" s="163" t="s">
        <v>112</v>
      </c>
      <c r="T771" s="163" t="s">
        <v>112</v>
      </c>
      <c r="U771" s="163" t="s">
        <v>112</v>
      </c>
      <c r="V771" s="167" t="s">
        <v>836</v>
      </c>
      <c r="W771" s="181" t="s">
        <v>112</v>
      </c>
      <c r="X771" s="181" t="s">
        <v>112</v>
      </c>
      <c r="Y771" s="181" t="s">
        <v>112</v>
      </c>
      <c r="Z771" s="47" t="s">
        <v>37</v>
      </c>
      <c r="AA771" s="23" t="s">
        <v>115</v>
      </c>
      <c r="AB771" s="21" t="s">
        <v>296</v>
      </c>
      <c r="AE771" s="24"/>
      <c r="AM771" s="24"/>
    </row>
    <row r="772" ht="15.75" customHeight="1">
      <c r="A772" s="47">
        <v>356.0</v>
      </c>
      <c r="B772" s="163" t="s">
        <v>2586</v>
      </c>
      <c r="C772" s="167" t="s">
        <v>58</v>
      </c>
      <c r="D772" s="181" t="s">
        <v>511</v>
      </c>
      <c r="E772" s="163" t="s">
        <v>112</v>
      </c>
      <c r="F772" s="173" t="s">
        <v>2587</v>
      </c>
      <c r="G772" s="183">
        <v>39569.0</v>
      </c>
      <c r="H772" s="112" t="str">
        <f t="shared" si="36"/>
        <v>2008</v>
      </c>
      <c r="I772" s="8" t="s">
        <v>176</v>
      </c>
      <c r="J772" s="181" t="s">
        <v>112</v>
      </c>
      <c r="K772" s="141" t="s">
        <v>99</v>
      </c>
      <c r="L772" s="158" t="s">
        <v>100</v>
      </c>
      <c r="M772" s="158" t="s">
        <v>177</v>
      </c>
      <c r="N772" s="170" t="s">
        <v>2588</v>
      </c>
      <c r="O772" s="45" t="s">
        <v>2589</v>
      </c>
      <c r="P772" s="163" t="s">
        <v>106</v>
      </c>
      <c r="Q772" s="181" t="s">
        <v>112</v>
      </c>
      <c r="R772" s="163" t="s">
        <v>112</v>
      </c>
      <c r="S772" s="163" t="s">
        <v>112</v>
      </c>
      <c r="T772" s="163" t="s">
        <v>112</v>
      </c>
      <c r="U772" s="163" t="s">
        <v>112</v>
      </c>
      <c r="V772" s="167" t="s">
        <v>2321</v>
      </c>
      <c r="W772" s="181" t="s">
        <v>112</v>
      </c>
      <c r="X772" s="181" t="s">
        <v>112</v>
      </c>
      <c r="Y772" s="181" t="s">
        <v>112</v>
      </c>
      <c r="Z772" s="47" t="s">
        <v>37</v>
      </c>
      <c r="AA772" s="23" t="s">
        <v>115</v>
      </c>
      <c r="AB772" s="21" t="s">
        <v>296</v>
      </c>
      <c r="AE772" s="24"/>
      <c r="AM772" s="24"/>
    </row>
    <row r="773" ht="15.75" customHeight="1">
      <c r="A773" s="8">
        <v>359.0</v>
      </c>
      <c r="B773" s="163" t="s">
        <v>2590</v>
      </c>
      <c r="C773" s="167" t="s">
        <v>48</v>
      </c>
      <c r="D773" s="163" t="s">
        <v>112</v>
      </c>
      <c r="E773" s="163" t="s">
        <v>112</v>
      </c>
      <c r="F773" s="172">
        <v>39841.0</v>
      </c>
      <c r="G773" s="169">
        <v>39814.0</v>
      </c>
      <c r="H773" s="42" t="str">
        <f t="shared" si="36"/>
        <v>2009</v>
      </c>
      <c r="I773" s="8" t="s">
        <v>846</v>
      </c>
      <c r="J773" s="163" t="s">
        <v>112</v>
      </c>
      <c r="K773" s="141" t="s">
        <v>99</v>
      </c>
      <c r="L773" s="167" t="s">
        <v>100</v>
      </c>
      <c r="M773" s="173" t="s">
        <v>177</v>
      </c>
      <c r="N773" s="174" t="s">
        <v>112</v>
      </c>
      <c r="O773" s="45" t="s">
        <v>2359</v>
      </c>
      <c r="P773" s="163" t="s">
        <v>106</v>
      </c>
      <c r="Q773" s="163" t="s">
        <v>112</v>
      </c>
      <c r="R773" s="175" t="s">
        <v>112</v>
      </c>
      <c r="S773" s="167" t="s">
        <v>112</v>
      </c>
      <c r="T773" s="163" t="s">
        <v>112</v>
      </c>
      <c r="U773" s="163" t="s">
        <v>112</v>
      </c>
      <c r="V773" s="167" t="s">
        <v>480</v>
      </c>
      <c r="W773" s="163" t="s">
        <v>112</v>
      </c>
      <c r="X773" s="163" t="s">
        <v>112</v>
      </c>
      <c r="Y773" s="163" t="s">
        <v>112</v>
      </c>
      <c r="Z773" s="47" t="s">
        <v>37</v>
      </c>
      <c r="AA773" s="23" t="s">
        <v>115</v>
      </c>
      <c r="AB773" s="21" t="s">
        <v>296</v>
      </c>
      <c r="AE773" s="24"/>
      <c r="AM773" s="24"/>
    </row>
    <row r="774" ht="15.75" customHeight="1">
      <c r="A774" s="8">
        <v>366.0</v>
      </c>
      <c r="B774" s="163" t="s">
        <v>2591</v>
      </c>
      <c r="C774" s="167" t="s">
        <v>48</v>
      </c>
      <c r="D774" s="163" t="s">
        <v>112</v>
      </c>
      <c r="E774" s="163" t="s">
        <v>112</v>
      </c>
      <c r="F774" s="172">
        <v>39950.0</v>
      </c>
      <c r="G774" s="169">
        <v>39934.0</v>
      </c>
      <c r="H774" s="42" t="str">
        <f t="shared" si="36"/>
        <v>2009</v>
      </c>
      <c r="I774" s="8" t="s">
        <v>846</v>
      </c>
      <c r="J774" s="163" t="s">
        <v>112</v>
      </c>
      <c r="K774" s="141" t="s">
        <v>99</v>
      </c>
      <c r="L774" s="167" t="s">
        <v>100</v>
      </c>
      <c r="M774" s="173" t="s">
        <v>177</v>
      </c>
      <c r="N774" s="174" t="s">
        <v>112</v>
      </c>
      <c r="O774" s="45" t="s">
        <v>2359</v>
      </c>
      <c r="P774" s="163" t="s">
        <v>106</v>
      </c>
      <c r="Q774" s="163" t="s">
        <v>112</v>
      </c>
      <c r="R774" s="175" t="s">
        <v>112</v>
      </c>
      <c r="S774" s="167" t="s">
        <v>112</v>
      </c>
      <c r="T774" s="163" t="s">
        <v>112</v>
      </c>
      <c r="U774" s="163" t="s">
        <v>112</v>
      </c>
      <c r="V774" s="167" t="s">
        <v>480</v>
      </c>
      <c r="W774" s="163" t="s">
        <v>112</v>
      </c>
      <c r="X774" s="163" t="s">
        <v>112</v>
      </c>
      <c r="Y774" s="163" t="s">
        <v>112</v>
      </c>
      <c r="Z774" s="47" t="s">
        <v>37</v>
      </c>
      <c r="AA774" s="23" t="s">
        <v>115</v>
      </c>
      <c r="AB774" s="21" t="s">
        <v>296</v>
      </c>
      <c r="AE774" s="24"/>
      <c r="AM774" s="24"/>
    </row>
    <row r="775" ht="15.75" customHeight="1">
      <c r="A775" s="8">
        <v>369.0</v>
      </c>
      <c r="B775" s="163" t="s">
        <v>2592</v>
      </c>
      <c r="C775" s="167" t="s">
        <v>48</v>
      </c>
      <c r="D775" s="163" t="s">
        <v>112</v>
      </c>
      <c r="E775" s="163" t="s">
        <v>112</v>
      </c>
      <c r="F775" s="172">
        <v>39964.0</v>
      </c>
      <c r="G775" s="169">
        <v>39934.0</v>
      </c>
      <c r="H775" s="42" t="str">
        <f t="shared" si="36"/>
        <v>2009</v>
      </c>
      <c r="I775" s="8" t="s">
        <v>63</v>
      </c>
      <c r="J775" s="163" t="s">
        <v>112</v>
      </c>
      <c r="K775" s="141" t="s">
        <v>99</v>
      </c>
      <c r="L775" s="167" t="s">
        <v>100</v>
      </c>
      <c r="M775" s="173" t="s">
        <v>112</v>
      </c>
      <c r="N775" s="174" t="s">
        <v>112</v>
      </c>
      <c r="O775" s="45" t="s">
        <v>2359</v>
      </c>
      <c r="P775" s="163" t="s">
        <v>106</v>
      </c>
      <c r="Q775" s="163" t="s">
        <v>112</v>
      </c>
      <c r="R775" s="163" t="s">
        <v>112</v>
      </c>
      <c r="S775" s="163" t="s">
        <v>112</v>
      </c>
      <c r="T775" s="163" t="s">
        <v>112</v>
      </c>
      <c r="U775" s="163" t="s">
        <v>112</v>
      </c>
      <c r="V775" s="167" t="s">
        <v>480</v>
      </c>
      <c r="W775" s="163" t="s">
        <v>112</v>
      </c>
      <c r="X775" s="163" t="s">
        <v>112</v>
      </c>
      <c r="Y775" s="163" t="s">
        <v>112</v>
      </c>
      <c r="Z775" s="47" t="s">
        <v>37</v>
      </c>
      <c r="AA775" s="23" t="s">
        <v>115</v>
      </c>
      <c r="AB775" s="21" t="s">
        <v>296</v>
      </c>
      <c r="AE775" s="24"/>
      <c r="AM775" s="24"/>
    </row>
    <row r="776" ht="15.75" customHeight="1">
      <c r="A776" s="8">
        <v>370.0</v>
      </c>
      <c r="B776" s="163" t="s">
        <v>2593</v>
      </c>
      <c r="C776" s="167" t="s">
        <v>48</v>
      </c>
      <c r="D776" s="163" t="s">
        <v>112</v>
      </c>
      <c r="E776" s="163" t="s">
        <v>112</v>
      </c>
      <c r="F776" s="172">
        <v>39964.0</v>
      </c>
      <c r="G776" s="169">
        <v>39934.0</v>
      </c>
      <c r="H776" s="42" t="str">
        <f t="shared" si="36"/>
        <v>2009</v>
      </c>
      <c r="I776" s="8" t="s">
        <v>186</v>
      </c>
      <c r="J776" s="163" t="s">
        <v>112</v>
      </c>
      <c r="K776" s="141" t="s">
        <v>99</v>
      </c>
      <c r="L776" s="167" t="s">
        <v>100</v>
      </c>
      <c r="M776" s="173" t="s">
        <v>112</v>
      </c>
      <c r="N776" s="174" t="s">
        <v>112</v>
      </c>
      <c r="O776" s="45" t="s">
        <v>2359</v>
      </c>
      <c r="P776" s="163" t="s">
        <v>106</v>
      </c>
      <c r="Q776" s="163" t="s">
        <v>112</v>
      </c>
      <c r="R776" s="163" t="s">
        <v>112</v>
      </c>
      <c r="S776" s="163" t="s">
        <v>112</v>
      </c>
      <c r="T776" s="163" t="s">
        <v>112</v>
      </c>
      <c r="U776" s="163" t="s">
        <v>112</v>
      </c>
      <c r="V776" s="167" t="s">
        <v>480</v>
      </c>
      <c r="W776" s="163" t="s">
        <v>112</v>
      </c>
      <c r="X776" s="163" t="s">
        <v>112</v>
      </c>
      <c r="Y776" s="163" t="s">
        <v>112</v>
      </c>
      <c r="Z776" s="47" t="s">
        <v>37</v>
      </c>
      <c r="AA776" s="23" t="s">
        <v>115</v>
      </c>
      <c r="AB776" s="21" t="s">
        <v>296</v>
      </c>
      <c r="AE776" s="24"/>
      <c r="AM776" s="24"/>
    </row>
    <row r="777" ht="15.75" customHeight="1">
      <c r="A777" s="8">
        <v>371.0</v>
      </c>
      <c r="B777" s="163" t="s">
        <v>2594</v>
      </c>
      <c r="C777" s="167" t="s">
        <v>48</v>
      </c>
      <c r="D777" s="163" t="s">
        <v>112</v>
      </c>
      <c r="E777" s="163" t="s">
        <v>112</v>
      </c>
      <c r="F777" s="172">
        <v>39976.0</v>
      </c>
      <c r="G777" s="169">
        <v>39965.0</v>
      </c>
      <c r="H777" s="42" t="str">
        <f t="shared" si="36"/>
        <v>2009</v>
      </c>
      <c r="I777" s="8" t="s">
        <v>176</v>
      </c>
      <c r="J777" s="163" t="s">
        <v>112</v>
      </c>
      <c r="K777" s="141" t="s">
        <v>99</v>
      </c>
      <c r="L777" s="167" t="s">
        <v>1336</v>
      </c>
      <c r="M777" s="168" t="s">
        <v>177</v>
      </c>
      <c r="N777" s="174" t="s">
        <v>112</v>
      </c>
      <c r="O777" s="45" t="s">
        <v>2595</v>
      </c>
      <c r="P777" s="163" t="s">
        <v>106</v>
      </c>
      <c r="Q777" s="163" t="s">
        <v>112</v>
      </c>
      <c r="R777" s="163" t="s">
        <v>112</v>
      </c>
      <c r="S777" s="163" t="s">
        <v>112</v>
      </c>
      <c r="T777" s="163" t="s">
        <v>112</v>
      </c>
      <c r="U777" s="163" t="s">
        <v>112</v>
      </c>
      <c r="V777" s="167" t="s">
        <v>480</v>
      </c>
      <c r="W777" s="163" t="s">
        <v>112</v>
      </c>
      <c r="X777" s="163" t="s">
        <v>112</v>
      </c>
      <c r="Y777" s="163" t="s">
        <v>112</v>
      </c>
      <c r="Z777" s="47" t="s">
        <v>37</v>
      </c>
      <c r="AA777" s="23" t="s">
        <v>115</v>
      </c>
      <c r="AB777" s="21" t="s">
        <v>296</v>
      </c>
      <c r="AE777" s="24"/>
      <c r="AM777" s="24"/>
    </row>
    <row r="778" ht="15.75" customHeight="1">
      <c r="A778" s="8">
        <v>372.0</v>
      </c>
      <c r="B778" s="163" t="s">
        <v>2596</v>
      </c>
      <c r="C778" s="167" t="s">
        <v>48</v>
      </c>
      <c r="D778" s="163" t="s">
        <v>112</v>
      </c>
      <c r="E778" s="163" t="s">
        <v>112</v>
      </c>
      <c r="F778" s="172">
        <v>40082.0</v>
      </c>
      <c r="G778" s="169">
        <v>40057.0</v>
      </c>
      <c r="H778" s="42" t="str">
        <f t="shared" si="36"/>
        <v>2009</v>
      </c>
      <c r="I778" s="8" t="s">
        <v>186</v>
      </c>
      <c r="J778" s="163" t="s">
        <v>112</v>
      </c>
      <c r="K778" s="141" t="s">
        <v>99</v>
      </c>
      <c r="L778" s="167" t="s">
        <v>1336</v>
      </c>
      <c r="M778" s="173" t="s">
        <v>112</v>
      </c>
      <c r="N778" s="174" t="s">
        <v>112</v>
      </c>
      <c r="O778" s="45" t="s">
        <v>2595</v>
      </c>
      <c r="P778" s="163" t="s">
        <v>106</v>
      </c>
      <c r="Q778" s="163" t="s">
        <v>112</v>
      </c>
      <c r="R778" s="175" t="s">
        <v>112</v>
      </c>
      <c r="S778" s="167" t="s">
        <v>112</v>
      </c>
      <c r="T778" s="163" t="s">
        <v>112</v>
      </c>
      <c r="U778" s="163" t="s">
        <v>112</v>
      </c>
      <c r="V778" s="167" t="s">
        <v>480</v>
      </c>
      <c r="W778" s="163" t="s">
        <v>112</v>
      </c>
      <c r="X778" s="163" t="s">
        <v>112</v>
      </c>
      <c r="Y778" s="163" t="s">
        <v>112</v>
      </c>
      <c r="Z778" s="47" t="s">
        <v>37</v>
      </c>
      <c r="AA778" s="23" t="s">
        <v>115</v>
      </c>
      <c r="AB778" s="21" t="s">
        <v>296</v>
      </c>
      <c r="AE778" s="24"/>
      <c r="AM778" s="24"/>
    </row>
    <row r="779" ht="15.75" customHeight="1">
      <c r="A779" s="8">
        <v>380.0</v>
      </c>
      <c r="B779" s="163" t="s">
        <v>2597</v>
      </c>
      <c r="C779" s="163" t="s">
        <v>51</v>
      </c>
      <c r="D779" s="163" t="s">
        <v>112</v>
      </c>
      <c r="E779" s="163" t="s">
        <v>112</v>
      </c>
      <c r="F779" s="172">
        <v>40189.0</v>
      </c>
      <c r="G779" s="169">
        <v>40179.0</v>
      </c>
      <c r="H779" s="42" t="str">
        <f t="shared" si="36"/>
        <v>2010</v>
      </c>
      <c r="I779" s="8" t="s">
        <v>63</v>
      </c>
      <c r="J779" s="163" t="s">
        <v>112</v>
      </c>
      <c r="K779" s="141" t="s">
        <v>99</v>
      </c>
      <c r="L779" s="163" t="s">
        <v>100</v>
      </c>
      <c r="M779" s="173" t="s">
        <v>112</v>
      </c>
      <c r="N779" s="174" t="s">
        <v>2598</v>
      </c>
      <c r="O779" s="108" t="s">
        <v>2599</v>
      </c>
      <c r="P779" s="163" t="s">
        <v>106</v>
      </c>
      <c r="Q779" s="163" t="s">
        <v>112</v>
      </c>
      <c r="R779" s="163" t="s">
        <v>112</v>
      </c>
      <c r="S779" s="163" t="s">
        <v>112</v>
      </c>
      <c r="T779" s="163" t="s">
        <v>112</v>
      </c>
      <c r="U779" s="163" t="s">
        <v>112</v>
      </c>
      <c r="V779" s="163" t="s">
        <v>2096</v>
      </c>
      <c r="W779" s="163" t="s">
        <v>112</v>
      </c>
      <c r="X779" s="163" t="s">
        <v>112</v>
      </c>
      <c r="Y779" s="163" t="s">
        <v>112</v>
      </c>
      <c r="Z779" s="47" t="s">
        <v>37</v>
      </c>
      <c r="AA779" s="23" t="s">
        <v>115</v>
      </c>
      <c r="AB779" s="21" t="s">
        <v>296</v>
      </c>
      <c r="AE779" s="24"/>
      <c r="AM779" s="24"/>
    </row>
    <row r="780" ht="15.75" customHeight="1">
      <c r="A780" s="8">
        <v>381.0</v>
      </c>
      <c r="B780" s="163" t="s">
        <v>2600</v>
      </c>
      <c r="C780" s="163" t="s">
        <v>51</v>
      </c>
      <c r="D780" s="163" t="s">
        <v>112</v>
      </c>
      <c r="E780" s="163" t="s">
        <v>112</v>
      </c>
      <c r="F780" s="172">
        <v>40190.0</v>
      </c>
      <c r="G780" s="169">
        <v>40179.0</v>
      </c>
      <c r="H780" s="42" t="str">
        <f t="shared" si="36"/>
        <v>2010</v>
      </c>
      <c r="I780" s="8" t="s">
        <v>846</v>
      </c>
      <c r="J780" s="163" t="s">
        <v>112</v>
      </c>
      <c r="K780" s="141" t="s">
        <v>99</v>
      </c>
      <c r="L780" s="163" t="s">
        <v>100</v>
      </c>
      <c r="M780" s="173" t="s">
        <v>177</v>
      </c>
      <c r="N780" s="174" t="s">
        <v>2601</v>
      </c>
      <c r="O780" s="45"/>
      <c r="P780" s="163" t="s">
        <v>106</v>
      </c>
      <c r="Q780" s="163" t="s">
        <v>112</v>
      </c>
      <c r="R780" s="163" t="s">
        <v>112</v>
      </c>
      <c r="S780" s="163" t="s">
        <v>112</v>
      </c>
      <c r="T780" s="163" t="s">
        <v>112</v>
      </c>
      <c r="U780" s="163" t="s">
        <v>112</v>
      </c>
      <c r="V780" s="163" t="s">
        <v>2096</v>
      </c>
      <c r="W780" s="163" t="s">
        <v>112</v>
      </c>
      <c r="X780" s="163" t="s">
        <v>112</v>
      </c>
      <c r="Y780" s="163" t="s">
        <v>112</v>
      </c>
      <c r="Z780" s="47" t="s">
        <v>37</v>
      </c>
      <c r="AA780" s="23" t="s">
        <v>115</v>
      </c>
      <c r="AB780" s="21" t="s">
        <v>296</v>
      </c>
      <c r="AE780" s="24"/>
      <c r="AM780" s="24"/>
    </row>
    <row r="781" ht="15.0" customHeight="1">
      <c r="A781" s="8">
        <v>382.0</v>
      </c>
      <c r="B781" s="163" t="s">
        <v>2602</v>
      </c>
      <c r="C781" s="163" t="s">
        <v>51</v>
      </c>
      <c r="D781" s="163" t="s">
        <v>112</v>
      </c>
      <c r="E781" s="163" t="s">
        <v>112</v>
      </c>
      <c r="F781" s="172">
        <v>40190.0</v>
      </c>
      <c r="G781" s="169">
        <v>40179.0</v>
      </c>
      <c r="H781" s="42" t="str">
        <f t="shared" si="36"/>
        <v>2010</v>
      </c>
      <c r="I781" s="8" t="s">
        <v>172</v>
      </c>
      <c r="J781" s="163" t="s">
        <v>112</v>
      </c>
      <c r="K781" s="141" t="s">
        <v>99</v>
      </c>
      <c r="L781" s="163" t="s">
        <v>100</v>
      </c>
      <c r="M781" s="173" t="s">
        <v>112</v>
      </c>
      <c r="N781" s="174" t="s">
        <v>2603</v>
      </c>
      <c r="O781" s="45" t="s">
        <v>2604</v>
      </c>
      <c r="P781" s="163" t="s">
        <v>106</v>
      </c>
      <c r="Q781" s="163" t="s">
        <v>112</v>
      </c>
      <c r="R781" s="163" t="s">
        <v>112</v>
      </c>
      <c r="S781" s="163" t="s">
        <v>112</v>
      </c>
      <c r="T781" s="163" t="s">
        <v>112</v>
      </c>
      <c r="U781" s="163" t="s">
        <v>112</v>
      </c>
      <c r="V781" s="163" t="s">
        <v>2096</v>
      </c>
      <c r="W781" s="163" t="s">
        <v>112</v>
      </c>
      <c r="X781" s="163" t="s">
        <v>112</v>
      </c>
      <c r="Y781" s="163" t="s">
        <v>112</v>
      </c>
      <c r="Z781" s="47" t="s">
        <v>37</v>
      </c>
      <c r="AA781" s="23" t="s">
        <v>115</v>
      </c>
      <c r="AB781" s="21" t="s">
        <v>296</v>
      </c>
      <c r="AE781" s="24"/>
      <c r="AM781" s="24"/>
    </row>
    <row r="782" ht="15.75" customHeight="1">
      <c r="A782" s="8">
        <v>383.0</v>
      </c>
      <c r="B782" s="163" t="s">
        <v>2605</v>
      </c>
      <c r="C782" s="163" t="s">
        <v>51</v>
      </c>
      <c r="D782" s="163" t="s">
        <v>112</v>
      </c>
      <c r="E782" s="163" t="s">
        <v>112</v>
      </c>
      <c r="F782" s="172">
        <v>40190.0</v>
      </c>
      <c r="G782" s="169">
        <v>40179.0</v>
      </c>
      <c r="H782" s="42" t="str">
        <f t="shared" si="36"/>
        <v>2010</v>
      </c>
      <c r="I782" s="8" t="s">
        <v>172</v>
      </c>
      <c r="J782" s="163" t="s">
        <v>112</v>
      </c>
      <c r="K782" s="141" t="s">
        <v>99</v>
      </c>
      <c r="L782" s="163" t="s">
        <v>100</v>
      </c>
      <c r="M782" s="173" t="s">
        <v>112</v>
      </c>
      <c r="N782" s="174" t="s">
        <v>2606</v>
      </c>
      <c r="O782" s="45"/>
      <c r="P782" s="163" t="s">
        <v>106</v>
      </c>
      <c r="Q782" s="163" t="s">
        <v>112</v>
      </c>
      <c r="R782" s="163" t="s">
        <v>112</v>
      </c>
      <c r="S782" s="163" t="s">
        <v>112</v>
      </c>
      <c r="T782" s="163" t="s">
        <v>112</v>
      </c>
      <c r="U782" s="163" t="s">
        <v>112</v>
      </c>
      <c r="V782" s="163" t="s">
        <v>2096</v>
      </c>
      <c r="W782" s="163" t="s">
        <v>112</v>
      </c>
      <c r="X782" s="163" t="s">
        <v>112</v>
      </c>
      <c r="Y782" s="163" t="s">
        <v>112</v>
      </c>
      <c r="Z782" s="47" t="s">
        <v>37</v>
      </c>
      <c r="AA782" s="23" t="s">
        <v>115</v>
      </c>
      <c r="AB782" s="21" t="s">
        <v>296</v>
      </c>
      <c r="AE782" s="24"/>
      <c r="AM782" s="24"/>
    </row>
    <row r="783" ht="15.75" customHeight="1">
      <c r="A783" s="8">
        <v>384.0</v>
      </c>
      <c r="B783" s="163" t="s">
        <v>2607</v>
      </c>
      <c r="C783" s="163" t="s">
        <v>51</v>
      </c>
      <c r="D783" s="163" t="s">
        <v>112</v>
      </c>
      <c r="E783" s="163" t="s">
        <v>112</v>
      </c>
      <c r="F783" s="172">
        <v>40190.0</v>
      </c>
      <c r="G783" s="169">
        <v>40179.0</v>
      </c>
      <c r="H783" s="42" t="str">
        <f t="shared" si="36"/>
        <v>2010</v>
      </c>
      <c r="I783" s="8" t="s">
        <v>63</v>
      </c>
      <c r="J783" s="163" t="s">
        <v>112</v>
      </c>
      <c r="K783" s="141" t="s">
        <v>99</v>
      </c>
      <c r="L783" s="163" t="s">
        <v>100</v>
      </c>
      <c r="M783" s="173" t="s">
        <v>112</v>
      </c>
      <c r="N783" s="174" t="s">
        <v>2608</v>
      </c>
      <c r="O783" s="108" t="s">
        <v>2609</v>
      </c>
      <c r="P783" s="163" t="s">
        <v>106</v>
      </c>
      <c r="Q783" s="163" t="s">
        <v>112</v>
      </c>
      <c r="R783" s="163" t="s">
        <v>112</v>
      </c>
      <c r="S783" s="163" t="s">
        <v>112</v>
      </c>
      <c r="T783" s="163" t="s">
        <v>112</v>
      </c>
      <c r="U783" s="163" t="s">
        <v>112</v>
      </c>
      <c r="V783" s="163" t="s">
        <v>2096</v>
      </c>
      <c r="W783" s="163" t="s">
        <v>112</v>
      </c>
      <c r="X783" s="163" t="s">
        <v>112</v>
      </c>
      <c r="Y783" s="163" t="s">
        <v>112</v>
      </c>
      <c r="Z783" s="47" t="s">
        <v>37</v>
      </c>
      <c r="AA783" s="23" t="s">
        <v>115</v>
      </c>
      <c r="AB783" s="21" t="s">
        <v>296</v>
      </c>
      <c r="AE783" s="24"/>
      <c r="AM783" s="24"/>
    </row>
    <row r="784" ht="15.75" customHeight="1">
      <c r="A784" s="8">
        <v>385.0</v>
      </c>
      <c r="B784" s="163" t="s">
        <v>2610</v>
      </c>
      <c r="C784" s="163" t="s">
        <v>51</v>
      </c>
      <c r="D784" s="163" t="s">
        <v>112</v>
      </c>
      <c r="E784" s="163" t="s">
        <v>112</v>
      </c>
      <c r="F784" s="172">
        <v>40190.0</v>
      </c>
      <c r="G784" s="169">
        <v>40179.0</v>
      </c>
      <c r="H784" s="42" t="str">
        <f t="shared" si="36"/>
        <v>2010</v>
      </c>
      <c r="I784" s="8" t="s">
        <v>172</v>
      </c>
      <c r="J784" s="163" t="s">
        <v>112</v>
      </c>
      <c r="K784" s="141" t="s">
        <v>99</v>
      </c>
      <c r="L784" s="163" t="s">
        <v>100</v>
      </c>
      <c r="M784" s="173" t="s">
        <v>112</v>
      </c>
      <c r="N784" s="174" t="s">
        <v>2611</v>
      </c>
      <c r="O784" s="45"/>
      <c r="P784" s="163" t="s">
        <v>106</v>
      </c>
      <c r="Q784" s="163" t="s">
        <v>112</v>
      </c>
      <c r="R784" s="163" t="s">
        <v>112</v>
      </c>
      <c r="S784" s="163" t="s">
        <v>112</v>
      </c>
      <c r="T784" s="163" t="s">
        <v>112</v>
      </c>
      <c r="U784" s="163" t="s">
        <v>112</v>
      </c>
      <c r="V784" s="163" t="s">
        <v>2096</v>
      </c>
      <c r="W784" s="163" t="s">
        <v>112</v>
      </c>
      <c r="X784" s="163" t="s">
        <v>112</v>
      </c>
      <c r="Y784" s="163" t="s">
        <v>112</v>
      </c>
      <c r="Z784" s="47" t="s">
        <v>37</v>
      </c>
      <c r="AA784" s="23" t="s">
        <v>115</v>
      </c>
      <c r="AB784" s="21" t="s">
        <v>296</v>
      </c>
      <c r="AE784" s="24"/>
      <c r="AM784" s="24"/>
    </row>
    <row r="785" ht="15.75" customHeight="1">
      <c r="A785" s="8">
        <v>387.0</v>
      </c>
      <c r="B785" s="163" t="s">
        <v>2612</v>
      </c>
      <c r="C785" s="163" t="s">
        <v>51</v>
      </c>
      <c r="D785" s="163" t="s">
        <v>112</v>
      </c>
      <c r="E785" s="163" t="s">
        <v>112</v>
      </c>
      <c r="F785" s="172">
        <v>40190.0</v>
      </c>
      <c r="G785" s="169">
        <v>40179.0</v>
      </c>
      <c r="H785" s="42" t="str">
        <f t="shared" si="36"/>
        <v>2010</v>
      </c>
      <c r="I785" s="8" t="s">
        <v>63</v>
      </c>
      <c r="J785" s="163" t="s">
        <v>112</v>
      </c>
      <c r="K785" s="141" t="s">
        <v>99</v>
      </c>
      <c r="L785" s="163" t="s">
        <v>100</v>
      </c>
      <c r="M785" s="173" t="s">
        <v>112</v>
      </c>
      <c r="N785" s="174" t="s">
        <v>2613</v>
      </c>
      <c r="O785" s="45"/>
      <c r="P785" s="163" t="s">
        <v>106</v>
      </c>
      <c r="Q785" s="163" t="s">
        <v>112</v>
      </c>
      <c r="R785" s="163" t="s">
        <v>112</v>
      </c>
      <c r="S785" s="163" t="s">
        <v>112</v>
      </c>
      <c r="T785" s="163" t="s">
        <v>112</v>
      </c>
      <c r="U785" s="163" t="s">
        <v>112</v>
      </c>
      <c r="V785" s="163" t="s">
        <v>2096</v>
      </c>
      <c r="W785" s="163" t="s">
        <v>112</v>
      </c>
      <c r="X785" s="163" t="s">
        <v>112</v>
      </c>
      <c r="Y785" s="163" t="s">
        <v>112</v>
      </c>
      <c r="Z785" s="47" t="s">
        <v>37</v>
      </c>
      <c r="AA785" s="23" t="s">
        <v>115</v>
      </c>
      <c r="AB785" s="21" t="s">
        <v>296</v>
      </c>
      <c r="AE785" s="24"/>
      <c r="AM785" s="24"/>
    </row>
    <row r="786" ht="15.75" customHeight="1">
      <c r="A786" s="8">
        <v>388.0</v>
      </c>
      <c r="B786" s="163" t="s">
        <v>2614</v>
      </c>
      <c r="C786" s="163" t="s">
        <v>51</v>
      </c>
      <c r="D786" s="163" t="s">
        <v>112</v>
      </c>
      <c r="E786" s="163" t="s">
        <v>112</v>
      </c>
      <c r="F786" s="172">
        <v>40192.0</v>
      </c>
      <c r="G786" s="169">
        <v>40179.0</v>
      </c>
      <c r="H786" s="42" t="str">
        <f t="shared" si="36"/>
        <v>2010</v>
      </c>
      <c r="I786" s="8" t="s">
        <v>63</v>
      </c>
      <c r="J786" s="163" t="s">
        <v>112</v>
      </c>
      <c r="K786" s="141" t="s">
        <v>99</v>
      </c>
      <c r="L786" s="163" t="s">
        <v>100</v>
      </c>
      <c r="M786" s="173" t="s">
        <v>112</v>
      </c>
      <c r="N786" s="174" t="s">
        <v>2615</v>
      </c>
      <c r="O786" s="45"/>
      <c r="P786" s="163" t="s">
        <v>106</v>
      </c>
      <c r="Q786" s="163" t="s">
        <v>112</v>
      </c>
      <c r="R786" s="163" t="s">
        <v>112</v>
      </c>
      <c r="S786" s="163" t="s">
        <v>112</v>
      </c>
      <c r="T786" s="163" t="s">
        <v>112</v>
      </c>
      <c r="U786" s="163" t="s">
        <v>112</v>
      </c>
      <c r="V786" s="163" t="s">
        <v>2096</v>
      </c>
      <c r="W786" s="163" t="s">
        <v>112</v>
      </c>
      <c r="X786" s="163" t="s">
        <v>112</v>
      </c>
      <c r="Y786" s="163" t="s">
        <v>112</v>
      </c>
      <c r="Z786" s="47" t="s">
        <v>37</v>
      </c>
      <c r="AA786" s="23" t="s">
        <v>115</v>
      </c>
      <c r="AB786" s="21" t="s">
        <v>296</v>
      </c>
      <c r="AE786" s="24"/>
      <c r="AM786" s="24"/>
    </row>
    <row r="787" ht="15.75" customHeight="1">
      <c r="A787" s="8">
        <v>389.0</v>
      </c>
      <c r="B787" s="163" t="s">
        <v>2616</v>
      </c>
      <c r="C787" s="163" t="s">
        <v>51</v>
      </c>
      <c r="D787" s="163" t="s">
        <v>112</v>
      </c>
      <c r="E787" s="163" t="s">
        <v>112</v>
      </c>
      <c r="F787" s="172">
        <v>40192.0</v>
      </c>
      <c r="G787" s="169">
        <v>40179.0</v>
      </c>
      <c r="H787" s="42" t="str">
        <f t="shared" si="36"/>
        <v>2010</v>
      </c>
      <c r="I787" s="8" t="s">
        <v>172</v>
      </c>
      <c r="J787" s="163" t="s">
        <v>112</v>
      </c>
      <c r="K787" s="141" t="s">
        <v>99</v>
      </c>
      <c r="L787" s="163" t="s">
        <v>100</v>
      </c>
      <c r="M787" s="173" t="s">
        <v>112</v>
      </c>
      <c r="N787" s="174" t="s">
        <v>2617</v>
      </c>
      <c r="O787" s="45"/>
      <c r="P787" s="163" t="s">
        <v>106</v>
      </c>
      <c r="Q787" s="163" t="s">
        <v>112</v>
      </c>
      <c r="R787" s="163" t="s">
        <v>112</v>
      </c>
      <c r="S787" s="163" t="s">
        <v>112</v>
      </c>
      <c r="T787" s="163" t="s">
        <v>112</v>
      </c>
      <c r="U787" s="163" t="s">
        <v>112</v>
      </c>
      <c r="V787" s="163" t="s">
        <v>2096</v>
      </c>
      <c r="W787" s="163" t="s">
        <v>112</v>
      </c>
      <c r="X787" s="163" t="s">
        <v>112</v>
      </c>
      <c r="Y787" s="163" t="s">
        <v>112</v>
      </c>
      <c r="Z787" s="47" t="s">
        <v>37</v>
      </c>
      <c r="AA787" s="23" t="s">
        <v>115</v>
      </c>
      <c r="AB787" s="21" t="s">
        <v>296</v>
      </c>
      <c r="AE787" s="24"/>
      <c r="AM787" s="24"/>
    </row>
    <row r="788" ht="15.75" customHeight="1">
      <c r="A788" s="8">
        <v>390.0</v>
      </c>
      <c r="B788" s="163" t="s">
        <v>2618</v>
      </c>
      <c r="C788" s="163" t="s">
        <v>51</v>
      </c>
      <c r="D788" s="163" t="s">
        <v>112</v>
      </c>
      <c r="E788" s="163" t="s">
        <v>112</v>
      </c>
      <c r="F788" s="172">
        <v>40199.0</v>
      </c>
      <c r="G788" s="169">
        <v>40179.0</v>
      </c>
      <c r="H788" s="42" t="str">
        <f t="shared" si="36"/>
        <v>2010</v>
      </c>
      <c r="I788" s="8" t="s">
        <v>186</v>
      </c>
      <c r="J788" s="163" t="s">
        <v>112</v>
      </c>
      <c r="K788" s="141" t="s">
        <v>99</v>
      </c>
      <c r="L788" s="163" t="s">
        <v>100</v>
      </c>
      <c r="M788" s="173" t="s">
        <v>112</v>
      </c>
      <c r="N788" s="174" t="s">
        <v>2619</v>
      </c>
      <c r="O788" s="45" t="s">
        <v>2620</v>
      </c>
      <c r="P788" s="163" t="s">
        <v>106</v>
      </c>
      <c r="Q788" s="163" t="s">
        <v>112</v>
      </c>
      <c r="R788" s="163" t="s">
        <v>112</v>
      </c>
      <c r="S788" s="163" t="s">
        <v>112</v>
      </c>
      <c r="T788" s="163" t="s">
        <v>112</v>
      </c>
      <c r="U788" s="163" t="s">
        <v>112</v>
      </c>
      <c r="V788" s="163" t="s">
        <v>2096</v>
      </c>
      <c r="W788" s="163" t="s">
        <v>112</v>
      </c>
      <c r="X788" s="163" t="s">
        <v>112</v>
      </c>
      <c r="Y788" s="163" t="s">
        <v>112</v>
      </c>
      <c r="Z788" s="47" t="s">
        <v>37</v>
      </c>
      <c r="AA788" s="23" t="s">
        <v>115</v>
      </c>
      <c r="AB788" s="21" t="s">
        <v>296</v>
      </c>
      <c r="AE788" s="24"/>
      <c r="AM788" s="24"/>
    </row>
    <row r="789" ht="15.75" customHeight="1">
      <c r="A789" s="8">
        <v>391.0</v>
      </c>
      <c r="B789" s="163" t="s">
        <v>2621</v>
      </c>
      <c r="C789" s="163" t="s">
        <v>51</v>
      </c>
      <c r="D789" s="163" t="s">
        <v>112</v>
      </c>
      <c r="E789" s="163" t="s">
        <v>112</v>
      </c>
      <c r="F789" s="172">
        <v>40199.0</v>
      </c>
      <c r="G789" s="169">
        <v>40179.0</v>
      </c>
      <c r="H789" s="42" t="str">
        <f t="shared" si="36"/>
        <v>2010</v>
      </c>
      <c r="I789" s="8" t="s">
        <v>63</v>
      </c>
      <c r="J789" s="163" t="s">
        <v>112</v>
      </c>
      <c r="K789" s="141" t="s">
        <v>99</v>
      </c>
      <c r="L789" s="163" t="s">
        <v>100</v>
      </c>
      <c r="M789" s="173" t="s">
        <v>112</v>
      </c>
      <c r="N789" s="174" t="s">
        <v>2615</v>
      </c>
      <c r="O789" s="45"/>
      <c r="P789" s="163" t="s">
        <v>106</v>
      </c>
      <c r="Q789" s="163" t="s">
        <v>112</v>
      </c>
      <c r="R789" s="279" t="s">
        <v>112</v>
      </c>
      <c r="S789" s="279" t="s">
        <v>112</v>
      </c>
      <c r="T789" s="163" t="s">
        <v>112</v>
      </c>
      <c r="U789" s="163" t="s">
        <v>112</v>
      </c>
      <c r="V789" s="163" t="s">
        <v>2096</v>
      </c>
      <c r="W789" s="163" t="s">
        <v>112</v>
      </c>
      <c r="X789" s="163" t="s">
        <v>112</v>
      </c>
      <c r="Y789" s="163" t="s">
        <v>112</v>
      </c>
      <c r="Z789" s="47" t="s">
        <v>37</v>
      </c>
      <c r="AA789" s="23" t="s">
        <v>115</v>
      </c>
      <c r="AB789" s="21" t="s">
        <v>296</v>
      </c>
      <c r="AE789" s="24"/>
      <c r="AM789" s="24"/>
    </row>
    <row r="790" ht="15.75" customHeight="1">
      <c r="A790" s="8">
        <v>392.0</v>
      </c>
      <c r="B790" s="163" t="s">
        <v>2622</v>
      </c>
      <c r="C790" s="163" t="s">
        <v>51</v>
      </c>
      <c r="D790" s="163" t="s">
        <v>112</v>
      </c>
      <c r="E790" s="163" t="s">
        <v>112</v>
      </c>
      <c r="F790" s="172">
        <v>40199.0</v>
      </c>
      <c r="G790" s="169">
        <v>40179.0</v>
      </c>
      <c r="H790" s="42" t="str">
        <f t="shared" si="36"/>
        <v>2010</v>
      </c>
      <c r="I790" s="8" t="s">
        <v>186</v>
      </c>
      <c r="J790" s="163" t="s">
        <v>112</v>
      </c>
      <c r="K790" s="141" t="s">
        <v>99</v>
      </c>
      <c r="L790" s="163" t="s">
        <v>100</v>
      </c>
      <c r="M790" s="173" t="s">
        <v>112</v>
      </c>
      <c r="N790" s="174" t="s">
        <v>2623</v>
      </c>
      <c r="O790" s="45" t="s">
        <v>515</v>
      </c>
      <c r="P790" s="163" t="s">
        <v>106</v>
      </c>
      <c r="Q790" s="163" t="s">
        <v>112</v>
      </c>
      <c r="R790" s="163" t="s">
        <v>112</v>
      </c>
      <c r="S790" s="163" t="s">
        <v>112</v>
      </c>
      <c r="T790" s="163" t="s">
        <v>112</v>
      </c>
      <c r="U790" s="163" t="s">
        <v>112</v>
      </c>
      <c r="V790" s="163" t="s">
        <v>2096</v>
      </c>
      <c r="W790" s="163" t="s">
        <v>112</v>
      </c>
      <c r="X790" s="163" t="s">
        <v>112</v>
      </c>
      <c r="Y790" s="163" t="s">
        <v>112</v>
      </c>
      <c r="Z790" s="47" t="s">
        <v>37</v>
      </c>
      <c r="AA790" s="23" t="s">
        <v>115</v>
      </c>
      <c r="AB790" s="21" t="s">
        <v>296</v>
      </c>
      <c r="AE790" s="24"/>
      <c r="AM790" s="24"/>
    </row>
    <row r="791" ht="15.75" customHeight="1">
      <c r="A791" s="8">
        <v>394.0</v>
      </c>
      <c r="B791" s="163" t="s">
        <v>2624</v>
      </c>
      <c r="C791" s="163" t="s">
        <v>51</v>
      </c>
      <c r="D791" s="163" t="s">
        <v>112</v>
      </c>
      <c r="E791" s="163" t="s">
        <v>112</v>
      </c>
      <c r="F791" s="172">
        <v>40202.0</v>
      </c>
      <c r="G791" s="169">
        <v>40179.0</v>
      </c>
      <c r="H791" s="42" t="str">
        <f t="shared" si="36"/>
        <v>2010</v>
      </c>
      <c r="I791" s="8" t="s">
        <v>63</v>
      </c>
      <c r="J791" s="163" t="s">
        <v>112</v>
      </c>
      <c r="K791" s="141" t="s">
        <v>99</v>
      </c>
      <c r="L791" s="163" t="s">
        <v>100</v>
      </c>
      <c r="M791" s="173" t="s">
        <v>112</v>
      </c>
      <c r="N791" s="174" t="s">
        <v>2625</v>
      </c>
      <c r="O791" s="45" t="s">
        <v>928</v>
      </c>
      <c r="P791" s="163" t="s">
        <v>106</v>
      </c>
      <c r="Q791" s="163" t="s">
        <v>112</v>
      </c>
      <c r="R791" s="163" t="s">
        <v>112</v>
      </c>
      <c r="S791" s="163" t="s">
        <v>112</v>
      </c>
      <c r="T791" s="163" t="s">
        <v>112</v>
      </c>
      <c r="U791" s="163" t="s">
        <v>112</v>
      </c>
      <c r="V791" s="163" t="s">
        <v>548</v>
      </c>
      <c r="W791" s="163" t="s">
        <v>112</v>
      </c>
      <c r="X791" s="163" t="s">
        <v>112</v>
      </c>
      <c r="Y791" s="163" t="s">
        <v>112</v>
      </c>
      <c r="Z791" s="47" t="s">
        <v>37</v>
      </c>
      <c r="AA791" s="23" t="s">
        <v>115</v>
      </c>
      <c r="AB791" s="21" t="s">
        <v>296</v>
      </c>
      <c r="AE791" s="24"/>
      <c r="AM791" s="24"/>
    </row>
    <row r="792" ht="15.75" customHeight="1">
      <c r="A792" s="47">
        <v>398.0</v>
      </c>
      <c r="B792" s="163" t="s">
        <v>2626</v>
      </c>
      <c r="C792" s="163" t="s">
        <v>51</v>
      </c>
      <c r="D792" s="163" t="s">
        <v>112</v>
      </c>
      <c r="E792" s="163" t="s">
        <v>112</v>
      </c>
      <c r="F792" s="172">
        <v>40202.0</v>
      </c>
      <c r="G792" s="169">
        <v>40179.0</v>
      </c>
      <c r="H792" s="42" t="str">
        <f t="shared" si="36"/>
        <v>2010</v>
      </c>
      <c r="I792" s="8" t="s">
        <v>63</v>
      </c>
      <c r="J792" s="163" t="s">
        <v>112</v>
      </c>
      <c r="K792" s="141" t="s">
        <v>99</v>
      </c>
      <c r="L792" s="163" t="s">
        <v>100</v>
      </c>
      <c r="M792" s="173" t="s">
        <v>112</v>
      </c>
      <c r="N792" s="174" t="s">
        <v>1186</v>
      </c>
      <c r="O792" s="45" t="s">
        <v>928</v>
      </c>
      <c r="P792" s="163" t="s">
        <v>106</v>
      </c>
      <c r="Q792" s="163" t="s">
        <v>112</v>
      </c>
      <c r="R792" s="163" t="s">
        <v>112</v>
      </c>
      <c r="S792" s="163" t="s">
        <v>112</v>
      </c>
      <c r="T792" s="163" t="s">
        <v>112</v>
      </c>
      <c r="U792" s="163" t="s">
        <v>112</v>
      </c>
      <c r="V792" s="163" t="s">
        <v>548</v>
      </c>
      <c r="W792" s="163" t="s">
        <v>112</v>
      </c>
      <c r="X792" s="163" t="s">
        <v>112</v>
      </c>
      <c r="Y792" s="163" t="s">
        <v>112</v>
      </c>
      <c r="Z792" s="47" t="s">
        <v>37</v>
      </c>
      <c r="AA792" s="23" t="s">
        <v>115</v>
      </c>
      <c r="AB792" s="21" t="s">
        <v>296</v>
      </c>
      <c r="AE792" s="24"/>
      <c r="AM792" s="24"/>
    </row>
    <row r="793" ht="15.75" customHeight="1">
      <c r="A793" s="47">
        <v>399.0</v>
      </c>
      <c r="B793" s="163" t="s">
        <v>2627</v>
      </c>
      <c r="C793" s="163" t="s">
        <v>51</v>
      </c>
      <c r="D793" s="163" t="s">
        <v>112</v>
      </c>
      <c r="E793" s="163" t="s">
        <v>112</v>
      </c>
      <c r="F793" s="172">
        <v>40202.0</v>
      </c>
      <c r="G793" s="169">
        <v>40179.0</v>
      </c>
      <c r="H793" s="42" t="str">
        <f t="shared" si="36"/>
        <v>2010</v>
      </c>
      <c r="I793" s="8" t="s">
        <v>63</v>
      </c>
      <c r="J793" s="163" t="s">
        <v>112</v>
      </c>
      <c r="K793" s="141" t="s">
        <v>99</v>
      </c>
      <c r="L793" s="163" t="s">
        <v>100</v>
      </c>
      <c r="M793" s="173" t="s">
        <v>112</v>
      </c>
      <c r="N793" s="174" t="s">
        <v>1186</v>
      </c>
      <c r="O793" s="45" t="s">
        <v>928</v>
      </c>
      <c r="P793" s="163" t="s">
        <v>106</v>
      </c>
      <c r="Q793" s="163" t="s">
        <v>112</v>
      </c>
      <c r="R793" s="163" t="s">
        <v>112</v>
      </c>
      <c r="S793" s="163" t="s">
        <v>112</v>
      </c>
      <c r="T793" s="163" t="s">
        <v>112</v>
      </c>
      <c r="U793" s="163" t="s">
        <v>112</v>
      </c>
      <c r="V793" s="163" t="s">
        <v>548</v>
      </c>
      <c r="W793" s="163" t="s">
        <v>112</v>
      </c>
      <c r="X793" s="163" t="s">
        <v>112</v>
      </c>
      <c r="Y793" s="163" t="s">
        <v>112</v>
      </c>
      <c r="Z793" s="47" t="s">
        <v>37</v>
      </c>
      <c r="AA793" s="23" t="s">
        <v>115</v>
      </c>
      <c r="AB793" s="21" t="s">
        <v>296</v>
      </c>
      <c r="AE793" s="24"/>
      <c r="AM793" s="24"/>
    </row>
    <row r="794" ht="15.75" customHeight="1">
      <c r="A794" s="47">
        <v>400.0</v>
      </c>
      <c r="B794" s="163" t="s">
        <v>2628</v>
      </c>
      <c r="C794" s="163" t="s">
        <v>51</v>
      </c>
      <c r="D794" s="163" t="s">
        <v>112</v>
      </c>
      <c r="E794" s="163" t="s">
        <v>112</v>
      </c>
      <c r="F794" s="172">
        <v>40202.0</v>
      </c>
      <c r="G794" s="169">
        <v>40179.0</v>
      </c>
      <c r="H794" s="42" t="str">
        <f t="shared" si="36"/>
        <v>2010</v>
      </c>
      <c r="I794" s="8" t="s">
        <v>63</v>
      </c>
      <c r="J794" s="163" t="s">
        <v>112</v>
      </c>
      <c r="K794" s="141" t="s">
        <v>99</v>
      </c>
      <c r="L794" s="163" t="s">
        <v>100</v>
      </c>
      <c r="M794" s="173" t="s">
        <v>112</v>
      </c>
      <c r="N794" s="174" t="s">
        <v>2629</v>
      </c>
      <c r="O794" s="45" t="s">
        <v>928</v>
      </c>
      <c r="P794" s="163" t="s">
        <v>106</v>
      </c>
      <c r="Q794" s="163" t="s">
        <v>112</v>
      </c>
      <c r="R794" s="163" t="s">
        <v>112</v>
      </c>
      <c r="S794" s="163" t="s">
        <v>112</v>
      </c>
      <c r="T794" s="163" t="s">
        <v>112</v>
      </c>
      <c r="U794" s="163" t="s">
        <v>112</v>
      </c>
      <c r="V794" s="163" t="s">
        <v>548</v>
      </c>
      <c r="W794" s="163" t="s">
        <v>112</v>
      </c>
      <c r="X794" s="163" t="s">
        <v>112</v>
      </c>
      <c r="Y794" s="163" t="s">
        <v>112</v>
      </c>
      <c r="Z794" s="47" t="s">
        <v>37</v>
      </c>
      <c r="AA794" s="23" t="s">
        <v>115</v>
      </c>
      <c r="AB794" s="21" t="s">
        <v>296</v>
      </c>
      <c r="AE794" s="24"/>
      <c r="AM794" s="24"/>
    </row>
    <row r="795" ht="15.75" customHeight="1">
      <c r="A795" s="47">
        <v>401.0</v>
      </c>
      <c r="B795" s="163" t="s">
        <v>2630</v>
      </c>
      <c r="C795" s="163" t="s">
        <v>51</v>
      </c>
      <c r="D795" s="163" t="s">
        <v>112</v>
      </c>
      <c r="E795" s="163" t="s">
        <v>112</v>
      </c>
      <c r="F795" s="172">
        <v>40203.0</v>
      </c>
      <c r="G795" s="169">
        <v>40179.0</v>
      </c>
      <c r="H795" s="42" t="str">
        <f t="shared" si="36"/>
        <v>2010</v>
      </c>
      <c r="I795" s="8" t="s">
        <v>63</v>
      </c>
      <c r="J795" s="163" t="s">
        <v>112</v>
      </c>
      <c r="K795" s="141" t="s">
        <v>99</v>
      </c>
      <c r="L795" s="163" t="s">
        <v>100</v>
      </c>
      <c r="M795" s="173" t="s">
        <v>112</v>
      </c>
      <c r="N795" s="174" t="s">
        <v>2631</v>
      </c>
      <c r="O795" s="45" t="s">
        <v>928</v>
      </c>
      <c r="P795" s="163" t="s">
        <v>106</v>
      </c>
      <c r="Q795" s="163" t="s">
        <v>112</v>
      </c>
      <c r="R795" s="163" t="s">
        <v>112</v>
      </c>
      <c r="S795" s="163" t="s">
        <v>112</v>
      </c>
      <c r="T795" s="163" t="s">
        <v>112</v>
      </c>
      <c r="U795" s="163" t="s">
        <v>112</v>
      </c>
      <c r="V795" s="163" t="s">
        <v>548</v>
      </c>
      <c r="W795" s="163" t="s">
        <v>112</v>
      </c>
      <c r="X795" s="163" t="s">
        <v>112</v>
      </c>
      <c r="Y795" s="163" t="s">
        <v>112</v>
      </c>
      <c r="Z795" s="47" t="s">
        <v>37</v>
      </c>
      <c r="AA795" s="23" t="s">
        <v>115</v>
      </c>
      <c r="AB795" s="21" t="s">
        <v>296</v>
      </c>
      <c r="AE795" s="24"/>
      <c r="AM795" s="24"/>
    </row>
    <row r="796" ht="15.75" customHeight="1">
      <c r="A796" s="47">
        <v>402.0</v>
      </c>
      <c r="B796" s="163" t="s">
        <v>2632</v>
      </c>
      <c r="C796" s="163" t="s">
        <v>51</v>
      </c>
      <c r="D796" s="163" t="s">
        <v>112</v>
      </c>
      <c r="E796" s="163" t="s">
        <v>112</v>
      </c>
      <c r="F796" s="172">
        <v>40204.0</v>
      </c>
      <c r="G796" s="169">
        <v>40179.0</v>
      </c>
      <c r="H796" s="42" t="str">
        <f t="shared" si="36"/>
        <v>2010</v>
      </c>
      <c r="I796" s="8" t="s">
        <v>63</v>
      </c>
      <c r="J796" s="163" t="s">
        <v>112</v>
      </c>
      <c r="K796" s="141" t="s">
        <v>99</v>
      </c>
      <c r="L796" s="163" t="s">
        <v>100</v>
      </c>
      <c r="M796" s="173" t="s">
        <v>112</v>
      </c>
      <c r="N796" s="174" t="s">
        <v>2633</v>
      </c>
      <c r="O796" s="45" t="s">
        <v>928</v>
      </c>
      <c r="P796" s="163" t="s">
        <v>106</v>
      </c>
      <c r="Q796" s="163" t="s">
        <v>112</v>
      </c>
      <c r="R796" s="163" t="s">
        <v>112</v>
      </c>
      <c r="S796" s="163" t="s">
        <v>112</v>
      </c>
      <c r="T796" s="163" t="s">
        <v>112</v>
      </c>
      <c r="U796" s="163" t="s">
        <v>112</v>
      </c>
      <c r="V796" s="163" t="s">
        <v>548</v>
      </c>
      <c r="W796" s="163" t="s">
        <v>112</v>
      </c>
      <c r="X796" s="163" t="s">
        <v>112</v>
      </c>
      <c r="Y796" s="163" t="s">
        <v>112</v>
      </c>
      <c r="Z796" s="47" t="s">
        <v>37</v>
      </c>
      <c r="AA796" s="23" t="s">
        <v>115</v>
      </c>
      <c r="AB796" s="21" t="s">
        <v>296</v>
      </c>
      <c r="AE796" s="24"/>
      <c r="AM796" s="24"/>
    </row>
    <row r="797" ht="15.75" customHeight="1">
      <c r="A797" s="47">
        <v>403.0</v>
      </c>
      <c r="B797" s="163" t="s">
        <v>2634</v>
      </c>
      <c r="C797" s="163" t="s">
        <v>51</v>
      </c>
      <c r="D797" s="163" t="s">
        <v>112</v>
      </c>
      <c r="E797" s="163" t="s">
        <v>112</v>
      </c>
      <c r="F797" s="172">
        <v>40204.0</v>
      </c>
      <c r="G797" s="169">
        <v>40179.0</v>
      </c>
      <c r="H797" s="42" t="str">
        <f t="shared" si="36"/>
        <v>2010</v>
      </c>
      <c r="I797" s="8" t="s">
        <v>63</v>
      </c>
      <c r="J797" s="163" t="s">
        <v>112</v>
      </c>
      <c r="K797" s="141" t="s">
        <v>99</v>
      </c>
      <c r="L797" s="163" t="s">
        <v>100</v>
      </c>
      <c r="M797" s="173" t="s">
        <v>112</v>
      </c>
      <c r="N797" s="174" t="s">
        <v>2633</v>
      </c>
      <c r="O797" s="45" t="s">
        <v>928</v>
      </c>
      <c r="P797" s="163" t="s">
        <v>106</v>
      </c>
      <c r="Q797" s="163" t="s">
        <v>112</v>
      </c>
      <c r="R797" s="163" t="s">
        <v>112</v>
      </c>
      <c r="S797" s="163" t="s">
        <v>112</v>
      </c>
      <c r="T797" s="163" t="s">
        <v>112</v>
      </c>
      <c r="U797" s="163" t="s">
        <v>112</v>
      </c>
      <c r="V797" s="163" t="s">
        <v>548</v>
      </c>
      <c r="W797" s="163" t="s">
        <v>112</v>
      </c>
      <c r="X797" s="163" t="s">
        <v>112</v>
      </c>
      <c r="Y797" s="163" t="s">
        <v>112</v>
      </c>
      <c r="Z797" s="47" t="s">
        <v>37</v>
      </c>
      <c r="AA797" s="23" t="s">
        <v>115</v>
      </c>
      <c r="AB797" s="21" t="s">
        <v>296</v>
      </c>
      <c r="AE797" s="24"/>
      <c r="AM797" s="24"/>
    </row>
    <row r="798" ht="15.75" customHeight="1">
      <c r="A798" s="47">
        <v>406.0</v>
      </c>
      <c r="B798" s="163" t="s">
        <v>2635</v>
      </c>
      <c r="C798" s="163" t="s">
        <v>51</v>
      </c>
      <c r="D798" s="163" t="s">
        <v>112</v>
      </c>
      <c r="E798" s="163" t="s">
        <v>112</v>
      </c>
      <c r="F798" s="172">
        <v>40206.0</v>
      </c>
      <c r="G798" s="169">
        <v>40179.0</v>
      </c>
      <c r="H798" s="42" t="str">
        <f t="shared" si="36"/>
        <v>2010</v>
      </c>
      <c r="I798" s="8" t="s">
        <v>63</v>
      </c>
      <c r="J798" s="163" t="s">
        <v>112</v>
      </c>
      <c r="K798" s="141" t="s">
        <v>99</v>
      </c>
      <c r="L798" s="163" t="s">
        <v>100</v>
      </c>
      <c r="M798" s="173" t="s">
        <v>112</v>
      </c>
      <c r="N798" s="174" t="s">
        <v>2636</v>
      </c>
      <c r="O798" s="45" t="s">
        <v>928</v>
      </c>
      <c r="P798" s="163" t="s">
        <v>106</v>
      </c>
      <c r="Q798" s="163" t="s">
        <v>112</v>
      </c>
      <c r="R798" s="163" t="s">
        <v>112</v>
      </c>
      <c r="S798" s="163" t="s">
        <v>112</v>
      </c>
      <c r="T798" s="163" t="s">
        <v>112</v>
      </c>
      <c r="U798" s="163" t="s">
        <v>112</v>
      </c>
      <c r="V798" s="163" t="s">
        <v>548</v>
      </c>
      <c r="W798" s="163" t="s">
        <v>112</v>
      </c>
      <c r="X798" s="163" t="s">
        <v>112</v>
      </c>
      <c r="Y798" s="163" t="s">
        <v>112</v>
      </c>
      <c r="Z798" s="47" t="s">
        <v>37</v>
      </c>
      <c r="AA798" s="23" t="s">
        <v>115</v>
      </c>
      <c r="AB798" s="21" t="s">
        <v>296</v>
      </c>
      <c r="AE798" s="24"/>
      <c r="AM798" s="24"/>
    </row>
    <row r="799" ht="15.75" customHeight="1">
      <c r="A799" s="47">
        <v>407.0</v>
      </c>
      <c r="B799" s="163" t="s">
        <v>2637</v>
      </c>
      <c r="C799" s="163" t="s">
        <v>51</v>
      </c>
      <c r="D799" s="163" t="s">
        <v>112</v>
      </c>
      <c r="E799" s="163" t="s">
        <v>112</v>
      </c>
      <c r="F799" s="172">
        <v>40206.0</v>
      </c>
      <c r="G799" s="169">
        <v>40179.0</v>
      </c>
      <c r="H799" s="42" t="str">
        <f t="shared" si="36"/>
        <v>2010</v>
      </c>
      <c r="I799" s="8" t="s">
        <v>172</v>
      </c>
      <c r="J799" s="163" t="s">
        <v>112</v>
      </c>
      <c r="K799" s="141" t="s">
        <v>99</v>
      </c>
      <c r="L799" s="163" t="s">
        <v>100</v>
      </c>
      <c r="M799" s="173" t="s">
        <v>112</v>
      </c>
      <c r="N799" s="174" t="s">
        <v>2189</v>
      </c>
      <c r="O799" s="45" t="s">
        <v>928</v>
      </c>
      <c r="P799" s="163" t="s">
        <v>106</v>
      </c>
      <c r="Q799" s="163" t="s">
        <v>112</v>
      </c>
      <c r="R799" s="163" t="s">
        <v>112</v>
      </c>
      <c r="S799" s="163" t="s">
        <v>112</v>
      </c>
      <c r="T799" s="163" t="s">
        <v>112</v>
      </c>
      <c r="U799" s="163" t="s">
        <v>112</v>
      </c>
      <c r="V799" s="163" t="s">
        <v>548</v>
      </c>
      <c r="W799" s="163" t="s">
        <v>112</v>
      </c>
      <c r="X799" s="163" t="s">
        <v>112</v>
      </c>
      <c r="Y799" s="163" t="s">
        <v>112</v>
      </c>
      <c r="Z799" s="47" t="s">
        <v>37</v>
      </c>
      <c r="AA799" s="23" t="s">
        <v>115</v>
      </c>
      <c r="AB799" s="21" t="s">
        <v>296</v>
      </c>
      <c r="AE799" s="24"/>
      <c r="AM799" s="24"/>
    </row>
    <row r="800" ht="15.75" customHeight="1">
      <c r="A800" s="47">
        <v>408.0</v>
      </c>
      <c r="B800" s="163" t="s">
        <v>2638</v>
      </c>
      <c r="C800" s="163" t="s">
        <v>51</v>
      </c>
      <c r="D800" s="163" t="s">
        <v>112</v>
      </c>
      <c r="E800" s="163" t="s">
        <v>112</v>
      </c>
      <c r="F800" s="172">
        <v>40206.0</v>
      </c>
      <c r="G800" s="169">
        <v>40179.0</v>
      </c>
      <c r="H800" s="42" t="str">
        <f t="shared" si="36"/>
        <v>2010</v>
      </c>
      <c r="I800" s="8" t="s">
        <v>63</v>
      </c>
      <c r="J800" s="163" t="s">
        <v>112</v>
      </c>
      <c r="K800" s="141" t="s">
        <v>99</v>
      </c>
      <c r="L800" s="163" t="s">
        <v>100</v>
      </c>
      <c r="M800" s="173" t="s">
        <v>112</v>
      </c>
      <c r="N800" s="174" t="s">
        <v>1063</v>
      </c>
      <c r="O800" s="45" t="s">
        <v>928</v>
      </c>
      <c r="P800" s="163" t="s">
        <v>106</v>
      </c>
      <c r="Q800" s="163" t="s">
        <v>112</v>
      </c>
      <c r="R800" s="163" t="s">
        <v>112</v>
      </c>
      <c r="S800" s="163" t="s">
        <v>112</v>
      </c>
      <c r="T800" s="163" t="s">
        <v>112</v>
      </c>
      <c r="U800" s="163" t="s">
        <v>112</v>
      </c>
      <c r="V800" s="163" t="s">
        <v>548</v>
      </c>
      <c r="W800" s="163" t="s">
        <v>112</v>
      </c>
      <c r="X800" s="163" t="s">
        <v>112</v>
      </c>
      <c r="Y800" s="163" t="s">
        <v>112</v>
      </c>
      <c r="Z800" s="47" t="s">
        <v>37</v>
      </c>
      <c r="AA800" s="23" t="s">
        <v>115</v>
      </c>
      <c r="AB800" s="21" t="s">
        <v>296</v>
      </c>
      <c r="AE800" s="24"/>
      <c r="AM800" s="24"/>
    </row>
    <row r="801" ht="15.75" customHeight="1">
      <c r="A801" s="8">
        <v>411.0</v>
      </c>
      <c r="B801" s="163" t="s">
        <v>2639</v>
      </c>
      <c r="C801" s="163" t="s">
        <v>51</v>
      </c>
      <c r="D801" s="163" t="s">
        <v>508</v>
      </c>
      <c r="E801" s="163" t="s">
        <v>112</v>
      </c>
      <c r="F801" s="172">
        <v>40209.0</v>
      </c>
      <c r="G801" s="169">
        <v>40179.0</v>
      </c>
      <c r="H801" s="42" t="str">
        <f t="shared" si="36"/>
        <v>2010</v>
      </c>
      <c r="I801" s="8" t="s">
        <v>63</v>
      </c>
      <c r="J801" s="163" t="s">
        <v>112</v>
      </c>
      <c r="K801" s="141" t="s">
        <v>99</v>
      </c>
      <c r="L801" s="163" t="s">
        <v>100</v>
      </c>
      <c r="M801" s="173" t="s">
        <v>112</v>
      </c>
      <c r="N801" s="174" t="s">
        <v>1063</v>
      </c>
      <c r="O801" s="45" t="s">
        <v>928</v>
      </c>
      <c r="P801" s="163" t="s">
        <v>106</v>
      </c>
      <c r="Q801" s="163" t="s">
        <v>112</v>
      </c>
      <c r="R801" s="163" t="s">
        <v>112</v>
      </c>
      <c r="S801" s="163" t="s">
        <v>112</v>
      </c>
      <c r="T801" s="163" t="s">
        <v>112</v>
      </c>
      <c r="U801" s="163" t="s">
        <v>112</v>
      </c>
      <c r="V801" s="163" t="s">
        <v>548</v>
      </c>
      <c r="W801" s="163" t="s">
        <v>112</v>
      </c>
      <c r="X801" s="163" t="s">
        <v>112</v>
      </c>
      <c r="Y801" s="163" t="s">
        <v>112</v>
      </c>
      <c r="Z801" s="47" t="s">
        <v>37</v>
      </c>
      <c r="AA801" s="23" t="s">
        <v>115</v>
      </c>
      <c r="AB801" s="21" t="s">
        <v>296</v>
      </c>
      <c r="AE801" s="24"/>
      <c r="AM801" s="24"/>
    </row>
    <row r="802" ht="15.75" customHeight="1">
      <c r="A802" s="8">
        <v>412.0</v>
      </c>
      <c r="B802" s="163" t="s">
        <v>2640</v>
      </c>
      <c r="C802" s="163" t="s">
        <v>51</v>
      </c>
      <c r="D802" s="163" t="s">
        <v>112</v>
      </c>
      <c r="E802" s="163" t="s">
        <v>112</v>
      </c>
      <c r="F802" s="172">
        <v>40209.0</v>
      </c>
      <c r="G802" s="169">
        <v>40179.0</v>
      </c>
      <c r="H802" s="42" t="str">
        <f t="shared" si="36"/>
        <v>2010</v>
      </c>
      <c r="I802" s="8" t="s">
        <v>63</v>
      </c>
      <c r="J802" s="163" t="s">
        <v>112</v>
      </c>
      <c r="K802" s="141" t="s">
        <v>99</v>
      </c>
      <c r="L802" s="163" t="s">
        <v>100</v>
      </c>
      <c r="M802" s="173" t="s">
        <v>112</v>
      </c>
      <c r="N802" s="174" t="s">
        <v>1063</v>
      </c>
      <c r="O802" s="45" t="s">
        <v>928</v>
      </c>
      <c r="P802" s="163" t="s">
        <v>106</v>
      </c>
      <c r="Q802" s="163" t="s">
        <v>112</v>
      </c>
      <c r="R802" s="163" t="s">
        <v>112</v>
      </c>
      <c r="S802" s="163" t="s">
        <v>112</v>
      </c>
      <c r="T802" s="163" t="s">
        <v>112</v>
      </c>
      <c r="U802" s="163" t="s">
        <v>112</v>
      </c>
      <c r="V802" s="163" t="s">
        <v>548</v>
      </c>
      <c r="W802" s="163" t="s">
        <v>112</v>
      </c>
      <c r="X802" s="163" t="s">
        <v>112</v>
      </c>
      <c r="Y802" s="163" t="s">
        <v>112</v>
      </c>
      <c r="Z802" s="47" t="s">
        <v>37</v>
      </c>
      <c r="AA802" s="23" t="s">
        <v>115</v>
      </c>
      <c r="AB802" s="21" t="s">
        <v>296</v>
      </c>
      <c r="AE802" s="24"/>
      <c r="AM802" s="24"/>
    </row>
    <row r="803" ht="15.75" customHeight="1">
      <c r="A803" s="8">
        <v>413.0</v>
      </c>
      <c r="B803" s="163" t="s">
        <v>2641</v>
      </c>
      <c r="C803" s="163" t="s">
        <v>51</v>
      </c>
      <c r="D803" s="163" t="s">
        <v>112</v>
      </c>
      <c r="E803" s="163" t="s">
        <v>112</v>
      </c>
      <c r="F803" s="172">
        <v>40209.0</v>
      </c>
      <c r="G803" s="169">
        <v>40179.0</v>
      </c>
      <c r="H803" s="42" t="str">
        <f t="shared" si="36"/>
        <v>2010</v>
      </c>
      <c r="I803" s="8" t="s">
        <v>63</v>
      </c>
      <c r="J803" s="163" t="s">
        <v>112</v>
      </c>
      <c r="K803" s="141" t="s">
        <v>99</v>
      </c>
      <c r="L803" s="163" t="s">
        <v>100</v>
      </c>
      <c r="M803" s="173" t="s">
        <v>112</v>
      </c>
      <c r="N803" s="174" t="s">
        <v>1063</v>
      </c>
      <c r="O803" s="45" t="s">
        <v>928</v>
      </c>
      <c r="P803" s="163" t="s">
        <v>106</v>
      </c>
      <c r="Q803" s="163" t="s">
        <v>112</v>
      </c>
      <c r="R803" s="89" t="s">
        <v>112</v>
      </c>
      <c r="S803" s="89" t="s">
        <v>112</v>
      </c>
      <c r="T803" s="163" t="s">
        <v>112</v>
      </c>
      <c r="U803" s="163" t="s">
        <v>112</v>
      </c>
      <c r="V803" s="163" t="s">
        <v>548</v>
      </c>
      <c r="W803" s="163" t="s">
        <v>112</v>
      </c>
      <c r="X803" s="163" t="s">
        <v>112</v>
      </c>
      <c r="Y803" s="163" t="s">
        <v>112</v>
      </c>
      <c r="Z803" s="47" t="s">
        <v>37</v>
      </c>
      <c r="AA803" s="23" t="s">
        <v>115</v>
      </c>
      <c r="AB803" s="21" t="s">
        <v>296</v>
      </c>
      <c r="AE803" s="24"/>
      <c r="AM803" s="24"/>
    </row>
    <row r="804" ht="15.75" customHeight="1">
      <c r="A804" s="8">
        <v>414.0</v>
      </c>
      <c r="B804" s="163" t="s">
        <v>2642</v>
      </c>
      <c r="C804" s="163" t="s">
        <v>51</v>
      </c>
      <c r="D804" s="163" t="s">
        <v>112</v>
      </c>
      <c r="E804" s="163" t="s">
        <v>112</v>
      </c>
      <c r="F804" s="172">
        <v>40209.0</v>
      </c>
      <c r="G804" s="169">
        <v>40179.0</v>
      </c>
      <c r="H804" s="42" t="str">
        <f t="shared" si="36"/>
        <v>2010</v>
      </c>
      <c r="I804" s="8" t="s">
        <v>63</v>
      </c>
      <c r="J804" s="163" t="s">
        <v>112</v>
      </c>
      <c r="K804" s="141" t="s">
        <v>99</v>
      </c>
      <c r="L804" s="163" t="s">
        <v>100</v>
      </c>
      <c r="M804" s="173" t="s">
        <v>112</v>
      </c>
      <c r="N804" s="174" t="s">
        <v>1063</v>
      </c>
      <c r="O804" s="45" t="s">
        <v>928</v>
      </c>
      <c r="P804" s="163" t="s">
        <v>106</v>
      </c>
      <c r="Q804" s="163" t="s">
        <v>112</v>
      </c>
      <c r="R804" s="163" t="s">
        <v>112</v>
      </c>
      <c r="S804" s="163" t="s">
        <v>112</v>
      </c>
      <c r="T804" s="163" t="s">
        <v>112</v>
      </c>
      <c r="U804" s="163" t="s">
        <v>112</v>
      </c>
      <c r="V804" s="163" t="s">
        <v>548</v>
      </c>
      <c r="W804" s="163" t="s">
        <v>112</v>
      </c>
      <c r="X804" s="163" t="s">
        <v>112</v>
      </c>
      <c r="Y804" s="163" t="s">
        <v>112</v>
      </c>
      <c r="Z804" s="47" t="s">
        <v>37</v>
      </c>
      <c r="AA804" s="23" t="s">
        <v>115</v>
      </c>
      <c r="AB804" s="21" t="s">
        <v>296</v>
      </c>
      <c r="AE804" s="24"/>
      <c r="AM804" s="24"/>
    </row>
    <row r="805" ht="15.75" customHeight="1">
      <c r="A805" s="8">
        <v>417.0</v>
      </c>
      <c r="B805" s="163" t="s">
        <v>2643</v>
      </c>
      <c r="C805" s="163" t="s">
        <v>51</v>
      </c>
      <c r="D805" s="163" t="s">
        <v>112</v>
      </c>
      <c r="E805" s="163" t="s">
        <v>112</v>
      </c>
      <c r="F805" s="172">
        <v>40212.0</v>
      </c>
      <c r="G805" s="169">
        <v>40210.0</v>
      </c>
      <c r="H805" s="42" t="str">
        <f t="shared" si="36"/>
        <v>2010</v>
      </c>
      <c r="I805" s="8" t="s">
        <v>172</v>
      </c>
      <c r="J805" s="163" t="s">
        <v>112</v>
      </c>
      <c r="K805" s="141" t="s">
        <v>99</v>
      </c>
      <c r="L805" s="163" t="s">
        <v>100</v>
      </c>
      <c r="M805" s="173" t="s">
        <v>112</v>
      </c>
      <c r="N805" s="174" t="s">
        <v>2644</v>
      </c>
      <c r="O805" s="45" t="s">
        <v>928</v>
      </c>
      <c r="P805" s="163" t="s">
        <v>106</v>
      </c>
      <c r="Q805" s="163" t="s">
        <v>112</v>
      </c>
      <c r="R805" s="163" t="s">
        <v>112</v>
      </c>
      <c r="S805" s="163" t="s">
        <v>112</v>
      </c>
      <c r="T805" s="163" t="s">
        <v>112</v>
      </c>
      <c r="U805" s="163" t="s">
        <v>112</v>
      </c>
      <c r="V805" s="163" t="s">
        <v>548</v>
      </c>
      <c r="W805" s="163" t="s">
        <v>112</v>
      </c>
      <c r="X805" s="163" t="s">
        <v>112</v>
      </c>
      <c r="Y805" s="163" t="s">
        <v>112</v>
      </c>
      <c r="Z805" s="47" t="s">
        <v>37</v>
      </c>
      <c r="AA805" s="23" t="s">
        <v>115</v>
      </c>
      <c r="AB805" s="21" t="s">
        <v>296</v>
      </c>
      <c r="AE805" s="24"/>
      <c r="AM805" s="24"/>
    </row>
    <row r="806" ht="15.75" customHeight="1">
      <c r="A806" s="8">
        <v>418.0</v>
      </c>
      <c r="B806" s="163" t="s">
        <v>2645</v>
      </c>
      <c r="C806" s="163" t="s">
        <v>51</v>
      </c>
      <c r="D806" s="163" t="s">
        <v>508</v>
      </c>
      <c r="E806" s="163" t="s">
        <v>112</v>
      </c>
      <c r="F806" s="172">
        <v>40212.0</v>
      </c>
      <c r="G806" s="169">
        <v>40210.0</v>
      </c>
      <c r="H806" s="42" t="str">
        <f t="shared" si="36"/>
        <v>2010</v>
      </c>
      <c r="I806" s="8" t="s">
        <v>172</v>
      </c>
      <c r="J806" s="163" t="s">
        <v>112</v>
      </c>
      <c r="K806" s="141" t="s">
        <v>99</v>
      </c>
      <c r="L806" s="163" t="s">
        <v>100</v>
      </c>
      <c r="M806" s="173" t="s">
        <v>112</v>
      </c>
      <c r="N806" s="174" t="s">
        <v>2646</v>
      </c>
      <c r="O806" s="45" t="s">
        <v>928</v>
      </c>
      <c r="P806" s="163" t="s">
        <v>106</v>
      </c>
      <c r="Q806" s="163" t="s">
        <v>112</v>
      </c>
      <c r="R806" s="89" t="s">
        <v>112</v>
      </c>
      <c r="S806" s="89" t="s">
        <v>112</v>
      </c>
      <c r="T806" s="163" t="s">
        <v>112</v>
      </c>
      <c r="U806" s="163" t="s">
        <v>112</v>
      </c>
      <c r="V806" s="163" t="s">
        <v>548</v>
      </c>
      <c r="W806" s="163" t="s">
        <v>112</v>
      </c>
      <c r="X806" s="163" t="s">
        <v>112</v>
      </c>
      <c r="Y806" s="163" t="s">
        <v>112</v>
      </c>
      <c r="Z806" s="47" t="s">
        <v>37</v>
      </c>
      <c r="AA806" s="23" t="s">
        <v>115</v>
      </c>
      <c r="AB806" s="21" t="s">
        <v>296</v>
      </c>
      <c r="AE806" s="24"/>
      <c r="AM806" s="24"/>
    </row>
    <row r="807" ht="15.75" customHeight="1">
      <c r="A807" s="8">
        <v>419.0</v>
      </c>
      <c r="B807" s="163" t="s">
        <v>2647</v>
      </c>
      <c r="C807" s="163" t="s">
        <v>51</v>
      </c>
      <c r="D807" s="163" t="s">
        <v>112</v>
      </c>
      <c r="E807" s="163" t="s">
        <v>112</v>
      </c>
      <c r="F807" s="172">
        <v>40214.0</v>
      </c>
      <c r="G807" s="169">
        <v>40210.0</v>
      </c>
      <c r="H807" s="42" t="str">
        <f t="shared" si="36"/>
        <v>2010</v>
      </c>
      <c r="I807" s="8" t="s">
        <v>186</v>
      </c>
      <c r="J807" s="163" t="s">
        <v>112</v>
      </c>
      <c r="K807" s="141" t="s">
        <v>99</v>
      </c>
      <c r="L807" s="163" t="s">
        <v>100</v>
      </c>
      <c r="M807" s="173" t="s">
        <v>112</v>
      </c>
      <c r="N807" s="174" t="s">
        <v>2648</v>
      </c>
      <c r="O807" s="45" t="s">
        <v>928</v>
      </c>
      <c r="P807" s="163" t="s">
        <v>106</v>
      </c>
      <c r="Q807" s="163" t="s">
        <v>112</v>
      </c>
      <c r="R807" s="163" t="s">
        <v>112</v>
      </c>
      <c r="S807" s="163" t="s">
        <v>112</v>
      </c>
      <c r="T807" s="163" t="s">
        <v>112</v>
      </c>
      <c r="U807" s="163" t="s">
        <v>112</v>
      </c>
      <c r="V807" s="163" t="s">
        <v>548</v>
      </c>
      <c r="W807" s="163" t="s">
        <v>112</v>
      </c>
      <c r="X807" s="163" t="s">
        <v>112</v>
      </c>
      <c r="Y807" s="163" t="s">
        <v>112</v>
      </c>
      <c r="Z807" s="47" t="s">
        <v>37</v>
      </c>
      <c r="AA807" s="23" t="s">
        <v>115</v>
      </c>
      <c r="AB807" s="21" t="s">
        <v>296</v>
      </c>
      <c r="AE807" s="24"/>
      <c r="AM807" s="24"/>
    </row>
    <row r="808" ht="15.75" customHeight="1">
      <c r="A808" s="8">
        <v>420.0</v>
      </c>
      <c r="B808" s="163" t="s">
        <v>2649</v>
      </c>
      <c r="C808" s="163" t="s">
        <v>51</v>
      </c>
      <c r="D808" s="163" t="s">
        <v>112</v>
      </c>
      <c r="E808" s="163" t="s">
        <v>112</v>
      </c>
      <c r="F808" s="172">
        <v>40218.0</v>
      </c>
      <c r="G808" s="169">
        <v>40210.0</v>
      </c>
      <c r="H808" s="42" t="str">
        <f t="shared" si="36"/>
        <v>2010</v>
      </c>
      <c r="I808" s="8" t="s">
        <v>172</v>
      </c>
      <c r="J808" s="163" t="s">
        <v>112</v>
      </c>
      <c r="K808" s="141" t="s">
        <v>99</v>
      </c>
      <c r="L808" s="163" t="s">
        <v>100</v>
      </c>
      <c r="M808" s="173" t="s">
        <v>112</v>
      </c>
      <c r="N808" s="174" t="s">
        <v>1068</v>
      </c>
      <c r="O808" s="45" t="s">
        <v>928</v>
      </c>
      <c r="P808" s="163" t="s">
        <v>106</v>
      </c>
      <c r="Q808" s="163" t="s">
        <v>112</v>
      </c>
      <c r="R808" s="163" t="s">
        <v>112</v>
      </c>
      <c r="S808" s="163" t="s">
        <v>112</v>
      </c>
      <c r="T808" s="163" t="s">
        <v>112</v>
      </c>
      <c r="U808" s="163" t="s">
        <v>112</v>
      </c>
      <c r="V808" s="163" t="s">
        <v>548</v>
      </c>
      <c r="W808" s="163" t="s">
        <v>112</v>
      </c>
      <c r="X808" s="163" t="s">
        <v>112</v>
      </c>
      <c r="Y808" s="163" t="s">
        <v>112</v>
      </c>
      <c r="Z808" s="47" t="s">
        <v>37</v>
      </c>
      <c r="AA808" s="23" t="s">
        <v>115</v>
      </c>
      <c r="AB808" s="21" t="s">
        <v>296</v>
      </c>
      <c r="AE808" s="24"/>
      <c r="AM808" s="24"/>
    </row>
    <row r="809" ht="15.75" customHeight="1">
      <c r="A809" s="8">
        <v>421.0</v>
      </c>
      <c r="B809" s="163" t="s">
        <v>2650</v>
      </c>
      <c r="C809" s="163" t="s">
        <v>51</v>
      </c>
      <c r="D809" s="163" t="s">
        <v>112</v>
      </c>
      <c r="E809" s="163" t="s">
        <v>112</v>
      </c>
      <c r="F809" s="172">
        <v>40218.0</v>
      </c>
      <c r="G809" s="169">
        <v>40210.0</v>
      </c>
      <c r="H809" s="42" t="str">
        <f t="shared" si="36"/>
        <v>2010</v>
      </c>
      <c r="I809" s="8" t="s">
        <v>186</v>
      </c>
      <c r="J809" s="163" t="s">
        <v>112</v>
      </c>
      <c r="K809" s="141" t="s">
        <v>99</v>
      </c>
      <c r="L809" s="163" t="s">
        <v>100</v>
      </c>
      <c r="M809" s="173" t="s">
        <v>112</v>
      </c>
      <c r="N809" s="174" t="s">
        <v>2651</v>
      </c>
      <c r="O809" s="45" t="s">
        <v>928</v>
      </c>
      <c r="P809" s="163" t="s">
        <v>106</v>
      </c>
      <c r="Q809" s="163" t="s">
        <v>112</v>
      </c>
      <c r="R809" s="163" t="s">
        <v>112</v>
      </c>
      <c r="S809" s="163" t="s">
        <v>112</v>
      </c>
      <c r="T809" s="163" t="s">
        <v>112</v>
      </c>
      <c r="U809" s="163" t="s">
        <v>112</v>
      </c>
      <c r="V809" s="163" t="s">
        <v>548</v>
      </c>
      <c r="W809" s="163" t="s">
        <v>112</v>
      </c>
      <c r="X809" s="163" t="s">
        <v>112</v>
      </c>
      <c r="Y809" s="163" t="s">
        <v>112</v>
      </c>
      <c r="Z809" s="47" t="s">
        <v>37</v>
      </c>
      <c r="AA809" s="23" t="s">
        <v>115</v>
      </c>
      <c r="AB809" s="21" t="s">
        <v>296</v>
      </c>
      <c r="AE809" s="24"/>
      <c r="AM809" s="24"/>
    </row>
    <row r="810" ht="15.75" customHeight="1">
      <c r="A810" s="8">
        <v>422.0</v>
      </c>
      <c r="B810" s="163" t="s">
        <v>2652</v>
      </c>
      <c r="C810" s="163" t="s">
        <v>51</v>
      </c>
      <c r="D810" s="163" t="s">
        <v>112</v>
      </c>
      <c r="E810" s="163" t="s">
        <v>112</v>
      </c>
      <c r="F810" s="172">
        <v>40218.0</v>
      </c>
      <c r="G810" s="169">
        <v>40210.0</v>
      </c>
      <c r="H810" s="42" t="str">
        <f t="shared" si="36"/>
        <v>2010</v>
      </c>
      <c r="I810" s="8" t="s">
        <v>63</v>
      </c>
      <c r="J810" s="163" t="s">
        <v>112</v>
      </c>
      <c r="K810" s="141" t="s">
        <v>99</v>
      </c>
      <c r="L810" s="163" t="s">
        <v>100</v>
      </c>
      <c r="M810" s="173" t="s">
        <v>112</v>
      </c>
      <c r="N810" s="174" t="s">
        <v>2636</v>
      </c>
      <c r="O810" s="45" t="s">
        <v>928</v>
      </c>
      <c r="P810" s="163" t="s">
        <v>106</v>
      </c>
      <c r="Q810" s="163" t="s">
        <v>112</v>
      </c>
      <c r="R810" s="163" t="s">
        <v>112</v>
      </c>
      <c r="S810" s="163" t="s">
        <v>112</v>
      </c>
      <c r="T810" s="163" t="s">
        <v>112</v>
      </c>
      <c r="U810" s="163" t="s">
        <v>112</v>
      </c>
      <c r="V810" s="163" t="s">
        <v>548</v>
      </c>
      <c r="W810" s="163" t="s">
        <v>112</v>
      </c>
      <c r="X810" s="163" t="s">
        <v>112</v>
      </c>
      <c r="Y810" s="163" t="s">
        <v>112</v>
      </c>
      <c r="Z810" s="47" t="s">
        <v>37</v>
      </c>
      <c r="AA810" s="23" t="s">
        <v>115</v>
      </c>
      <c r="AB810" s="21" t="s">
        <v>296</v>
      </c>
      <c r="AE810" s="24"/>
      <c r="AM810" s="24"/>
    </row>
    <row r="811" ht="15.75" customHeight="1">
      <c r="A811" s="8">
        <v>423.0</v>
      </c>
      <c r="B811" s="163" t="s">
        <v>2653</v>
      </c>
      <c r="C811" s="163" t="s">
        <v>51</v>
      </c>
      <c r="D811" s="163" t="s">
        <v>112</v>
      </c>
      <c r="E811" s="163" t="s">
        <v>112</v>
      </c>
      <c r="F811" s="172">
        <v>40218.0</v>
      </c>
      <c r="G811" s="169">
        <v>40210.0</v>
      </c>
      <c r="H811" s="42" t="str">
        <f t="shared" si="36"/>
        <v>2010</v>
      </c>
      <c r="I811" s="8" t="s">
        <v>63</v>
      </c>
      <c r="J811" s="163" t="s">
        <v>112</v>
      </c>
      <c r="K811" s="141" t="s">
        <v>99</v>
      </c>
      <c r="L811" s="163" t="s">
        <v>100</v>
      </c>
      <c r="M811" s="173" t="s">
        <v>112</v>
      </c>
      <c r="N811" s="174" t="s">
        <v>1311</v>
      </c>
      <c r="O811" s="45" t="s">
        <v>928</v>
      </c>
      <c r="P811" s="163" t="s">
        <v>106</v>
      </c>
      <c r="Q811" s="163" t="s">
        <v>112</v>
      </c>
      <c r="R811" s="163" t="s">
        <v>112</v>
      </c>
      <c r="S811" s="163" t="s">
        <v>112</v>
      </c>
      <c r="T811" s="163" t="s">
        <v>112</v>
      </c>
      <c r="U811" s="163" t="s">
        <v>112</v>
      </c>
      <c r="V811" s="163" t="s">
        <v>548</v>
      </c>
      <c r="W811" s="163" t="s">
        <v>112</v>
      </c>
      <c r="X811" s="163" t="s">
        <v>112</v>
      </c>
      <c r="Y811" s="163" t="s">
        <v>112</v>
      </c>
      <c r="Z811" s="47" t="s">
        <v>37</v>
      </c>
      <c r="AA811" s="23" t="s">
        <v>115</v>
      </c>
      <c r="AB811" s="21" t="s">
        <v>296</v>
      </c>
      <c r="AE811" s="24"/>
      <c r="AM811" s="24"/>
    </row>
    <row r="812" ht="15.75" customHeight="1">
      <c r="A812" s="8">
        <v>424.0</v>
      </c>
      <c r="B812" s="163" t="s">
        <v>2654</v>
      </c>
      <c r="C812" s="163" t="s">
        <v>51</v>
      </c>
      <c r="D812" s="163" t="s">
        <v>112</v>
      </c>
      <c r="E812" s="163" t="s">
        <v>112</v>
      </c>
      <c r="F812" s="172">
        <v>40218.0</v>
      </c>
      <c r="G812" s="169">
        <v>40210.0</v>
      </c>
      <c r="H812" s="42" t="str">
        <f t="shared" si="36"/>
        <v>2010</v>
      </c>
      <c r="I812" s="8" t="s">
        <v>186</v>
      </c>
      <c r="J812" s="163" t="s">
        <v>112</v>
      </c>
      <c r="K812" s="141" t="s">
        <v>99</v>
      </c>
      <c r="L812" s="163" t="s">
        <v>100</v>
      </c>
      <c r="M812" s="173" t="s">
        <v>112</v>
      </c>
      <c r="N812" s="174" t="s">
        <v>112</v>
      </c>
      <c r="O812" s="45" t="s">
        <v>928</v>
      </c>
      <c r="P812" s="163" t="s">
        <v>106</v>
      </c>
      <c r="Q812" s="163" t="s">
        <v>112</v>
      </c>
      <c r="R812" s="163" t="s">
        <v>112</v>
      </c>
      <c r="S812" s="163" t="s">
        <v>112</v>
      </c>
      <c r="T812" s="163" t="s">
        <v>112</v>
      </c>
      <c r="U812" s="163" t="s">
        <v>112</v>
      </c>
      <c r="V812" s="163" t="s">
        <v>548</v>
      </c>
      <c r="W812" s="163" t="s">
        <v>112</v>
      </c>
      <c r="X812" s="163" t="s">
        <v>112</v>
      </c>
      <c r="Y812" s="163" t="s">
        <v>112</v>
      </c>
      <c r="Z812" s="47" t="s">
        <v>37</v>
      </c>
      <c r="AA812" s="23" t="s">
        <v>115</v>
      </c>
      <c r="AB812" s="21" t="s">
        <v>296</v>
      </c>
      <c r="AE812" s="24"/>
      <c r="AM812" s="24"/>
    </row>
    <row r="813" ht="15.75" customHeight="1">
      <c r="A813" s="8">
        <v>425.0</v>
      </c>
      <c r="B813" s="163" t="s">
        <v>2655</v>
      </c>
      <c r="C813" s="163" t="s">
        <v>51</v>
      </c>
      <c r="D813" s="163" t="s">
        <v>112</v>
      </c>
      <c r="E813" s="163" t="s">
        <v>112</v>
      </c>
      <c r="F813" s="172">
        <v>40218.0</v>
      </c>
      <c r="G813" s="169">
        <v>40210.0</v>
      </c>
      <c r="H813" s="42" t="str">
        <f t="shared" si="36"/>
        <v>2010</v>
      </c>
      <c r="I813" s="8" t="s">
        <v>63</v>
      </c>
      <c r="J813" s="163" t="s">
        <v>112</v>
      </c>
      <c r="K813" s="141" t="s">
        <v>99</v>
      </c>
      <c r="L813" s="163" t="s">
        <v>100</v>
      </c>
      <c r="M813" s="173" t="s">
        <v>112</v>
      </c>
      <c r="N813" s="174" t="s">
        <v>2656</v>
      </c>
      <c r="O813" s="45" t="s">
        <v>928</v>
      </c>
      <c r="P813" s="163" t="s">
        <v>106</v>
      </c>
      <c r="Q813" s="163" t="s">
        <v>112</v>
      </c>
      <c r="R813" s="163" t="s">
        <v>112</v>
      </c>
      <c r="S813" s="163" t="s">
        <v>112</v>
      </c>
      <c r="T813" s="163" t="s">
        <v>112</v>
      </c>
      <c r="U813" s="163" t="s">
        <v>112</v>
      </c>
      <c r="V813" s="163" t="s">
        <v>548</v>
      </c>
      <c r="W813" s="163" t="s">
        <v>112</v>
      </c>
      <c r="X813" s="163" t="s">
        <v>112</v>
      </c>
      <c r="Y813" s="163" t="s">
        <v>112</v>
      </c>
      <c r="Z813" s="47" t="s">
        <v>37</v>
      </c>
      <c r="AA813" s="23" t="s">
        <v>115</v>
      </c>
      <c r="AB813" s="21" t="s">
        <v>296</v>
      </c>
      <c r="AE813" s="24"/>
      <c r="AM813" s="24"/>
    </row>
    <row r="814" ht="15.75" customHeight="1">
      <c r="A814" s="8">
        <v>426.0</v>
      </c>
      <c r="B814" s="163" t="s">
        <v>2657</v>
      </c>
      <c r="C814" s="163" t="s">
        <v>51</v>
      </c>
      <c r="D814" s="163" t="s">
        <v>112</v>
      </c>
      <c r="E814" s="163" t="s">
        <v>112</v>
      </c>
      <c r="F814" s="172">
        <v>40218.0</v>
      </c>
      <c r="G814" s="169">
        <v>40210.0</v>
      </c>
      <c r="H814" s="42" t="str">
        <f t="shared" si="36"/>
        <v>2010</v>
      </c>
      <c r="I814" s="8" t="s">
        <v>63</v>
      </c>
      <c r="J814" s="163" t="s">
        <v>112</v>
      </c>
      <c r="K814" s="141" t="s">
        <v>99</v>
      </c>
      <c r="L814" s="163" t="s">
        <v>100</v>
      </c>
      <c r="M814" s="173" t="s">
        <v>112</v>
      </c>
      <c r="N814" s="174" t="s">
        <v>1311</v>
      </c>
      <c r="O814" s="45" t="s">
        <v>928</v>
      </c>
      <c r="P814" s="163" t="s">
        <v>106</v>
      </c>
      <c r="Q814" s="163" t="s">
        <v>112</v>
      </c>
      <c r="R814" s="163" t="s">
        <v>112</v>
      </c>
      <c r="S814" s="163" t="s">
        <v>112</v>
      </c>
      <c r="T814" s="163" t="s">
        <v>112</v>
      </c>
      <c r="U814" s="163" t="s">
        <v>112</v>
      </c>
      <c r="V814" s="163" t="s">
        <v>548</v>
      </c>
      <c r="W814" s="163" t="s">
        <v>112</v>
      </c>
      <c r="X814" s="163" t="s">
        <v>112</v>
      </c>
      <c r="Y814" s="163" t="s">
        <v>112</v>
      </c>
      <c r="Z814" s="47" t="s">
        <v>37</v>
      </c>
      <c r="AA814" s="23" t="s">
        <v>115</v>
      </c>
      <c r="AB814" s="21" t="s">
        <v>296</v>
      </c>
      <c r="AE814" s="24"/>
      <c r="AM814" s="24"/>
    </row>
    <row r="815" ht="15.75" customHeight="1">
      <c r="A815" s="8">
        <v>427.0</v>
      </c>
      <c r="B815" s="163" t="s">
        <v>2658</v>
      </c>
      <c r="C815" s="163" t="s">
        <v>51</v>
      </c>
      <c r="D815" s="163" t="s">
        <v>112</v>
      </c>
      <c r="E815" s="163" t="s">
        <v>112</v>
      </c>
      <c r="F815" s="172">
        <v>40218.0</v>
      </c>
      <c r="G815" s="169">
        <v>40210.0</v>
      </c>
      <c r="H815" s="42" t="str">
        <f t="shared" si="36"/>
        <v>2010</v>
      </c>
      <c r="I815" s="8" t="s">
        <v>63</v>
      </c>
      <c r="J815" s="163" t="s">
        <v>112</v>
      </c>
      <c r="K815" s="141" t="s">
        <v>99</v>
      </c>
      <c r="L815" s="163" t="s">
        <v>100</v>
      </c>
      <c r="M815" s="173" t="s">
        <v>112</v>
      </c>
      <c r="N815" s="174" t="s">
        <v>2659</v>
      </c>
      <c r="O815" s="45" t="s">
        <v>928</v>
      </c>
      <c r="P815" s="163" t="s">
        <v>106</v>
      </c>
      <c r="Q815" s="163" t="s">
        <v>112</v>
      </c>
      <c r="R815" s="163" t="s">
        <v>112</v>
      </c>
      <c r="S815" s="163" t="s">
        <v>112</v>
      </c>
      <c r="T815" s="163" t="s">
        <v>112</v>
      </c>
      <c r="U815" s="163" t="s">
        <v>112</v>
      </c>
      <c r="V815" s="163" t="s">
        <v>548</v>
      </c>
      <c r="W815" s="163" t="s">
        <v>112</v>
      </c>
      <c r="X815" s="163" t="s">
        <v>112</v>
      </c>
      <c r="Y815" s="163" t="s">
        <v>112</v>
      </c>
      <c r="Z815" s="47" t="s">
        <v>37</v>
      </c>
      <c r="AA815" s="23" t="s">
        <v>115</v>
      </c>
      <c r="AB815" s="21" t="s">
        <v>296</v>
      </c>
      <c r="AE815" s="24"/>
      <c r="AM815" s="24"/>
    </row>
    <row r="816" ht="15.75" customHeight="1">
      <c r="A816" s="8">
        <v>428.0</v>
      </c>
      <c r="B816" s="163" t="s">
        <v>2660</v>
      </c>
      <c r="C816" s="163" t="s">
        <v>51</v>
      </c>
      <c r="D816" s="163" t="s">
        <v>112</v>
      </c>
      <c r="E816" s="163" t="s">
        <v>112</v>
      </c>
      <c r="F816" s="172">
        <v>40219.0</v>
      </c>
      <c r="G816" s="169">
        <v>40210.0</v>
      </c>
      <c r="H816" s="42" t="str">
        <f t="shared" si="36"/>
        <v>2010</v>
      </c>
      <c r="I816" s="8" t="s">
        <v>63</v>
      </c>
      <c r="J816" s="163" t="s">
        <v>112</v>
      </c>
      <c r="K816" s="141" t="s">
        <v>99</v>
      </c>
      <c r="L816" s="163" t="s">
        <v>100</v>
      </c>
      <c r="M816" s="173" t="s">
        <v>112</v>
      </c>
      <c r="N816" s="174" t="s">
        <v>2661</v>
      </c>
      <c r="O816" s="45" t="s">
        <v>2662</v>
      </c>
      <c r="P816" s="163" t="s">
        <v>106</v>
      </c>
      <c r="Q816" s="163" t="s">
        <v>112</v>
      </c>
      <c r="R816" s="163" t="s">
        <v>112</v>
      </c>
      <c r="S816" s="163" t="s">
        <v>112</v>
      </c>
      <c r="T816" s="163" t="s">
        <v>112</v>
      </c>
      <c r="U816" s="163" t="s">
        <v>112</v>
      </c>
      <c r="V816" s="163" t="s">
        <v>548</v>
      </c>
      <c r="W816" s="163" t="s">
        <v>112</v>
      </c>
      <c r="X816" s="163" t="s">
        <v>112</v>
      </c>
      <c r="Y816" s="163" t="s">
        <v>112</v>
      </c>
      <c r="Z816" s="47" t="s">
        <v>37</v>
      </c>
      <c r="AA816" s="23" t="s">
        <v>115</v>
      </c>
      <c r="AB816" s="21" t="s">
        <v>296</v>
      </c>
      <c r="AE816" s="24"/>
      <c r="AM816" s="24"/>
    </row>
    <row r="817" ht="15.75" customHeight="1">
      <c r="A817" s="8">
        <v>429.0</v>
      </c>
      <c r="B817" s="163" t="s">
        <v>2663</v>
      </c>
      <c r="C817" s="163" t="s">
        <v>51</v>
      </c>
      <c r="D817" s="163" t="s">
        <v>112</v>
      </c>
      <c r="E817" s="163" t="s">
        <v>112</v>
      </c>
      <c r="F817" s="172">
        <v>40219.0</v>
      </c>
      <c r="G817" s="169">
        <v>40210.0</v>
      </c>
      <c r="H817" s="42" t="str">
        <f t="shared" si="36"/>
        <v>2010</v>
      </c>
      <c r="I817" s="8" t="s">
        <v>63</v>
      </c>
      <c r="J817" s="163" t="s">
        <v>112</v>
      </c>
      <c r="K817" s="141" t="s">
        <v>99</v>
      </c>
      <c r="L817" s="163" t="s">
        <v>100</v>
      </c>
      <c r="M817" s="173" t="s">
        <v>112</v>
      </c>
      <c r="N817" s="174" t="s">
        <v>2664</v>
      </c>
      <c r="O817" s="45" t="s">
        <v>2665</v>
      </c>
      <c r="P817" s="163" t="s">
        <v>106</v>
      </c>
      <c r="Q817" s="163" t="s">
        <v>112</v>
      </c>
      <c r="R817" s="163" t="s">
        <v>112</v>
      </c>
      <c r="S817" s="163" t="s">
        <v>112</v>
      </c>
      <c r="T817" s="163" t="s">
        <v>112</v>
      </c>
      <c r="U817" s="163" t="s">
        <v>112</v>
      </c>
      <c r="V817" s="163" t="s">
        <v>548</v>
      </c>
      <c r="W817" s="163" t="s">
        <v>112</v>
      </c>
      <c r="X817" s="163" t="s">
        <v>112</v>
      </c>
      <c r="Y817" s="163" t="s">
        <v>112</v>
      </c>
      <c r="Z817" s="47" t="s">
        <v>37</v>
      </c>
      <c r="AA817" s="23" t="s">
        <v>115</v>
      </c>
      <c r="AB817" s="21" t="s">
        <v>296</v>
      </c>
      <c r="AE817" s="24"/>
      <c r="AM817" s="24"/>
    </row>
    <row r="818" ht="15.75" customHeight="1">
      <c r="A818" s="8">
        <v>430.0</v>
      </c>
      <c r="B818" s="163" t="s">
        <v>2666</v>
      </c>
      <c r="C818" s="163" t="s">
        <v>51</v>
      </c>
      <c r="D818" s="163" t="s">
        <v>112</v>
      </c>
      <c r="E818" s="163" t="s">
        <v>112</v>
      </c>
      <c r="F818" s="172">
        <v>40219.0</v>
      </c>
      <c r="G818" s="169">
        <v>40210.0</v>
      </c>
      <c r="H818" s="42" t="str">
        <f t="shared" si="36"/>
        <v>2010</v>
      </c>
      <c r="I818" s="8" t="s">
        <v>63</v>
      </c>
      <c r="J818" s="163" t="s">
        <v>112</v>
      </c>
      <c r="K818" s="141" t="s">
        <v>99</v>
      </c>
      <c r="L818" s="163" t="s">
        <v>100</v>
      </c>
      <c r="M818" s="173" t="s">
        <v>112</v>
      </c>
      <c r="N818" s="174" t="s">
        <v>2667</v>
      </c>
      <c r="O818" s="45" t="s">
        <v>2668</v>
      </c>
      <c r="P818" s="163" t="s">
        <v>106</v>
      </c>
      <c r="Q818" s="163" t="s">
        <v>112</v>
      </c>
      <c r="R818" s="163" t="s">
        <v>112</v>
      </c>
      <c r="S818" s="163" t="s">
        <v>112</v>
      </c>
      <c r="T818" s="163" t="s">
        <v>112</v>
      </c>
      <c r="U818" s="163" t="s">
        <v>112</v>
      </c>
      <c r="V818" s="163" t="s">
        <v>548</v>
      </c>
      <c r="W818" s="163" t="s">
        <v>112</v>
      </c>
      <c r="X818" s="163" t="s">
        <v>112</v>
      </c>
      <c r="Y818" s="163" t="s">
        <v>112</v>
      </c>
      <c r="Z818" s="47" t="s">
        <v>37</v>
      </c>
      <c r="AA818" s="23" t="s">
        <v>115</v>
      </c>
      <c r="AB818" s="21" t="s">
        <v>296</v>
      </c>
      <c r="AE818" s="24"/>
      <c r="AM818" s="24"/>
    </row>
    <row r="819" ht="15.75" customHeight="1">
      <c r="A819" s="8">
        <v>431.0</v>
      </c>
      <c r="B819" s="163" t="s">
        <v>2669</v>
      </c>
      <c r="C819" s="163" t="s">
        <v>51</v>
      </c>
      <c r="D819" s="163" t="s">
        <v>112</v>
      </c>
      <c r="E819" s="163" t="s">
        <v>112</v>
      </c>
      <c r="F819" s="172">
        <v>40219.0</v>
      </c>
      <c r="G819" s="169">
        <v>40210.0</v>
      </c>
      <c r="H819" s="42" t="str">
        <f t="shared" si="36"/>
        <v>2010</v>
      </c>
      <c r="I819" s="8" t="s">
        <v>63</v>
      </c>
      <c r="J819" s="163" t="s">
        <v>112</v>
      </c>
      <c r="K819" s="141" t="s">
        <v>99</v>
      </c>
      <c r="L819" s="163" t="s">
        <v>100</v>
      </c>
      <c r="M819" s="173" t="s">
        <v>112</v>
      </c>
      <c r="N819" s="174" t="s">
        <v>2670</v>
      </c>
      <c r="O819" s="45" t="s">
        <v>2671</v>
      </c>
      <c r="P819" s="163" t="s">
        <v>106</v>
      </c>
      <c r="Q819" s="163" t="s">
        <v>112</v>
      </c>
      <c r="R819" s="163" t="s">
        <v>112</v>
      </c>
      <c r="S819" s="163" t="s">
        <v>112</v>
      </c>
      <c r="T819" s="163" t="s">
        <v>112</v>
      </c>
      <c r="U819" s="163" t="s">
        <v>112</v>
      </c>
      <c r="V819" s="163" t="s">
        <v>548</v>
      </c>
      <c r="W819" s="163" t="s">
        <v>112</v>
      </c>
      <c r="X819" s="163" t="s">
        <v>112</v>
      </c>
      <c r="Y819" s="163" t="s">
        <v>112</v>
      </c>
      <c r="Z819" s="47" t="s">
        <v>37</v>
      </c>
      <c r="AA819" s="23" t="s">
        <v>115</v>
      </c>
      <c r="AB819" s="21" t="s">
        <v>296</v>
      </c>
      <c r="AE819" s="24"/>
      <c r="AM819" s="24"/>
    </row>
    <row r="820" ht="15.75" customHeight="1">
      <c r="A820" s="8">
        <v>432.0</v>
      </c>
      <c r="B820" s="163" t="s">
        <v>2672</v>
      </c>
      <c r="C820" s="163" t="s">
        <v>51</v>
      </c>
      <c r="D820" s="163" t="s">
        <v>112</v>
      </c>
      <c r="E820" s="163" t="s">
        <v>112</v>
      </c>
      <c r="F820" s="172">
        <v>40219.0</v>
      </c>
      <c r="G820" s="169">
        <v>40210.0</v>
      </c>
      <c r="H820" s="42" t="str">
        <f t="shared" si="36"/>
        <v>2010</v>
      </c>
      <c r="I820" s="8" t="s">
        <v>63</v>
      </c>
      <c r="J820" s="163" t="s">
        <v>112</v>
      </c>
      <c r="K820" s="141" t="s">
        <v>99</v>
      </c>
      <c r="L820" s="163" t="s">
        <v>100</v>
      </c>
      <c r="M820" s="173" t="s">
        <v>112</v>
      </c>
      <c r="N820" s="174" t="s">
        <v>2636</v>
      </c>
      <c r="O820" s="45" t="s">
        <v>928</v>
      </c>
      <c r="P820" s="163" t="s">
        <v>106</v>
      </c>
      <c r="Q820" s="163" t="s">
        <v>112</v>
      </c>
      <c r="R820" s="163" t="s">
        <v>112</v>
      </c>
      <c r="S820" s="163" t="s">
        <v>112</v>
      </c>
      <c r="T820" s="163" t="s">
        <v>112</v>
      </c>
      <c r="U820" s="163" t="s">
        <v>112</v>
      </c>
      <c r="V820" s="163" t="s">
        <v>548</v>
      </c>
      <c r="W820" s="163" t="s">
        <v>112</v>
      </c>
      <c r="X820" s="163" t="s">
        <v>112</v>
      </c>
      <c r="Y820" s="163" t="s">
        <v>112</v>
      </c>
      <c r="Z820" s="47" t="s">
        <v>37</v>
      </c>
      <c r="AA820" s="23" t="s">
        <v>115</v>
      </c>
      <c r="AB820" s="21" t="s">
        <v>296</v>
      </c>
      <c r="AE820" s="24"/>
      <c r="AM820" s="24"/>
    </row>
    <row r="821" ht="15.75" customHeight="1">
      <c r="A821" s="8">
        <v>433.0</v>
      </c>
      <c r="B821" s="163" t="s">
        <v>2673</v>
      </c>
      <c r="C821" s="163" t="s">
        <v>51</v>
      </c>
      <c r="D821" s="163" t="s">
        <v>112</v>
      </c>
      <c r="E821" s="163" t="s">
        <v>112</v>
      </c>
      <c r="F821" s="172">
        <v>40219.0</v>
      </c>
      <c r="G821" s="169">
        <v>40210.0</v>
      </c>
      <c r="H821" s="42" t="str">
        <f t="shared" si="36"/>
        <v>2010</v>
      </c>
      <c r="I821" s="8" t="s">
        <v>63</v>
      </c>
      <c r="J821" s="163" t="s">
        <v>112</v>
      </c>
      <c r="K821" s="141" t="s">
        <v>99</v>
      </c>
      <c r="L821" s="163" t="s">
        <v>100</v>
      </c>
      <c r="M821" s="173" t="s">
        <v>112</v>
      </c>
      <c r="N821" s="174" t="s">
        <v>2636</v>
      </c>
      <c r="O821" s="45" t="s">
        <v>2674</v>
      </c>
      <c r="P821" s="163" t="s">
        <v>106</v>
      </c>
      <c r="Q821" s="163" t="s">
        <v>112</v>
      </c>
      <c r="R821" s="163" t="s">
        <v>112</v>
      </c>
      <c r="S821" s="163" t="s">
        <v>112</v>
      </c>
      <c r="T821" s="163" t="s">
        <v>112</v>
      </c>
      <c r="U821" s="163" t="s">
        <v>112</v>
      </c>
      <c r="V821" s="163" t="s">
        <v>548</v>
      </c>
      <c r="W821" s="163" t="s">
        <v>112</v>
      </c>
      <c r="X821" s="163" t="s">
        <v>112</v>
      </c>
      <c r="Y821" s="163" t="s">
        <v>112</v>
      </c>
      <c r="Z821" s="47" t="s">
        <v>37</v>
      </c>
      <c r="AA821" s="23" t="s">
        <v>115</v>
      </c>
      <c r="AB821" s="21" t="s">
        <v>296</v>
      </c>
      <c r="AE821" s="24"/>
      <c r="AM821" s="24"/>
    </row>
    <row r="822" ht="15.75" customHeight="1">
      <c r="A822" s="8">
        <v>434.0</v>
      </c>
      <c r="B822" s="163" t="s">
        <v>2675</v>
      </c>
      <c r="C822" s="163" t="s">
        <v>51</v>
      </c>
      <c r="D822" s="163" t="s">
        <v>112</v>
      </c>
      <c r="E822" s="163" t="s">
        <v>112</v>
      </c>
      <c r="F822" s="172">
        <v>40219.0</v>
      </c>
      <c r="G822" s="169">
        <v>40210.0</v>
      </c>
      <c r="H822" s="42" t="str">
        <f t="shared" si="36"/>
        <v>2010</v>
      </c>
      <c r="I822" s="8" t="s">
        <v>63</v>
      </c>
      <c r="J822" s="163" t="s">
        <v>112</v>
      </c>
      <c r="K822" s="141" t="s">
        <v>99</v>
      </c>
      <c r="L822" s="163" t="s">
        <v>100</v>
      </c>
      <c r="M822" s="173" t="s">
        <v>112</v>
      </c>
      <c r="N822" s="174" t="s">
        <v>2676</v>
      </c>
      <c r="O822" s="45" t="s">
        <v>928</v>
      </c>
      <c r="P822" s="163" t="s">
        <v>106</v>
      </c>
      <c r="Q822" s="163" t="s">
        <v>112</v>
      </c>
      <c r="R822" s="163" t="s">
        <v>112</v>
      </c>
      <c r="S822" s="163" t="s">
        <v>112</v>
      </c>
      <c r="T822" s="163" t="s">
        <v>112</v>
      </c>
      <c r="U822" s="163" t="s">
        <v>112</v>
      </c>
      <c r="V822" s="163" t="s">
        <v>548</v>
      </c>
      <c r="W822" s="163" t="s">
        <v>112</v>
      </c>
      <c r="X822" s="163" t="s">
        <v>112</v>
      </c>
      <c r="Y822" s="163" t="s">
        <v>112</v>
      </c>
      <c r="Z822" s="47" t="s">
        <v>37</v>
      </c>
      <c r="AA822" s="23" t="s">
        <v>115</v>
      </c>
      <c r="AB822" s="21" t="s">
        <v>296</v>
      </c>
      <c r="AE822" s="24"/>
      <c r="AM822" s="24"/>
    </row>
    <row r="823" ht="15.75" customHeight="1">
      <c r="A823" s="8">
        <v>435.0</v>
      </c>
      <c r="B823" s="163" t="s">
        <v>2677</v>
      </c>
      <c r="C823" s="163" t="s">
        <v>51</v>
      </c>
      <c r="D823" s="163" t="s">
        <v>112</v>
      </c>
      <c r="E823" s="163" t="s">
        <v>112</v>
      </c>
      <c r="F823" s="172">
        <v>40219.0</v>
      </c>
      <c r="G823" s="169">
        <v>40210.0</v>
      </c>
      <c r="H823" s="42" t="str">
        <f t="shared" si="36"/>
        <v>2010</v>
      </c>
      <c r="I823" s="8" t="s">
        <v>63</v>
      </c>
      <c r="J823" s="163" t="s">
        <v>112</v>
      </c>
      <c r="K823" s="141" t="s">
        <v>99</v>
      </c>
      <c r="L823" s="163" t="s">
        <v>100</v>
      </c>
      <c r="M823" s="173" t="s">
        <v>112</v>
      </c>
      <c r="N823" s="174" t="s">
        <v>1311</v>
      </c>
      <c r="O823" s="45" t="s">
        <v>928</v>
      </c>
      <c r="P823" s="163" t="s">
        <v>106</v>
      </c>
      <c r="Q823" s="163" t="s">
        <v>112</v>
      </c>
      <c r="R823" s="163" t="s">
        <v>112</v>
      </c>
      <c r="S823" s="163" t="s">
        <v>112</v>
      </c>
      <c r="T823" s="163" t="s">
        <v>112</v>
      </c>
      <c r="U823" s="163" t="s">
        <v>112</v>
      </c>
      <c r="V823" s="163" t="s">
        <v>548</v>
      </c>
      <c r="W823" s="163" t="s">
        <v>112</v>
      </c>
      <c r="X823" s="163" t="s">
        <v>112</v>
      </c>
      <c r="Y823" s="163" t="s">
        <v>112</v>
      </c>
      <c r="Z823" s="47" t="s">
        <v>37</v>
      </c>
      <c r="AA823" s="23" t="s">
        <v>115</v>
      </c>
      <c r="AB823" s="21" t="s">
        <v>296</v>
      </c>
      <c r="AE823" s="24"/>
      <c r="AM823" s="24"/>
    </row>
    <row r="824" ht="15.75" customHeight="1">
      <c r="A824" s="8">
        <v>436.0</v>
      </c>
      <c r="B824" s="163" t="s">
        <v>2678</v>
      </c>
      <c r="C824" s="163" t="s">
        <v>51</v>
      </c>
      <c r="D824" s="163" t="s">
        <v>112</v>
      </c>
      <c r="E824" s="163" t="s">
        <v>112</v>
      </c>
      <c r="F824" s="172">
        <v>40220.0</v>
      </c>
      <c r="G824" s="169">
        <v>40210.0</v>
      </c>
      <c r="H824" s="42" t="str">
        <f t="shared" si="36"/>
        <v>2010</v>
      </c>
      <c r="I824" s="8" t="s">
        <v>63</v>
      </c>
      <c r="J824" s="163" t="s">
        <v>112</v>
      </c>
      <c r="K824" s="141" t="s">
        <v>99</v>
      </c>
      <c r="L824" s="163" t="s">
        <v>100</v>
      </c>
      <c r="M824" s="173" t="s">
        <v>112</v>
      </c>
      <c r="N824" s="174" t="s">
        <v>2679</v>
      </c>
      <c r="O824" s="45" t="s">
        <v>2680</v>
      </c>
      <c r="P824" s="163" t="s">
        <v>106</v>
      </c>
      <c r="Q824" s="163" t="s">
        <v>112</v>
      </c>
      <c r="R824" s="163" t="s">
        <v>112</v>
      </c>
      <c r="S824" s="163" t="s">
        <v>112</v>
      </c>
      <c r="T824" s="163" t="s">
        <v>112</v>
      </c>
      <c r="U824" s="163" t="s">
        <v>112</v>
      </c>
      <c r="V824" s="163" t="s">
        <v>548</v>
      </c>
      <c r="W824" s="163" t="s">
        <v>112</v>
      </c>
      <c r="X824" s="163" t="s">
        <v>112</v>
      </c>
      <c r="Y824" s="163" t="s">
        <v>112</v>
      </c>
      <c r="Z824" s="47" t="s">
        <v>37</v>
      </c>
      <c r="AA824" s="23" t="s">
        <v>115</v>
      </c>
      <c r="AB824" s="21" t="s">
        <v>296</v>
      </c>
      <c r="AE824" s="24"/>
      <c r="AM824" s="24"/>
    </row>
    <row r="825" ht="15.75" customHeight="1">
      <c r="A825" s="8">
        <v>437.0</v>
      </c>
      <c r="B825" s="163" t="s">
        <v>2681</v>
      </c>
      <c r="C825" s="167" t="s">
        <v>48</v>
      </c>
      <c r="D825" s="163" t="s">
        <v>112</v>
      </c>
      <c r="E825" s="163" t="s">
        <v>112</v>
      </c>
      <c r="F825" s="172">
        <v>40226.0</v>
      </c>
      <c r="G825" s="169">
        <v>40210.0</v>
      </c>
      <c r="H825" s="42" t="str">
        <f t="shared" si="36"/>
        <v>2010</v>
      </c>
      <c r="I825" s="8" t="s">
        <v>774</v>
      </c>
      <c r="J825" s="163" t="s">
        <v>112</v>
      </c>
      <c r="K825" s="141" t="s">
        <v>99</v>
      </c>
      <c r="L825" s="167" t="s">
        <v>1336</v>
      </c>
      <c r="M825" s="168" t="s">
        <v>177</v>
      </c>
      <c r="N825" s="174" t="s">
        <v>112</v>
      </c>
      <c r="O825" s="45"/>
      <c r="P825" s="163" t="s">
        <v>106</v>
      </c>
      <c r="Q825" s="163" t="s">
        <v>112</v>
      </c>
      <c r="R825" s="163" t="s">
        <v>112</v>
      </c>
      <c r="S825" s="163" t="s">
        <v>112</v>
      </c>
      <c r="T825" s="163" t="s">
        <v>112</v>
      </c>
      <c r="U825" s="163" t="s">
        <v>112</v>
      </c>
      <c r="V825" s="167" t="s">
        <v>480</v>
      </c>
      <c r="W825" s="163" t="s">
        <v>112</v>
      </c>
      <c r="X825" s="163" t="s">
        <v>112</v>
      </c>
      <c r="Y825" s="163" t="s">
        <v>112</v>
      </c>
      <c r="Z825" s="47" t="s">
        <v>37</v>
      </c>
      <c r="AA825" s="23" t="s">
        <v>115</v>
      </c>
      <c r="AB825" s="21" t="s">
        <v>296</v>
      </c>
      <c r="AE825" s="24"/>
      <c r="AM825" s="24"/>
    </row>
    <row r="826" ht="15.75" customHeight="1">
      <c r="A826" s="8">
        <v>438.0</v>
      </c>
      <c r="B826" s="163" t="s">
        <v>2682</v>
      </c>
      <c r="C826" s="167" t="s">
        <v>48</v>
      </c>
      <c r="D826" s="163" t="s">
        <v>112</v>
      </c>
      <c r="E826" s="163" t="s">
        <v>112</v>
      </c>
      <c r="F826" s="172">
        <v>40233.0</v>
      </c>
      <c r="G826" s="169">
        <v>40210.0</v>
      </c>
      <c r="H826" s="42" t="str">
        <f t="shared" si="36"/>
        <v>2010</v>
      </c>
      <c r="I826" s="8" t="s">
        <v>186</v>
      </c>
      <c r="J826" s="163" t="s">
        <v>112</v>
      </c>
      <c r="K826" s="141" t="s">
        <v>99</v>
      </c>
      <c r="L826" s="167" t="s">
        <v>112</v>
      </c>
      <c r="M826" s="173" t="s">
        <v>112</v>
      </c>
      <c r="N826" s="174" t="s">
        <v>2683</v>
      </c>
      <c r="O826" s="45"/>
      <c r="P826" s="163" t="s">
        <v>106</v>
      </c>
      <c r="Q826" s="163" t="s">
        <v>112</v>
      </c>
      <c r="R826" s="163" t="s">
        <v>112</v>
      </c>
      <c r="S826" s="163" t="s">
        <v>112</v>
      </c>
      <c r="T826" s="163" t="s">
        <v>112</v>
      </c>
      <c r="U826" s="163" t="s">
        <v>112</v>
      </c>
      <c r="V826" s="167" t="s">
        <v>2684</v>
      </c>
      <c r="W826" s="163" t="s">
        <v>112</v>
      </c>
      <c r="X826" s="163" t="s">
        <v>112</v>
      </c>
      <c r="Y826" s="163" t="s">
        <v>112</v>
      </c>
      <c r="Z826" s="47" t="s">
        <v>37</v>
      </c>
      <c r="AA826" s="23" t="s">
        <v>115</v>
      </c>
      <c r="AB826" s="21" t="s">
        <v>296</v>
      </c>
      <c r="AE826" s="24"/>
      <c r="AM826" s="24"/>
    </row>
    <row r="827" ht="15.75" customHeight="1">
      <c r="A827" s="8">
        <v>440.0</v>
      </c>
      <c r="B827" s="163" t="s">
        <v>2685</v>
      </c>
      <c r="C827" s="167" t="s">
        <v>48</v>
      </c>
      <c r="D827" s="163" t="s">
        <v>112</v>
      </c>
      <c r="E827" s="163" t="s">
        <v>112</v>
      </c>
      <c r="F827" s="172">
        <v>40243.0</v>
      </c>
      <c r="G827" s="169">
        <v>40238.0</v>
      </c>
      <c r="H827" s="42" t="str">
        <f t="shared" si="36"/>
        <v>2010</v>
      </c>
      <c r="I827" s="8" t="s">
        <v>176</v>
      </c>
      <c r="J827" s="163" t="s">
        <v>112</v>
      </c>
      <c r="K827" s="141" t="s">
        <v>99</v>
      </c>
      <c r="L827" s="167" t="s">
        <v>112</v>
      </c>
      <c r="M827" s="173" t="s">
        <v>177</v>
      </c>
      <c r="N827" s="174" t="s">
        <v>2686</v>
      </c>
      <c r="O827" s="45"/>
      <c r="P827" s="163" t="s">
        <v>106</v>
      </c>
      <c r="Q827" s="163" t="s">
        <v>112</v>
      </c>
      <c r="R827" s="163" t="s">
        <v>112</v>
      </c>
      <c r="S827" s="167" t="s">
        <v>112</v>
      </c>
      <c r="T827" s="163" t="s">
        <v>112</v>
      </c>
      <c r="U827" s="163" t="s">
        <v>112</v>
      </c>
      <c r="V827" s="167" t="s">
        <v>1024</v>
      </c>
      <c r="W827" s="163" t="s">
        <v>112</v>
      </c>
      <c r="X827" s="163" t="s">
        <v>112</v>
      </c>
      <c r="Y827" s="163" t="s">
        <v>112</v>
      </c>
      <c r="Z827" s="47" t="s">
        <v>37</v>
      </c>
      <c r="AA827" s="23" t="s">
        <v>115</v>
      </c>
      <c r="AB827" s="21" t="s">
        <v>296</v>
      </c>
      <c r="AE827" s="24"/>
      <c r="AM827" s="24"/>
    </row>
    <row r="828" ht="15.75" customHeight="1">
      <c r="A828" s="8">
        <v>442.0</v>
      </c>
      <c r="B828" s="163" t="s">
        <v>2687</v>
      </c>
      <c r="C828" s="167" t="s">
        <v>48</v>
      </c>
      <c r="D828" s="181" t="s">
        <v>112</v>
      </c>
      <c r="E828" s="163" t="s">
        <v>112</v>
      </c>
      <c r="F828" s="172">
        <v>40288.0</v>
      </c>
      <c r="G828" s="183">
        <v>40269.0</v>
      </c>
      <c r="H828" s="42" t="str">
        <f t="shared" si="36"/>
        <v>2010</v>
      </c>
      <c r="I828" s="8" t="s">
        <v>176</v>
      </c>
      <c r="J828" s="181" t="s">
        <v>112</v>
      </c>
      <c r="K828" s="141" t="s">
        <v>99</v>
      </c>
      <c r="L828" s="167" t="s">
        <v>1336</v>
      </c>
      <c r="M828" s="168" t="s">
        <v>177</v>
      </c>
      <c r="N828" s="174" t="s">
        <v>112</v>
      </c>
      <c r="O828" s="45" t="s">
        <v>1818</v>
      </c>
      <c r="P828" s="163" t="s">
        <v>106</v>
      </c>
      <c r="Q828" s="181" t="s">
        <v>112</v>
      </c>
      <c r="R828" s="175" t="s">
        <v>112</v>
      </c>
      <c r="S828" s="167" t="s">
        <v>112</v>
      </c>
      <c r="T828" s="163" t="s">
        <v>112</v>
      </c>
      <c r="U828" s="163" t="s">
        <v>112</v>
      </c>
      <c r="V828" s="167" t="s">
        <v>836</v>
      </c>
      <c r="W828" s="181" t="s">
        <v>112</v>
      </c>
      <c r="X828" s="181" t="s">
        <v>112</v>
      </c>
      <c r="Y828" s="181" t="s">
        <v>112</v>
      </c>
      <c r="Z828" s="47" t="s">
        <v>37</v>
      </c>
      <c r="AA828" s="23" t="s">
        <v>115</v>
      </c>
      <c r="AB828" s="21" t="s">
        <v>296</v>
      </c>
      <c r="AE828" s="24"/>
      <c r="AM828" s="24"/>
    </row>
    <row r="829" ht="15.75" customHeight="1">
      <c r="A829" s="8">
        <v>444.0</v>
      </c>
      <c r="B829" s="163" t="s">
        <v>2688</v>
      </c>
      <c r="C829" s="167" t="s">
        <v>48</v>
      </c>
      <c r="D829" s="163" t="s">
        <v>112</v>
      </c>
      <c r="E829" s="163" t="s">
        <v>112</v>
      </c>
      <c r="F829" s="172">
        <v>40317.0</v>
      </c>
      <c r="G829" s="169">
        <v>40299.0</v>
      </c>
      <c r="H829" s="42" t="str">
        <f t="shared" si="36"/>
        <v>2010</v>
      </c>
      <c r="I829" s="8" t="s">
        <v>176</v>
      </c>
      <c r="J829" s="163" t="s">
        <v>112</v>
      </c>
      <c r="K829" s="141" t="s">
        <v>99</v>
      </c>
      <c r="L829" s="167" t="s">
        <v>100</v>
      </c>
      <c r="M829" s="173" t="s">
        <v>177</v>
      </c>
      <c r="N829" s="174" t="s">
        <v>112</v>
      </c>
      <c r="O829" s="45" t="s">
        <v>2689</v>
      </c>
      <c r="P829" s="163" t="s">
        <v>106</v>
      </c>
      <c r="Q829" s="163" t="s">
        <v>112</v>
      </c>
      <c r="R829" s="163" t="s">
        <v>112</v>
      </c>
      <c r="S829" s="163" t="s">
        <v>112</v>
      </c>
      <c r="T829" s="163" t="s">
        <v>112</v>
      </c>
      <c r="U829" s="163" t="s">
        <v>112</v>
      </c>
      <c r="V829" s="167" t="s">
        <v>480</v>
      </c>
      <c r="W829" s="163" t="s">
        <v>112</v>
      </c>
      <c r="X829" s="163" t="s">
        <v>112</v>
      </c>
      <c r="Y829" s="163" t="s">
        <v>112</v>
      </c>
      <c r="Z829" s="47" t="s">
        <v>37</v>
      </c>
      <c r="AA829" s="23" t="s">
        <v>115</v>
      </c>
      <c r="AB829" s="21" t="s">
        <v>296</v>
      </c>
      <c r="AE829" s="24"/>
      <c r="AM829" s="24"/>
    </row>
    <row r="830" ht="15.75" customHeight="1">
      <c r="A830" s="8">
        <v>448.0</v>
      </c>
      <c r="B830" s="163" t="s">
        <v>2690</v>
      </c>
      <c r="C830" s="163" t="s">
        <v>51</v>
      </c>
      <c r="D830" s="163" t="s">
        <v>112</v>
      </c>
      <c r="E830" s="163" t="s">
        <v>112</v>
      </c>
      <c r="F830" s="172">
        <v>40339.0</v>
      </c>
      <c r="G830" s="169">
        <v>40330.0</v>
      </c>
      <c r="H830" s="42" t="str">
        <f t="shared" si="36"/>
        <v>2010</v>
      </c>
      <c r="I830" s="8" t="s">
        <v>774</v>
      </c>
      <c r="J830" s="163" t="s">
        <v>112</v>
      </c>
      <c r="K830" s="141" t="s">
        <v>99</v>
      </c>
      <c r="L830" s="163" t="s">
        <v>100</v>
      </c>
      <c r="M830" s="173" t="s">
        <v>177</v>
      </c>
      <c r="N830" s="174" t="s">
        <v>2691</v>
      </c>
      <c r="O830" s="45" t="s">
        <v>2692</v>
      </c>
      <c r="P830" s="163" t="s">
        <v>106</v>
      </c>
      <c r="Q830" s="163" t="s">
        <v>112</v>
      </c>
      <c r="R830" s="163" t="s">
        <v>112</v>
      </c>
      <c r="S830" s="163" t="s">
        <v>112</v>
      </c>
      <c r="T830" s="163" t="s">
        <v>112</v>
      </c>
      <c r="U830" s="163" t="s">
        <v>112</v>
      </c>
      <c r="V830" s="163" t="s">
        <v>480</v>
      </c>
      <c r="W830" s="163" t="s">
        <v>112</v>
      </c>
      <c r="X830" s="163" t="s">
        <v>112</v>
      </c>
      <c r="Y830" s="163" t="s">
        <v>112</v>
      </c>
      <c r="Z830" s="47" t="s">
        <v>37</v>
      </c>
      <c r="AA830" s="23" t="s">
        <v>115</v>
      </c>
      <c r="AB830" s="21" t="s">
        <v>296</v>
      </c>
      <c r="AE830" s="24"/>
      <c r="AM830" s="24"/>
    </row>
    <row r="831" ht="15.75" customHeight="1">
      <c r="A831" s="8">
        <v>455.0</v>
      </c>
      <c r="B831" s="163" t="s">
        <v>2693</v>
      </c>
      <c r="C831" s="163" t="s">
        <v>51</v>
      </c>
      <c r="D831" s="163" t="s">
        <v>112</v>
      </c>
      <c r="E831" s="163" t="s">
        <v>112</v>
      </c>
      <c r="F831" s="172">
        <v>40471.0</v>
      </c>
      <c r="G831" s="169">
        <v>40452.0</v>
      </c>
      <c r="H831" s="42" t="str">
        <f t="shared" si="36"/>
        <v>2010</v>
      </c>
      <c r="I831" s="8" t="s">
        <v>172</v>
      </c>
      <c r="J831" s="163" t="s">
        <v>112</v>
      </c>
      <c r="K831" s="141" t="s">
        <v>99</v>
      </c>
      <c r="L831" s="163" t="s">
        <v>100</v>
      </c>
      <c r="M831" s="173" t="s">
        <v>112</v>
      </c>
      <c r="N831" s="174" t="s">
        <v>112</v>
      </c>
      <c r="O831" s="45"/>
      <c r="P831" s="163" t="s">
        <v>106</v>
      </c>
      <c r="Q831" s="163" t="s">
        <v>112</v>
      </c>
      <c r="R831" s="163" t="s">
        <v>112</v>
      </c>
      <c r="S831" s="163" t="s">
        <v>112</v>
      </c>
      <c r="T831" s="163" t="s">
        <v>112</v>
      </c>
      <c r="U831" s="163" t="s">
        <v>112</v>
      </c>
      <c r="V831" s="163" t="s">
        <v>480</v>
      </c>
      <c r="W831" s="163" t="s">
        <v>112</v>
      </c>
      <c r="X831" s="163" t="s">
        <v>112</v>
      </c>
      <c r="Y831" s="163" t="s">
        <v>112</v>
      </c>
      <c r="Z831" s="47" t="s">
        <v>37</v>
      </c>
      <c r="AA831" s="23" t="s">
        <v>115</v>
      </c>
      <c r="AB831" s="21" t="s">
        <v>296</v>
      </c>
      <c r="AE831" s="24"/>
      <c r="AM831" s="24"/>
    </row>
    <row r="832" ht="15.75" customHeight="1">
      <c r="A832" s="8">
        <v>464.0</v>
      </c>
      <c r="B832" s="163" t="s">
        <v>2694</v>
      </c>
      <c r="C832" s="163" t="s">
        <v>51</v>
      </c>
      <c r="D832" s="163" t="s">
        <v>112</v>
      </c>
      <c r="E832" s="163" t="s">
        <v>112</v>
      </c>
      <c r="F832" s="172">
        <v>40716.0</v>
      </c>
      <c r="G832" s="169">
        <v>40695.0</v>
      </c>
      <c r="H832" s="42" t="str">
        <f t="shared" si="36"/>
        <v>2011</v>
      </c>
      <c r="I832" s="8" t="s">
        <v>172</v>
      </c>
      <c r="J832" s="163" t="s">
        <v>112</v>
      </c>
      <c r="K832" s="141" t="s">
        <v>99</v>
      </c>
      <c r="L832" s="163" t="s">
        <v>100</v>
      </c>
      <c r="M832" s="173" t="s">
        <v>112</v>
      </c>
      <c r="N832" s="174" t="s">
        <v>2695</v>
      </c>
      <c r="O832" s="45" t="s">
        <v>179</v>
      </c>
      <c r="P832" s="163" t="s">
        <v>106</v>
      </c>
      <c r="Q832" s="163" t="s">
        <v>112</v>
      </c>
      <c r="R832" s="163" t="s">
        <v>112</v>
      </c>
      <c r="S832" s="163" t="s">
        <v>112</v>
      </c>
      <c r="T832" s="163" t="s">
        <v>112</v>
      </c>
      <c r="U832" s="163" t="s">
        <v>112</v>
      </c>
      <c r="V832" s="163" t="s">
        <v>480</v>
      </c>
      <c r="W832" s="163" t="s">
        <v>112</v>
      </c>
      <c r="X832" s="163" t="s">
        <v>112</v>
      </c>
      <c r="Y832" s="163" t="s">
        <v>112</v>
      </c>
      <c r="Z832" s="47" t="s">
        <v>37</v>
      </c>
      <c r="AA832" s="23" t="s">
        <v>115</v>
      </c>
      <c r="AB832" s="21" t="s">
        <v>296</v>
      </c>
      <c r="AE832" s="24"/>
      <c r="AM832" s="24"/>
    </row>
    <row r="833" ht="15.75" customHeight="1">
      <c r="A833" s="8">
        <v>465.0</v>
      </c>
      <c r="B833" s="163" t="s">
        <v>2696</v>
      </c>
      <c r="C833" s="167" t="s">
        <v>48</v>
      </c>
      <c r="D833" s="163" t="s">
        <v>112</v>
      </c>
      <c r="E833" s="163" t="s">
        <v>112</v>
      </c>
      <c r="F833" s="172">
        <v>40719.0</v>
      </c>
      <c r="G833" s="169">
        <v>40695.0</v>
      </c>
      <c r="H833" s="42" t="str">
        <f t="shared" si="36"/>
        <v>2011</v>
      </c>
      <c r="I833" s="8" t="s">
        <v>176</v>
      </c>
      <c r="J833" s="163" t="s">
        <v>112</v>
      </c>
      <c r="K833" s="141" t="s">
        <v>99</v>
      </c>
      <c r="L833" s="167" t="s">
        <v>100</v>
      </c>
      <c r="M833" s="173" t="s">
        <v>177</v>
      </c>
      <c r="N833" s="174" t="s">
        <v>112</v>
      </c>
      <c r="O833" s="45" t="s">
        <v>1014</v>
      </c>
      <c r="P833" s="163" t="s">
        <v>106</v>
      </c>
      <c r="Q833" s="163" t="s">
        <v>112</v>
      </c>
      <c r="R833" s="163" t="s">
        <v>112</v>
      </c>
      <c r="S833" s="163" t="s">
        <v>112</v>
      </c>
      <c r="T833" s="163" t="s">
        <v>112</v>
      </c>
      <c r="U833" s="163" t="s">
        <v>112</v>
      </c>
      <c r="V833" s="167" t="s">
        <v>1024</v>
      </c>
      <c r="W833" s="163" t="s">
        <v>112</v>
      </c>
      <c r="X833" s="163" t="s">
        <v>112</v>
      </c>
      <c r="Y833" s="163" t="s">
        <v>112</v>
      </c>
      <c r="Z833" s="47" t="s">
        <v>37</v>
      </c>
      <c r="AA833" s="23" t="s">
        <v>115</v>
      </c>
      <c r="AB833" s="21" t="s">
        <v>296</v>
      </c>
      <c r="AE833" s="24"/>
      <c r="AM833" s="24"/>
    </row>
    <row r="834" ht="15.75" customHeight="1">
      <c r="A834" s="8">
        <v>468.0</v>
      </c>
      <c r="B834" s="163" t="s">
        <v>2697</v>
      </c>
      <c r="C834" s="163" t="s">
        <v>51</v>
      </c>
      <c r="D834" s="163" t="s">
        <v>112</v>
      </c>
      <c r="E834" s="163" t="s">
        <v>112</v>
      </c>
      <c r="F834" s="163" t="s">
        <v>112</v>
      </c>
      <c r="G834" s="169">
        <v>40725.0</v>
      </c>
      <c r="H834" s="122" t="str">
        <f t="shared" si="36"/>
        <v>2011</v>
      </c>
      <c r="I834" s="8" t="s">
        <v>186</v>
      </c>
      <c r="J834" s="163" t="s">
        <v>112</v>
      </c>
      <c r="K834" s="141" t="s">
        <v>99</v>
      </c>
      <c r="L834" s="163" t="s">
        <v>100</v>
      </c>
      <c r="M834" s="163" t="s">
        <v>112</v>
      </c>
      <c r="N834" s="174" t="s">
        <v>2698</v>
      </c>
      <c r="O834" s="45" t="s">
        <v>2699</v>
      </c>
      <c r="P834" s="163" t="s">
        <v>106</v>
      </c>
      <c r="Q834" s="163" t="s">
        <v>112</v>
      </c>
      <c r="R834" s="89" t="s">
        <v>112</v>
      </c>
      <c r="S834" s="89" t="s">
        <v>112</v>
      </c>
      <c r="T834" s="163" t="s">
        <v>112</v>
      </c>
      <c r="U834" s="163" t="s">
        <v>112</v>
      </c>
      <c r="V834" s="163" t="s">
        <v>548</v>
      </c>
      <c r="W834" s="163" t="s">
        <v>112</v>
      </c>
      <c r="X834" s="163" t="s">
        <v>112</v>
      </c>
      <c r="Y834" s="163" t="s">
        <v>112</v>
      </c>
      <c r="Z834" s="47" t="s">
        <v>37</v>
      </c>
      <c r="AA834" s="23" t="s">
        <v>115</v>
      </c>
      <c r="AB834" s="21" t="s">
        <v>296</v>
      </c>
      <c r="AE834" s="24"/>
      <c r="AM834" s="24"/>
    </row>
    <row r="835" ht="15.75" customHeight="1">
      <c r="A835" s="8">
        <v>365.0</v>
      </c>
      <c r="B835" s="188" t="s">
        <v>2700</v>
      </c>
      <c r="C835" s="167" t="s">
        <v>48</v>
      </c>
      <c r="D835" s="181" t="s">
        <v>112</v>
      </c>
      <c r="E835" s="163" t="s">
        <v>112</v>
      </c>
      <c r="F835" s="168" t="s">
        <v>2701</v>
      </c>
      <c r="G835" s="183">
        <v>39934.0</v>
      </c>
      <c r="H835" s="42" t="str">
        <f t="shared" si="36"/>
        <v>2009</v>
      </c>
      <c r="I835" s="8" t="s">
        <v>186</v>
      </c>
      <c r="J835" s="181" t="s">
        <v>112</v>
      </c>
      <c r="K835" s="141" t="s">
        <v>99</v>
      </c>
      <c r="L835" s="167" t="s">
        <v>100</v>
      </c>
      <c r="M835" s="178" t="s">
        <v>187</v>
      </c>
      <c r="N835" s="174" t="s">
        <v>2702</v>
      </c>
      <c r="O835" s="45" t="s">
        <v>2703</v>
      </c>
      <c r="P835" s="163" t="s">
        <v>106</v>
      </c>
      <c r="Q835" s="181" t="s">
        <v>112</v>
      </c>
      <c r="R835" s="175" t="s">
        <v>112</v>
      </c>
      <c r="S835" s="167" t="s">
        <v>112</v>
      </c>
      <c r="T835" s="167">
        <v>-76.19258939</v>
      </c>
      <c r="U835" s="167">
        <v>-2.56185839</v>
      </c>
      <c r="V835" s="167" t="s">
        <v>858</v>
      </c>
      <c r="W835" s="181" t="s">
        <v>112</v>
      </c>
      <c r="X835" s="181" t="s">
        <v>112</v>
      </c>
      <c r="Y835" s="181" t="s">
        <v>112</v>
      </c>
      <c r="Z835" s="47" t="s">
        <v>37</v>
      </c>
      <c r="AA835" s="23" t="s">
        <v>115</v>
      </c>
      <c r="AB835" s="8" t="s">
        <v>295</v>
      </c>
      <c r="AE835" s="24"/>
      <c r="AM835" s="24"/>
    </row>
    <row r="836" ht="15.75" customHeight="1">
      <c r="A836" s="8">
        <v>166.0</v>
      </c>
      <c r="B836" s="210" t="s">
        <v>2704</v>
      </c>
      <c r="C836" s="163" t="s">
        <v>57</v>
      </c>
      <c r="D836" s="163" t="s">
        <v>112</v>
      </c>
      <c r="E836" s="163" t="s">
        <v>112</v>
      </c>
      <c r="F836" s="163">
        <v>2002.0</v>
      </c>
      <c r="G836" s="161">
        <v>37500.0</v>
      </c>
      <c r="H836" s="42" t="str">
        <f t="shared" si="36"/>
        <v>2002</v>
      </c>
      <c r="I836" s="8" t="s">
        <v>186</v>
      </c>
      <c r="J836" s="163" t="s">
        <v>112</v>
      </c>
      <c r="K836" s="163" t="s">
        <v>112</v>
      </c>
      <c r="L836" s="163" t="s">
        <v>100</v>
      </c>
      <c r="M836" s="167" t="s">
        <v>177</v>
      </c>
      <c r="N836" s="174" t="s">
        <v>2705</v>
      </c>
      <c r="O836" s="45" t="s">
        <v>2706</v>
      </c>
      <c r="P836" s="163" t="s">
        <v>106</v>
      </c>
      <c r="Q836" s="163" t="s">
        <v>112</v>
      </c>
      <c r="R836" s="89" t="s">
        <v>112</v>
      </c>
      <c r="S836" s="89" t="s">
        <v>112</v>
      </c>
      <c r="T836" s="163" t="s">
        <v>112</v>
      </c>
      <c r="U836" s="163" t="s">
        <v>112</v>
      </c>
      <c r="V836" s="163" t="s">
        <v>2070</v>
      </c>
      <c r="W836" s="163" t="s">
        <v>112</v>
      </c>
      <c r="X836" s="163">
        <v>0.0</v>
      </c>
      <c r="Y836" s="163" t="s">
        <v>112</v>
      </c>
      <c r="Z836" s="8" t="s">
        <v>36</v>
      </c>
      <c r="AA836" s="23" t="s">
        <v>144</v>
      </c>
      <c r="AB836" s="21" t="s">
        <v>291</v>
      </c>
      <c r="AE836" s="24"/>
      <c r="AM836" s="24"/>
    </row>
    <row r="837" ht="15.75" customHeight="1">
      <c r="A837" s="8">
        <v>279.0</v>
      </c>
      <c r="B837" s="188" t="s">
        <v>2707</v>
      </c>
      <c r="C837" s="167" t="s">
        <v>57</v>
      </c>
      <c r="D837" s="181" t="s">
        <v>112</v>
      </c>
      <c r="E837" s="163" t="s">
        <v>112</v>
      </c>
      <c r="F837" s="168">
        <v>39417.0</v>
      </c>
      <c r="G837" s="178">
        <v>39417.0</v>
      </c>
      <c r="H837" s="42" t="str">
        <f t="shared" si="36"/>
        <v>2007</v>
      </c>
      <c r="I837" s="8" t="s">
        <v>176</v>
      </c>
      <c r="J837" s="163" t="s">
        <v>112</v>
      </c>
      <c r="K837" s="163" t="s">
        <v>112</v>
      </c>
      <c r="L837" s="163" t="s">
        <v>100</v>
      </c>
      <c r="M837" s="167" t="s">
        <v>177</v>
      </c>
      <c r="N837" s="174" t="s">
        <v>2708</v>
      </c>
      <c r="O837" s="45" t="s">
        <v>2709</v>
      </c>
      <c r="P837" s="163" t="s">
        <v>106</v>
      </c>
      <c r="Q837" s="181" t="s">
        <v>112</v>
      </c>
      <c r="R837" s="114" t="s">
        <v>112</v>
      </c>
      <c r="S837" s="114" t="s">
        <v>112</v>
      </c>
      <c r="T837" s="167" t="s">
        <v>112</v>
      </c>
      <c r="U837" s="167" t="s">
        <v>112</v>
      </c>
      <c r="V837" s="167" t="s">
        <v>2074</v>
      </c>
      <c r="W837" s="163" t="s">
        <v>112</v>
      </c>
      <c r="X837" s="181" t="s">
        <v>112</v>
      </c>
      <c r="Y837" s="181" t="s">
        <v>112</v>
      </c>
      <c r="Z837" s="8" t="s">
        <v>36</v>
      </c>
      <c r="AA837" s="23" t="s">
        <v>143</v>
      </c>
      <c r="AB837" s="8" t="s">
        <v>282</v>
      </c>
      <c r="AE837" s="24"/>
      <c r="AM837" s="24"/>
    </row>
    <row r="838" ht="15.75" customHeight="1">
      <c r="A838" s="8">
        <v>836.0</v>
      </c>
      <c r="B838" s="158" t="s">
        <v>2710</v>
      </c>
      <c r="C838" s="156" t="s">
        <v>48</v>
      </c>
      <c r="D838" s="158" t="s">
        <v>112</v>
      </c>
      <c r="E838" s="158" t="s">
        <v>112</v>
      </c>
      <c r="F838" s="205">
        <v>42874.0</v>
      </c>
      <c r="G838" s="164">
        <v>42856.0</v>
      </c>
      <c r="H838" s="20" t="str">
        <f t="shared" si="36"/>
        <v>2017</v>
      </c>
      <c r="I838" s="8" t="s">
        <v>186</v>
      </c>
      <c r="J838" s="158" t="s">
        <v>112</v>
      </c>
      <c r="K838" s="158" t="s">
        <v>112</v>
      </c>
      <c r="L838" s="156" t="s">
        <v>100</v>
      </c>
      <c r="M838" s="190" t="s">
        <v>513</v>
      </c>
      <c r="N838" s="158" t="s">
        <v>2711</v>
      </c>
      <c r="O838" s="8" t="s">
        <v>2712</v>
      </c>
      <c r="P838" s="158" t="s">
        <v>106</v>
      </c>
      <c r="Q838" s="158" t="s">
        <v>112</v>
      </c>
      <c r="R838" s="156" t="s">
        <v>112</v>
      </c>
      <c r="S838" s="156" t="s">
        <v>112</v>
      </c>
      <c r="T838" s="156">
        <v>-76.19303108</v>
      </c>
      <c r="U838" s="156">
        <v>-2.5616968</v>
      </c>
      <c r="V838" s="156" t="s">
        <v>844</v>
      </c>
      <c r="W838" s="158" t="s">
        <v>112</v>
      </c>
      <c r="X838" s="158" t="s">
        <v>112</v>
      </c>
      <c r="Y838" s="158" t="s">
        <v>112</v>
      </c>
      <c r="Z838" s="8" t="s">
        <v>148</v>
      </c>
      <c r="AA838" s="23" t="s">
        <v>115</v>
      </c>
      <c r="AB838" s="8" t="s">
        <v>280</v>
      </c>
      <c r="AE838" s="24"/>
      <c r="AM838" s="24"/>
    </row>
    <row r="839" ht="15.75" customHeight="1">
      <c r="A839" s="8">
        <v>92.0</v>
      </c>
      <c r="B839" s="146" t="s">
        <v>2713</v>
      </c>
      <c r="C839" s="128" t="s">
        <v>50</v>
      </c>
      <c r="D839" s="128" t="s">
        <v>753</v>
      </c>
      <c r="E839" s="128" t="s">
        <v>1005</v>
      </c>
      <c r="F839" s="146" t="s">
        <v>112</v>
      </c>
      <c r="G839" s="146" t="s">
        <v>112</v>
      </c>
      <c r="H839" s="28" t="s">
        <v>112</v>
      </c>
      <c r="I839" s="8" t="s">
        <v>1000</v>
      </c>
      <c r="J839" s="128" t="s">
        <v>230</v>
      </c>
      <c r="K839" s="141" t="s">
        <v>164</v>
      </c>
      <c r="L839" s="146" t="s">
        <v>100</v>
      </c>
      <c r="M839" s="128" t="s">
        <v>150</v>
      </c>
      <c r="N839" s="128" t="s">
        <v>2714</v>
      </c>
      <c r="O839" s="8" t="s">
        <v>2715</v>
      </c>
      <c r="P839" s="128" t="s">
        <v>106</v>
      </c>
      <c r="Q839" s="128" t="s">
        <v>112</v>
      </c>
      <c r="R839" s="128" t="s">
        <v>112</v>
      </c>
      <c r="S839" s="128" t="s">
        <v>112</v>
      </c>
      <c r="T839" s="128" t="s">
        <v>112</v>
      </c>
      <c r="U839" s="128" t="s">
        <v>112</v>
      </c>
      <c r="V839" s="128" t="s">
        <v>1009</v>
      </c>
      <c r="W839" s="128" t="s">
        <v>112</v>
      </c>
      <c r="X839" s="128" t="s">
        <v>112</v>
      </c>
      <c r="Y839" s="128" t="s">
        <v>112</v>
      </c>
      <c r="Z839" s="23" t="s">
        <v>42</v>
      </c>
      <c r="AA839" s="23" t="s">
        <v>115</v>
      </c>
      <c r="AB839" s="8" t="s">
        <v>270</v>
      </c>
      <c r="AE839" s="24"/>
      <c r="AM839" s="24"/>
    </row>
    <row r="840" ht="15.75" customHeight="1">
      <c r="A840" s="8">
        <v>757.0</v>
      </c>
      <c r="B840" s="163" t="s">
        <v>2716</v>
      </c>
      <c r="C840" s="163" t="s">
        <v>57</v>
      </c>
      <c r="D840" s="181" t="s">
        <v>112</v>
      </c>
      <c r="E840" s="163" t="s">
        <v>112</v>
      </c>
      <c r="F840" s="189" t="s">
        <v>2717</v>
      </c>
      <c r="G840" s="178">
        <v>42675.0</v>
      </c>
      <c r="H840" s="42" t="str">
        <f t="shared" ref="H840:H877" si="37">TEXT(G840, "yyyy")</f>
        <v>2016</v>
      </c>
      <c r="I840" s="8" t="s">
        <v>176</v>
      </c>
      <c r="J840" s="163" t="s">
        <v>112</v>
      </c>
      <c r="K840" s="163" t="s">
        <v>112</v>
      </c>
      <c r="L840" s="163" t="s">
        <v>100</v>
      </c>
      <c r="M840" s="168" t="s">
        <v>513</v>
      </c>
      <c r="N840" s="163" t="s">
        <v>2718</v>
      </c>
      <c r="O840" s="280" t="s">
        <v>2719</v>
      </c>
      <c r="P840" s="163" t="s">
        <v>106</v>
      </c>
      <c r="Q840" s="181" t="s">
        <v>112</v>
      </c>
      <c r="R840" s="163" t="s">
        <v>112</v>
      </c>
      <c r="S840" s="163" t="s">
        <v>112</v>
      </c>
      <c r="T840" s="163" t="s">
        <v>112</v>
      </c>
      <c r="U840" s="163" t="s">
        <v>112</v>
      </c>
      <c r="V840" s="163" t="s">
        <v>1226</v>
      </c>
      <c r="W840" s="163" t="s">
        <v>112</v>
      </c>
      <c r="X840" s="163" t="s">
        <v>112</v>
      </c>
      <c r="Y840" s="163" t="s">
        <v>112</v>
      </c>
      <c r="Z840" s="8" t="s">
        <v>69</v>
      </c>
      <c r="AA840" s="23" t="s">
        <v>115</v>
      </c>
      <c r="AB840" s="8" t="s">
        <v>256</v>
      </c>
      <c r="AE840" s="24"/>
      <c r="AM840" s="24"/>
    </row>
    <row r="841" ht="15.75" customHeight="1">
      <c r="A841" s="8">
        <v>694.0</v>
      </c>
      <c r="B841" s="163" t="s">
        <v>2720</v>
      </c>
      <c r="C841" s="167" t="s">
        <v>51</v>
      </c>
      <c r="D841" s="163" t="s">
        <v>213</v>
      </c>
      <c r="E841" s="163" t="s">
        <v>112</v>
      </c>
      <c r="F841" s="189" t="s">
        <v>2721</v>
      </c>
      <c r="G841" s="169">
        <v>42430.0</v>
      </c>
      <c r="H841" s="42" t="str">
        <f t="shared" si="37"/>
        <v>2016</v>
      </c>
      <c r="I841" s="8" t="s">
        <v>63</v>
      </c>
      <c r="J841" s="163" t="s">
        <v>112</v>
      </c>
      <c r="K841" s="163" t="s">
        <v>112</v>
      </c>
      <c r="L841" s="163" t="s">
        <v>100</v>
      </c>
      <c r="M841" s="173" t="s">
        <v>112</v>
      </c>
      <c r="N841" s="163" t="s">
        <v>2722</v>
      </c>
      <c r="O841" s="29" t="s">
        <v>2723</v>
      </c>
      <c r="P841" s="163" t="s">
        <v>106</v>
      </c>
      <c r="Q841" s="163" t="s">
        <v>112</v>
      </c>
      <c r="R841" s="163" t="s">
        <v>112</v>
      </c>
      <c r="S841" s="163" t="s">
        <v>112</v>
      </c>
      <c r="T841" s="163">
        <v>-76.1282261</v>
      </c>
      <c r="U841" s="163">
        <v>-2.53163264</v>
      </c>
      <c r="V841" s="167" t="s">
        <v>221</v>
      </c>
      <c r="W841" s="163" t="s">
        <v>112</v>
      </c>
      <c r="X841" s="163" t="s">
        <v>112</v>
      </c>
      <c r="Y841" s="163" t="s">
        <v>112</v>
      </c>
      <c r="Z841" s="8" t="s">
        <v>69</v>
      </c>
      <c r="AA841" s="23" t="s">
        <v>115</v>
      </c>
      <c r="AB841" s="8" t="s">
        <v>222</v>
      </c>
      <c r="AE841" s="24"/>
      <c r="AM841" s="24"/>
    </row>
    <row r="842" ht="15.75" customHeight="1">
      <c r="A842" s="8">
        <v>717.0</v>
      </c>
      <c r="B842" s="163" t="s">
        <v>2724</v>
      </c>
      <c r="C842" s="167" t="s">
        <v>51</v>
      </c>
      <c r="D842" s="163" t="s">
        <v>112</v>
      </c>
      <c r="E842" s="163" t="s">
        <v>112</v>
      </c>
      <c r="F842" s="189" t="s">
        <v>502</v>
      </c>
      <c r="G842" s="178">
        <v>42461.0</v>
      </c>
      <c r="H842" s="42" t="str">
        <f t="shared" si="37"/>
        <v>2016</v>
      </c>
      <c r="I842" s="8" t="s">
        <v>63</v>
      </c>
      <c r="J842" s="163" t="s">
        <v>112</v>
      </c>
      <c r="K842" s="163" t="s">
        <v>112</v>
      </c>
      <c r="L842" s="163" t="s">
        <v>100</v>
      </c>
      <c r="M842" s="173" t="s">
        <v>112</v>
      </c>
      <c r="N842" s="176" t="s">
        <v>2725</v>
      </c>
      <c r="O842" s="8" t="s">
        <v>2726</v>
      </c>
      <c r="P842" s="163" t="s">
        <v>106</v>
      </c>
      <c r="Q842" s="163" t="s">
        <v>112</v>
      </c>
      <c r="R842" s="163" t="s">
        <v>112</v>
      </c>
      <c r="S842" s="163" t="s">
        <v>112</v>
      </c>
      <c r="T842" s="181">
        <v>-76.44846829</v>
      </c>
      <c r="U842" s="181">
        <v>-2.77601632</v>
      </c>
      <c r="V842" s="163" t="s">
        <v>446</v>
      </c>
      <c r="W842" s="163" t="s">
        <v>112</v>
      </c>
      <c r="X842" s="163" t="s">
        <v>112</v>
      </c>
      <c r="Y842" s="163" t="s">
        <v>112</v>
      </c>
      <c r="Z842" s="8" t="s">
        <v>69</v>
      </c>
      <c r="AA842" s="23" t="s">
        <v>115</v>
      </c>
      <c r="AB842" s="8" t="s">
        <v>251</v>
      </c>
      <c r="AE842" s="24"/>
      <c r="AM842" s="24"/>
    </row>
    <row r="843" ht="15.75" customHeight="1">
      <c r="A843" s="8">
        <v>700.0</v>
      </c>
      <c r="B843" s="163" t="s">
        <v>2727</v>
      </c>
      <c r="C843" s="167" t="s">
        <v>51</v>
      </c>
      <c r="D843" s="163" t="s">
        <v>112</v>
      </c>
      <c r="E843" s="163" t="s">
        <v>112</v>
      </c>
      <c r="F843" s="189" t="s">
        <v>2728</v>
      </c>
      <c r="G843" s="178">
        <v>42461.0</v>
      </c>
      <c r="H843" s="42" t="str">
        <f t="shared" si="37"/>
        <v>2016</v>
      </c>
      <c r="I843" s="8" t="s">
        <v>176</v>
      </c>
      <c r="J843" s="163" t="s">
        <v>112</v>
      </c>
      <c r="K843" s="163" t="s">
        <v>112</v>
      </c>
      <c r="L843" s="163" t="s">
        <v>100</v>
      </c>
      <c r="M843" s="168" t="s">
        <v>513</v>
      </c>
      <c r="N843" s="163" t="s">
        <v>2729</v>
      </c>
      <c r="O843" s="8" t="s">
        <v>2730</v>
      </c>
      <c r="P843" s="163" t="s">
        <v>106</v>
      </c>
      <c r="Q843" s="163" t="s">
        <v>112</v>
      </c>
      <c r="R843" s="163" t="s">
        <v>112</v>
      </c>
      <c r="S843" s="163" t="s">
        <v>112</v>
      </c>
      <c r="T843" s="163" t="s">
        <v>112</v>
      </c>
      <c r="U843" s="163" t="s">
        <v>112</v>
      </c>
      <c r="V843" s="167" t="s">
        <v>446</v>
      </c>
      <c r="W843" s="163" t="s">
        <v>112</v>
      </c>
      <c r="X843" s="163" t="s">
        <v>112</v>
      </c>
      <c r="Y843" s="163" t="s">
        <v>112</v>
      </c>
      <c r="Z843" s="8" t="s">
        <v>69</v>
      </c>
      <c r="AA843" s="23" t="s">
        <v>115</v>
      </c>
      <c r="AB843" s="8" t="s">
        <v>249</v>
      </c>
      <c r="AE843" s="24"/>
      <c r="AM843" s="24"/>
    </row>
    <row r="844" ht="15.75" customHeight="1">
      <c r="A844" s="8">
        <v>684.0</v>
      </c>
      <c r="B844" s="163" t="s">
        <v>2731</v>
      </c>
      <c r="C844" s="167" t="s">
        <v>48</v>
      </c>
      <c r="D844" s="163" t="s">
        <v>112</v>
      </c>
      <c r="E844" s="163" t="s">
        <v>112</v>
      </c>
      <c r="F844" s="180">
        <v>42452.0</v>
      </c>
      <c r="G844" s="169">
        <v>42430.0</v>
      </c>
      <c r="H844" s="281" t="str">
        <f t="shared" si="37"/>
        <v>2016</v>
      </c>
      <c r="I844" s="8" t="s">
        <v>176</v>
      </c>
      <c r="J844" s="163" t="s">
        <v>112</v>
      </c>
      <c r="K844" s="163" t="s">
        <v>112</v>
      </c>
      <c r="L844" s="167" t="s">
        <v>100</v>
      </c>
      <c r="M844" s="168" t="s">
        <v>513</v>
      </c>
      <c r="N844" s="163" t="s">
        <v>112</v>
      </c>
      <c r="O844" s="8"/>
      <c r="P844" s="163" t="s">
        <v>106</v>
      </c>
      <c r="Q844" s="163" t="s">
        <v>112</v>
      </c>
      <c r="R844" s="167" t="s">
        <v>112</v>
      </c>
      <c r="S844" s="167" t="s">
        <v>112</v>
      </c>
      <c r="T844" s="167" t="s">
        <v>112</v>
      </c>
      <c r="U844" s="167" t="s">
        <v>112</v>
      </c>
      <c r="V844" s="167" t="s">
        <v>844</v>
      </c>
      <c r="W844" s="163" t="s">
        <v>112</v>
      </c>
      <c r="X844" s="163" t="s">
        <v>112</v>
      </c>
      <c r="Y844" s="163" t="s">
        <v>112</v>
      </c>
      <c r="Z844" s="8" t="s">
        <v>69</v>
      </c>
      <c r="AA844" s="23" t="s">
        <v>115</v>
      </c>
      <c r="AB844" s="8" t="s">
        <v>242</v>
      </c>
      <c r="AE844" s="24"/>
      <c r="AM844" s="24"/>
    </row>
    <row r="845" ht="15.75" customHeight="1">
      <c r="A845" s="8">
        <v>685.0</v>
      </c>
      <c r="B845" s="163" t="s">
        <v>2732</v>
      </c>
      <c r="C845" s="167" t="s">
        <v>51</v>
      </c>
      <c r="D845" s="163" t="s">
        <v>112</v>
      </c>
      <c r="E845" s="163" t="s">
        <v>112</v>
      </c>
      <c r="F845" s="189" t="s">
        <v>532</v>
      </c>
      <c r="G845" s="169">
        <v>42430.0</v>
      </c>
      <c r="H845" s="281" t="str">
        <f t="shared" si="37"/>
        <v>2016</v>
      </c>
      <c r="I845" s="8" t="s">
        <v>63</v>
      </c>
      <c r="J845" s="163" t="s">
        <v>112</v>
      </c>
      <c r="K845" s="163" t="s">
        <v>112</v>
      </c>
      <c r="L845" s="163" t="s">
        <v>100</v>
      </c>
      <c r="M845" s="178" t="s">
        <v>112</v>
      </c>
      <c r="N845" s="163" t="s">
        <v>112</v>
      </c>
      <c r="O845" s="8"/>
      <c r="P845" s="163" t="s">
        <v>106</v>
      </c>
      <c r="Q845" s="163" t="s">
        <v>112</v>
      </c>
      <c r="R845" s="163" t="s">
        <v>112</v>
      </c>
      <c r="S845" s="163" t="s">
        <v>112</v>
      </c>
      <c r="T845" s="163" t="s">
        <v>112</v>
      </c>
      <c r="U845" s="163" t="s">
        <v>112</v>
      </c>
      <c r="V845" s="167" t="s">
        <v>2733</v>
      </c>
      <c r="W845" s="163" t="s">
        <v>112</v>
      </c>
      <c r="X845" s="163" t="s">
        <v>112</v>
      </c>
      <c r="Y845" s="163" t="s">
        <v>112</v>
      </c>
      <c r="Z845" s="8" t="s">
        <v>69</v>
      </c>
      <c r="AA845" s="23" t="s">
        <v>115</v>
      </c>
      <c r="AB845" s="8" t="s">
        <v>242</v>
      </c>
      <c r="AE845" s="24"/>
      <c r="AM845" s="24"/>
    </row>
    <row r="846" ht="15.75" customHeight="1">
      <c r="A846" s="8">
        <v>689.0</v>
      </c>
      <c r="B846" s="163" t="s">
        <v>2734</v>
      </c>
      <c r="C846" s="167" t="s">
        <v>48</v>
      </c>
      <c r="D846" s="163" t="s">
        <v>112</v>
      </c>
      <c r="E846" s="163" t="s">
        <v>112</v>
      </c>
      <c r="F846" s="180">
        <v>42456.0</v>
      </c>
      <c r="G846" s="169">
        <v>42430.0</v>
      </c>
      <c r="H846" s="281" t="str">
        <f t="shared" si="37"/>
        <v>2016</v>
      </c>
      <c r="I846" s="8" t="s">
        <v>63</v>
      </c>
      <c r="J846" s="163" t="s">
        <v>112</v>
      </c>
      <c r="K846" s="163" t="s">
        <v>112</v>
      </c>
      <c r="L846" s="167" t="s">
        <v>100</v>
      </c>
      <c r="M846" s="168" t="s">
        <v>112</v>
      </c>
      <c r="N846" s="163" t="s">
        <v>112</v>
      </c>
      <c r="O846" s="8"/>
      <c r="P846" s="163" t="s">
        <v>106</v>
      </c>
      <c r="Q846" s="163" t="s">
        <v>112</v>
      </c>
      <c r="R846" s="167" t="s">
        <v>112</v>
      </c>
      <c r="S846" s="167" t="s">
        <v>112</v>
      </c>
      <c r="T846" s="167" t="s">
        <v>112</v>
      </c>
      <c r="U846" s="167" t="s">
        <v>112</v>
      </c>
      <c r="V846" s="167" t="s">
        <v>844</v>
      </c>
      <c r="W846" s="163" t="s">
        <v>112</v>
      </c>
      <c r="X846" s="163" t="s">
        <v>112</v>
      </c>
      <c r="Y846" s="163" t="s">
        <v>112</v>
      </c>
      <c r="Z846" s="8" t="s">
        <v>69</v>
      </c>
      <c r="AA846" s="23" t="s">
        <v>115</v>
      </c>
      <c r="AB846" s="8" t="s">
        <v>242</v>
      </c>
      <c r="AE846" s="24"/>
      <c r="AM846" s="24"/>
    </row>
    <row r="847" ht="15.75" customHeight="1">
      <c r="A847" s="8">
        <v>688.0</v>
      </c>
      <c r="B847" s="163" t="s">
        <v>2735</v>
      </c>
      <c r="C847" s="167" t="s">
        <v>51</v>
      </c>
      <c r="D847" s="163" t="s">
        <v>112</v>
      </c>
      <c r="E847" s="163" t="s">
        <v>112</v>
      </c>
      <c r="F847" s="189" t="s">
        <v>532</v>
      </c>
      <c r="G847" s="169">
        <v>42430.0</v>
      </c>
      <c r="H847" s="281" t="str">
        <f t="shared" si="37"/>
        <v>2016</v>
      </c>
      <c r="I847" s="8" t="s">
        <v>63</v>
      </c>
      <c r="J847" s="163" t="s">
        <v>112</v>
      </c>
      <c r="K847" s="163" t="s">
        <v>112</v>
      </c>
      <c r="L847" s="163" t="s">
        <v>100</v>
      </c>
      <c r="M847" s="173" t="s">
        <v>112</v>
      </c>
      <c r="N847" s="167" t="s">
        <v>2736</v>
      </c>
      <c r="O847" s="8"/>
      <c r="P847" s="163" t="s">
        <v>106</v>
      </c>
      <c r="Q847" s="163" t="s">
        <v>112</v>
      </c>
      <c r="R847" s="163" t="s">
        <v>112</v>
      </c>
      <c r="S847" s="163" t="s">
        <v>112</v>
      </c>
      <c r="T847" s="163" t="s">
        <v>112</v>
      </c>
      <c r="U847" s="163" t="s">
        <v>112</v>
      </c>
      <c r="V847" s="167" t="s">
        <v>190</v>
      </c>
      <c r="W847" s="163" t="s">
        <v>112</v>
      </c>
      <c r="X847" s="163" t="s">
        <v>112</v>
      </c>
      <c r="Y847" s="163" t="s">
        <v>112</v>
      </c>
      <c r="Z847" s="8" t="s">
        <v>69</v>
      </c>
      <c r="AA847" s="23" t="s">
        <v>115</v>
      </c>
      <c r="AB847" s="8" t="s">
        <v>240</v>
      </c>
      <c r="AE847" s="24"/>
      <c r="AM847" s="24"/>
    </row>
    <row r="848" ht="15.75" customHeight="1">
      <c r="A848" s="8">
        <v>693.0</v>
      </c>
      <c r="B848" s="163" t="s">
        <v>2737</v>
      </c>
      <c r="C848" s="167" t="s">
        <v>51</v>
      </c>
      <c r="D848" s="163" t="s">
        <v>112</v>
      </c>
      <c r="E848" s="163" t="s">
        <v>112</v>
      </c>
      <c r="F848" s="189" t="s">
        <v>2721</v>
      </c>
      <c r="G848" s="169">
        <v>42430.0</v>
      </c>
      <c r="H848" s="281" t="str">
        <f t="shared" si="37"/>
        <v>2016</v>
      </c>
      <c r="I848" s="8" t="s">
        <v>63</v>
      </c>
      <c r="J848" s="163" t="s">
        <v>112</v>
      </c>
      <c r="K848" s="163" t="s">
        <v>112</v>
      </c>
      <c r="L848" s="163" t="s">
        <v>100</v>
      </c>
      <c r="M848" s="173" t="s">
        <v>112</v>
      </c>
      <c r="N848" s="163" t="s">
        <v>2738</v>
      </c>
      <c r="O848" s="8"/>
      <c r="P848" s="163" t="s">
        <v>106</v>
      </c>
      <c r="Q848" s="163" t="s">
        <v>112</v>
      </c>
      <c r="R848" s="163" t="s">
        <v>112</v>
      </c>
      <c r="S848" s="163" t="s">
        <v>112</v>
      </c>
      <c r="T848" s="163" t="s">
        <v>112</v>
      </c>
      <c r="U848" s="163" t="s">
        <v>112</v>
      </c>
      <c r="V848" s="167" t="s">
        <v>190</v>
      </c>
      <c r="W848" s="163" t="s">
        <v>112</v>
      </c>
      <c r="X848" s="163" t="s">
        <v>112</v>
      </c>
      <c r="Y848" s="163" t="s">
        <v>112</v>
      </c>
      <c r="Z848" s="8" t="s">
        <v>69</v>
      </c>
      <c r="AA848" s="23" t="s">
        <v>115</v>
      </c>
      <c r="AB848" s="8" t="s">
        <v>240</v>
      </c>
      <c r="AE848" s="24"/>
      <c r="AM848" s="24"/>
    </row>
    <row r="849" ht="15.75" customHeight="1">
      <c r="A849" s="8">
        <v>695.0</v>
      </c>
      <c r="B849" s="163" t="s">
        <v>2739</v>
      </c>
      <c r="C849" s="167" t="s">
        <v>51</v>
      </c>
      <c r="D849" s="163" t="s">
        <v>112</v>
      </c>
      <c r="E849" s="163" t="s">
        <v>112</v>
      </c>
      <c r="F849" s="189" t="s">
        <v>2740</v>
      </c>
      <c r="G849" s="169">
        <v>42430.0</v>
      </c>
      <c r="H849" s="281" t="str">
        <f t="shared" si="37"/>
        <v>2016</v>
      </c>
      <c r="I849" s="8" t="s">
        <v>63</v>
      </c>
      <c r="J849" s="163" t="s">
        <v>112</v>
      </c>
      <c r="K849" s="163" t="s">
        <v>112</v>
      </c>
      <c r="L849" s="163" t="s">
        <v>100</v>
      </c>
      <c r="M849" s="178" t="s">
        <v>112</v>
      </c>
      <c r="N849" s="163" t="s">
        <v>112</v>
      </c>
      <c r="O849" s="8"/>
      <c r="P849" s="163" t="s">
        <v>106</v>
      </c>
      <c r="Q849" s="163" t="s">
        <v>112</v>
      </c>
      <c r="R849" s="163" t="s">
        <v>112</v>
      </c>
      <c r="S849" s="163" t="s">
        <v>112</v>
      </c>
      <c r="T849" s="163" t="s">
        <v>112</v>
      </c>
      <c r="U849" s="163" t="s">
        <v>112</v>
      </c>
      <c r="V849" s="167" t="s">
        <v>2733</v>
      </c>
      <c r="W849" s="163" t="s">
        <v>112</v>
      </c>
      <c r="X849" s="163" t="s">
        <v>112</v>
      </c>
      <c r="Y849" s="163" t="s">
        <v>112</v>
      </c>
      <c r="Z849" s="8" t="s">
        <v>69</v>
      </c>
      <c r="AA849" s="23" t="s">
        <v>115</v>
      </c>
      <c r="AB849" s="8" t="s">
        <v>240</v>
      </c>
      <c r="AE849" s="24"/>
      <c r="AM849" s="24"/>
    </row>
    <row r="850" ht="15.75" customHeight="1">
      <c r="A850" s="8">
        <v>696.0</v>
      </c>
      <c r="B850" s="163" t="s">
        <v>2741</v>
      </c>
      <c r="C850" s="167" t="s">
        <v>48</v>
      </c>
      <c r="D850" s="163" t="s">
        <v>112</v>
      </c>
      <c r="E850" s="163" t="s">
        <v>112</v>
      </c>
      <c r="F850" s="180">
        <v>42403.0</v>
      </c>
      <c r="G850" s="169">
        <v>42461.0</v>
      </c>
      <c r="H850" s="281" t="str">
        <f t="shared" si="37"/>
        <v>2016</v>
      </c>
      <c r="I850" s="8" t="s">
        <v>172</v>
      </c>
      <c r="J850" s="163" t="s">
        <v>112</v>
      </c>
      <c r="K850" s="163" t="s">
        <v>112</v>
      </c>
      <c r="L850" s="167" t="s">
        <v>100</v>
      </c>
      <c r="M850" s="168" t="s">
        <v>112</v>
      </c>
      <c r="N850" s="167"/>
      <c r="O850" s="8"/>
      <c r="P850" s="163" t="s">
        <v>106</v>
      </c>
      <c r="Q850" s="163" t="s">
        <v>112</v>
      </c>
      <c r="R850" s="167" t="s">
        <v>112</v>
      </c>
      <c r="S850" s="167" t="s">
        <v>112</v>
      </c>
      <c r="T850" s="167" t="s">
        <v>112</v>
      </c>
      <c r="U850" s="167" t="s">
        <v>112</v>
      </c>
      <c r="V850" s="167" t="s">
        <v>844</v>
      </c>
      <c r="W850" s="163" t="s">
        <v>112</v>
      </c>
      <c r="X850" s="163" t="s">
        <v>112</v>
      </c>
      <c r="Y850" s="163" t="s">
        <v>112</v>
      </c>
      <c r="Z850" s="8" t="s">
        <v>69</v>
      </c>
      <c r="AA850" s="23" t="s">
        <v>115</v>
      </c>
      <c r="AB850" s="8" t="s">
        <v>240</v>
      </c>
      <c r="AE850" s="24"/>
      <c r="AM850" s="24"/>
    </row>
    <row r="851" ht="15.75" customHeight="1">
      <c r="A851" s="8">
        <v>701.0</v>
      </c>
      <c r="B851" s="163" t="s">
        <v>2742</v>
      </c>
      <c r="C851" s="167" t="s">
        <v>51</v>
      </c>
      <c r="D851" s="163" t="s">
        <v>112</v>
      </c>
      <c r="E851" s="163" t="s">
        <v>112</v>
      </c>
      <c r="F851" s="189" t="s">
        <v>2728</v>
      </c>
      <c r="G851" s="178">
        <v>42461.0</v>
      </c>
      <c r="H851" s="281" t="str">
        <f t="shared" si="37"/>
        <v>2016</v>
      </c>
      <c r="I851" s="8" t="s">
        <v>186</v>
      </c>
      <c r="J851" s="163" t="s">
        <v>112</v>
      </c>
      <c r="K851" s="163" t="s">
        <v>112</v>
      </c>
      <c r="L851" s="163" t="s">
        <v>100</v>
      </c>
      <c r="M851" s="173" t="s">
        <v>112</v>
      </c>
      <c r="N851" s="167" t="s">
        <v>2743</v>
      </c>
      <c r="O851" s="8"/>
      <c r="P851" s="163" t="s">
        <v>106</v>
      </c>
      <c r="Q851" s="163" t="s">
        <v>112</v>
      </c>
      <c r="R851" s="163" t="s">
        <v>112</v>
      </c>
      <c r="S851" s="163" t="s">
        <v>112</v>
      </c>
      <c r="T851" s="163" t="s">
        <v>112</v>
      </c>
      <c r="U851" s="163" t="s">
        <v>112</v>
      </c>
      <c r="V851" s="167" t="s">
        <v>446</v>
      </c>
      <c r="W851" s="163" t="s">
        <v>112</v>
      </c>
      <c r="X851" s="163" t="s">
        <v>112</v>
      </c>
      <c r="Y851" s="163" t="s">
        <v>112</v>
      </c>
      <c r="Z851" s="8" t="s">
        <v>69</v>
      </c>
      <c r="AA851" s="23" t="s">
        <v>115</v>
      </c>
      <c r="AB851" s="8" t="s">
        <v>240</v>
      </c>
      <c r="AE851" s="24"/>
      <c r="AM851" s="24"/>
    </row>
    <row r="852" ht="15.75" customHeight="1">
      <c r="A852" s="8">
        <v>703.0</v>
      </c>
      <c r="B852" s="163" t="s">
        <v>2744</v>
      </c>
      <c r="C852" s="167" t="s">
        <v>51</v>
      </c>
      <c r="D852" s="163" t="s">
        <v>112</v>
      </c>
      <c r="E852" s="163" t="s">
        <v>112</v>
      </c>
      <c r="F852" s="189" t="s">
        <v>475</v>
      </c>
      <c r="G852" s="178">
        <v>42461.0</v>
      </c>
      <c r="H852" s="281" t="str">
        <f t="shared" si="37"/>
        <v>2016</v>
      </c>
      <c r="I852" s="8" t="s">
        <v>186</v>
      </c>
      <c r="J852" s="163" t="s">
        <v>112</v>
      </c>
      <c r="K852" s="163" t="s">
        <v>112</v>
      </c>
      <c r="L852" s="163" t="s">
        <v>100</v>
      </c>
      <c r="M852" s="173" t="s">
        <v>112</v>
      </c>
      <c r="N852" s="167" t="s">
        <v>2743</v>
      </c>
      <c r="O852" s="8"/>
      <c r="P852" s="163" t="s">
        <v>106</v>
      </c>
      <c r="Q852" s="163" t="s">
        <v>112</v>
      </c>
      <c r="R852" s="89" t="s">
        <v>112</v>
      </c>
      <c r="S852" s="89" t="s">
        <v>112</v>
      </c>
      <c r="T852" s="163" t="s">
        <v>112</v>
      </c>
      <c r="U852" s="163" t="s">
        <v>112</v>
      </c>
      <c r="V852" s="167" t="s">
        <v>446</v>
      </c>
      <c r="W852" s="163" t="s">
        <v>112</v>
      </c>
      <c r="X852" s="163" t="s">
        <v>112</v>
      </c>
      <c r="Y852" s="163" t="s">
        <v>112</v>
      </c>
      <c r="Z852" s="8" t="s">
        <v>69</v>
      </c>
      <c r="AA852" s="23" t="s">
        <v>115</v>
      </c>
      <c r="AB852" s="8" t="s">
        <v>240</v>
      </c>
      <c r="AE852" s="24"/>
      <c r="AM852" s="24"/>
    </row>
    <row r="853" ht="15.75" customHeight="1">
      <c r="A853" s="8">
        <v>704.0</v>
      </c>
      <c r="B853" s="163" t="s">
        <v>2745</v>
      </c>
      <c r="C853" s="167" t="s">
        <v>51</v>
      </c>
      <c r="D853" s="163" t="s">
        <v>112</v>
      </c>
      <c r="E853" s="163" t="s">
        <v>112</v>
      </c>
      <c r="F853" s="189" t="s">
        <v>475</v>
      </c>
      <c r="G853" s="178">
        <v>42461.0</v>
      </c>
      <c r="H853" s="281" t="str">
        <f t="shared" si="37"/>
        <v>2016</v>
      </c>
      <c r="I853" s="8" t="s">
        <v>186</v>
      </c>
      <c r="J853" s="163" t="s">
        <v>112</v>
      </c>
      <c r="K853" s="163" t="s">
        <v>112</v>
      </c>
      <c r="L853" s="163" t="s">
        <v>100</v>
      </c>
      <c r="M853" s="173" t="s">
        <v>112</v>
      </c>
      <c r="N853" s="167" t="s">
        <v>2743</v>
      </c>
      <c r="O853" s="8"/>
      <c r="P853" s="163" t="s">
        <v>106</v>
      </c>
      <c r="Q853" s="163" t="s">
        <v>112</v>
      </c>
      <c r="R853" s="89" t="s">
        <v>112</v>
      </c>
      <c r="S853" s="89" t="s">
        <v>112</v>
      </c>
      <c r="T853" s="163" t="s">
        <v>112</v>
      </c>
      <c r="U853" s="163" t="s">
        <v>112</v>
      </c>
      <c r="V853" s="167" t="s">
        <v>446</v>
      </c>
      <c r="W853" s="163" t="s">
        <v>112</v>
      </c>
      <c r="X853" s="163" t="s">
        <v>112</v>
      </c>
      <c r="Y853" s="163" t="s">
        <v>112</v>
      </c>
      <c r="Z853" s="8" t="s">
        <v>69</v>
      </c>
      <c r="AA853" s="23" t="s">
        <v>115</v>
      </c>
      <c r="AB853" s="8" t="s">
        <v>240</v>
      </c>
      <c r="AE853" s="24"/>
      <c r="AM853" s="24"/>
    </row>
    <row r="854" ht="15.75" customHeight="1">
      <c r="A854" s="8">
        <v>705.0</v>
      </c>
      <c r="B854" s="163" t="s">
        <v>2746</v>
      </c>
      <c r="C854" s="167" t="s">
        <v>51</v>
      </c>
      <c r="D854" s="163" t="s">
        <v>112</v>
      </c>
      <c r="E854" s="163" t="s">
        <v>112</v>
      </c>
      <c r="F854" s="189" t="s">
        <v>475</v>
      </c>
      <c r="G854" s="178">
        <v>42461.0</v>
      </c>
      <c r="H854" s="281" t="str">
        <f t="shared" si="37"/>
        <v>2016</v>
      </c>
      <c r="I854" s="8" t="s">
        <v>63</v>
      </c>
      <c r="J854" s="163" t="s">
        <v>112</v>
      </c>
      <c r="K854" s="163" t="s">
        <v>112</v>
      </c>
      <c r="L854" s="163" t="s">
        <v>100</v>
      </c>
      <c r="M854" s="173" t="s">
        <v>112</v>
      </c>
      <c r="N854" s="167" t="s">
        <v>2747</v>
      </c>
      <c r="O854" s="8"/>
      <c r="P854" s="163" t="s">
        <v>106</v>
      </c>
      <c r="Q854" s="163" t="s">
        <v>112</v>
      </c>
      <c r="R854" s="163" t="s">
        <v>112</v>
      </c>
      <c r="S854" s="163" t="s">
        <v>112</v>
      </c>
      <c r="T854" s="163" t="s">
        <v>112</v>
      </c>
      <c r="U854" s="163" t="s">
        <v>112</v>
      </c>
      <c r="V854" s="167" t="s">
        <v>446</v>
      </c>
      <c r="W854" s="163" t="s">
        <v>112</v>
      </c>
      <c r="X854" s="163" t="s">
        <v>112</v>
      </c>
      <c r="Y854" s="163" t="s">
        <v>112</v>
      </c>
      <c r="Z854" s="8" t="s">
        <v>69</v>
      </c>
      <c r="AA854" s="23" t="s">
        <v>115</v>
      </c>
      <c r="AB854" s="8" t="s">
        <v>240</v>
      </c>
      <c r="AE854" s="24"/>
      <c r="AM854" s="24"/>
    </row>
    <row r="855" ht="15.75" customHeight="1">
      <c r="A855" s="8">
        <v>711.0</v>
      </c>
      <c r="B855" s="163" t="s">
        <v>2748</v>
      </c>
      <c r="C855" s="167" t="s">
        <v>51</v>
      </c>
      <c r="D855" s="163" t="s">
        <v>112</v>
      </c>
      <c r="E855" s="163" t="s">
        <v>112</v>
      </c>
      <c r="F855" s="189" t="s">
        <v>640</v>
      </c>
      <c r="G855" s="178">
        <v>42461.0</v>
      </c>
      <c r="H855" s="281" t="str">
        <f t="shared" si="37"/>
        <v>2016</v>
      </c>
      <c r="I855" s="8" t="s">
        <v>172</v>
      </c>
      <c r="J855" s="163" t="s">
        <v>112</v>
      </c>
      <c r="K855" s="163" t="s">
        <v>112</v>
      </c>
      <c r="L855" s="163" t="s">
        <v>100</v>
      </c>
      <c r="M855" s="173" t="s">
        <v>112</v>
      </c>
      <c r="N855" s="163" t="s">
        <v>2749</v>
      </c>
      <c r="O855" s="8"/>
      <c r="P855" s="163" t="s">
        <v>106</v>
      </c>
      <c r="Q855" s="163" t="s">
        <v>112</v>
      </c>
      <c r="R855" s="163" t="s">
        <v>112</v>
      </c>
      <c r="S855" s="163" t="s">
        <v>112</v>
      </c>
      <c r="T855" s="163" t="s">
        <v>112</v>
      </c>
      <c r="U855" s="163" t="s">
        <v>112</v>
      </c>
      <c r="V855" s="163" t="s">
        <v>446</v>
      </c>
      <c r="W855" s="163" t="s">
        <v>112</v>
      </c>
      <c r="X855" s="163" t="s">
        <v>112</v>
      </c>
      <c r="Y855" s="163" t="s">
        <v>112</v>
      </c>
      <c r="Z855" s="8" t="s">
        <v>69</v>
      </c>
      <c r="AA855" s="23" t="s">
        <v>115</v>
      </c>
      <c r="AB855" s="8" t="s">
        <v>240</v>
      </c>
      <c r="AE855" s="24"/>
      <c r="AM855" s="24"/>
    </row>
    <row r="856" ht="15.75" customHeight="1">
      <c r="A856" s="8">
        <v>713.0</v>
      </c>
      <c r="B856" s="163" t="s">
        <v>2750</v>
      </c>
      <c r="C856" s="167" t="s">
        <v>51</v>
      </c>
      <c r="D856" s="163" t="s">
        <v>112</v>
      </c>
      <c r="E856" s="163" t="s">
        <v>112</v>
      </c>
      <c r="F856" s="189" t="s">
        <v>640</v>
      </c>
      <c r="G856" s="178">
        <v>42461.0</v>
      </c>
      <c r="H856" s="281" t="str">
        <f t="shared" si="37"/>
        <v>2016</v>
      </c>
      <c r="I856" s="8" t="s">
        <v>186</v>
      </c>
      <c r="J856" s="163" t="s">
        <v>112</v>
      </c>
      <c r="K856" s="163" t="s">
        <v>112</v>
      </c>
      <c r="L856" s="163" t="s">
        <v>100</v>
      </c>
      <c r="M856" s="173" t="s">
        <v>112</v>
      </c>
      <c r="N856" s="163" t="s">
        <v>2751</v>
      </c>
      <c r="O856" s="8"/>
      <c r="P856" s="163" t="s">
        <v>106</v>
      </c>
      <c r="Q856" s="163" t="s">
        <v>112</v>
      </c>
      <c r="R856" s="163" t="s">
        <v>112</v>
      </c>
      <c r="S856" s="163" t="s">
        <v>112</v>
      </c>
      <c r="T856" s="163" t="s">
        <v>112</v>
      </c>
      <c r="U856" s="163" t="s">
        <v>112</v>
      </c>
      <c r="V856" s="163" t="s">
        <v>446</v>
      </c>
      <c r="W856" s="163" t="s">
        <v>112</v>
      </c>
      <c r="X856" s="163" t="s">
        <v>112</v>
      </c>
      <c r="Y856" s="163" t="s">
        <v>112</v>
      </c>
      <c r="Z856" s="8" t="s">
        <v>69</v>
      </c>
      <c r="AA856" s="23" t="s">
        <v>115</v>
      </c>
      <c r="AB856" s="8" t="s">
        <v>240</v>
      </c>
      <c r="AE856" s="24"/>
      <c r="AM856" s="24"/>
    </row>
    <row r="857" ht="15.75" customHeight="1">
      <c r="A857" s="8">
        <v>714.0</v>
      </c>
      <c r="B857" s="163" t="s">
        <v>2752</v>
      </c>
      <c r="C857" s="167" t="s">
        <v>51</v>
      </c>
      <c r="D857" s="163" t="s">
        <v>112</v>
      </c>
      <c r="E857" s="163" t="s">
        <v>112</v>
      </c>
      <c r="F857" s="189" t="s">
        <v>640</v>
      </c>
      <c r="G857" s="178">
        <v>42461.0</v>
      </c>
      <c r="H857" s="281" t="str">
        <f t="shared" si="37"/>
        <v>2016</v>
      </c>
      <c r="I857" s="8" t="s">
        <v>186</v>
      </c>
      <c r="J857" s="163" t="s">
        <v>112</v>
      </c>
      <c r="K857" s="163" t="s">
        <v>112</v>
      </c>
      <c r="L857" s="163" t="s">
        <v>100</v>
      </c>
      <c r="M857" s="173" t="s">
        <v>112</v>
      </c>
      <c r="N857" s="163" t="s">
        <v>2753</v>
      </c>
      <c r="O857" s="8"/>
      <c r="P857" s="163" t="s">
        <v>106</v>
      </c>
      <c r="Q857" s="163" t="s">
        <v>112</v>
      </c>
      <c r="R857" s="163" t="s">
        <v>112</v>
      </c>
      <c r="S857" s="163" t="s">
        <v>112</v>
      </c>
      <c r="T857" s="163" t="s">
        <v>112</v>
      </c>
      <c r="U857" s="163" t="s">
        <v>112</v>
      </c>
      <c r="V857" s="163" t="s">
        <v>446</v>
      </c>
      <c r="W857" s="163" t="s">
        <v>112</v>
      </c>
      <c r="X857" s="163" t="s">
        <v>112</v>
      </c>
      <c r="Y857" s="163" t="s">
        <v>112</v>
      </c>
      <c r="Z857" s="8" t="s">
        <v>69</v>
      </c>
      <c r="AA857" s="23" t="s">
        <v>115</v>
      </c>
      <c r="AB857" s="8" t="s">
        <v>240</v>
      </c>
      <c r="AE857" s="24"/>
      <c r="AM857" s="24"/>
    </row>
    <row r="858" ht="15.75" customHeight="1">
      <c r="A858" s="8">
        <v>718.0</v>
      </c>
      <c r="B858" s="163" t="s">
        <v>2754</v>
      </c>
      <c r="C858" s="167" t="s">
        <v>51</v>
      </c>
      <c r="D858" s="163" t="s">
        <v>112</v>
      </c>
      <c r="E858" s="163" t="s">
        <v>112</v>
      </c>
      <c r="F858" s="189" t="s">
        <v>502</v>
      </c>
      <c r="G858" s="178">
        <v>42461.0</v>
      </c>
      <c r="H858" s="281" t="str">
        <f t="shared" si="37"/>
        <v>2016</v>
      </c>
      <c r="I858" s="8" t="s">
        <v>172</v>
      </c>
      <c r="J858" s="163" t="s">
        <v>112</v>
      </c>
      <c r="K858" s="163" t="s">
        <v>112</v>
      </c>
      <c r="L858" s="163" t="s">
        <v>100</v>
      </c>
      <c r="M858" s="173" t="s">
        <v>112</v>
      </c>
      <c r="N858" s="163" t="s">
        <v>2755</v>
      </c>
      <c r="O858" s="8"/>
      <c r="P858" s="163" t="s">
        <v>106</v>
      </c>
      <c r="Q858" s="163" t="s">
        <v>112</v>
      </c>
      <c r="R858" s="163" t="s">
        <v>112</v>
      </c>
      <c r="S858" s="163" t="s">
        <v>112</v>
      </c>
      <c r="T858" s="163" t="s">
        <v>112</v>
      </c>
      <c r="U858" s="163" t="s">
        <v>112</v>
      </c>
      <c r="V858" s="163" t="s">
        <v>446</v>
      </c>
      <c r="W858" s="163" t="s">
        <v>112</v>
      </c>
      <c r="X858" s="163" t="s">
        <v>112</v>
      </c>
      <c r="Y858" s="163" t="s">
        <v>112</v>
      </c>
      <c r="Z858" s="8" t="s">
        <v>69</v>
      </c>
      <c r="AA858" s="23" t="s">
        <v>115</v>
      </c>
      <c r="AB858" s="8" t="s">
        <v>240</v>
      </c>
      <c r="AE858" s="24"/>
      <c r="AM858" s="24"/>
    </row>
    <row r="859" ht="15.75" customHeight="1">
      <c r="A859" s="8">
        <v>726.0</v>
      </c>
      <c r="B859" s="163" t="s">
        <v>2756</v>
      </c>
      <c r="C859" s="167" t="s">
        <v>51</v>
      </c>
      <c r="D859" s="163" t="s">
        <v>112</v>
      </c>
      <c r="E859" s="163" t="s">
        <v>112</v>
      </c>
      <c r="F859" s="189" t="s">
        <v>2757</v>
      </c>
      <c r="G859" s="169">
        <v>42522.0</v>
      </c>
      <c r="H859" s="281" t="str">
        <f t="shared" si="37"/>
        <v>2016</v>
      </c>
      <c r="I859" s="8" t="s">
        <v>186</v>
      </c>
      <c r="J859" s="163" t="s">
        <v>112</v>
      </c>
      <c r="K859" s="163" t="s">
        <v>112</v>
      </c>
      <c r="L859" s="163" t="s">
        <v>100</v>
      </c>
      <c r="M859" s="173" t="s">
        <v>112</v>
      </c>
      <c r="N859" s="167" t="s">
        <v>2758</v>
      </c>
      <c r="O859" s="8"/>
      <c r="P859" s="163" t="s">
        <v>106</v>
      </c>
      <c r="Q859" s="163" t="s">
        <v>112</v>
      </c>
      <c r="R859" s="163" t="s">
        <v>112</v>
      </c>
      <c r="S859" s="163" t="s">
        <v>112</v>
      </c>
      <c r="T859" s="163" t="s">
        <v>112</v>
      </c>
      <c r="U859" s="163" t="s">
        <v>112</v>
      </c>
      <c r="V859" s="167" t="s">
        <v>446</v>
      </c>
      <c r="W859" s="163" t="s">
        <v>112</v>
      </c>
      <c r="X859" s="163" t="s">
        <v>112</v>
      </c>
      <c r="Y859" s="163" t="s">
        <v>112</v>
      </c>
      <c r="Z859" s="8" t="s">
        <v>69</v>
      </c>
      <c r="AA859" s="23" t="s">
        <v>115</v>
      </c>
      <c r="AB859" s="8" t="s">
        <v>240</v>
      </c>
      <c r="AE859" s="24"/>
      <c r="AM859" s="24"/>
    </row>
    <row r="860" ht="15.75" customHeight="1">
      <c r="A860" s="8">
        <v>727.0</v>
      </c>
      <c r="B860" s="163" t="s">
        <v>2759</v>
      </c>
      <c r="C860" s="167" t="s">
        <v>51</v>
      </c>
      <c r="D860" s="163" t="s">
        <v>112</v>
      </c>
      <c r="E860" s="163" t="s">
        <v>112</v>
      </c>
      <c r="F860" s="189" t="s">
        <v>2115</v>
      </c>
      <c r="G860" s="169">
        <v>42522.0</v>
      </c>
      <c r="H860" s="281" t="str">
        <f t="shared" si="37"/>
        <v>2016</v>
      </c>
      <c r="I860" s="8" t="s">
        <v>186</v>
      </c>
      <c r="J860" s="163" t="s">
        <v>112</v>
      </c>
      <c r="K860" s="163" t="s">
        <v>112</v>
      </c>
      <c r="L860" s="163" t="s">
        <v>100</v>
      </c>
      <c r="M860" s="173" t="s">
        <v>112</v>
      </c>
      <c r="N860" s="167" t="s">
        <v>2760</v>
      </c>
      <c r="O860" s="8"/>
      <c r="P860" s="163" t="s">
        <v>106</v>
      </c>
      <c r="Q860" s="163" t="s">
        <v>112</v>
      </c>
      <c r="R860" s="39" t="s">
        <v>112</v>
      </c>
      <c r="S860" s="39" t="s">
        <v>112</v>
      </c>
      <c r="T860" s="163" t="s">
        <v>112</v>
      </c>
      <c r="U860" s="163" t="s">
        <v>112</v>
      </c>
      <c r="V860" s="167" t="s">
        <v>190</v>
      </c>
      <c r="W860" s="163" t="s">
        <v>112</v>
      </c>
      <c r="X860" s="163" t="s">
        <v>112</v>
      </c>
      <c r="Y860" s="163" t="s">
        <v>112</v>
      </c>
      <c r="Z860" s="8" t="s">
        <v>69</v>
      </c>
      <c r="AA860" s="23" t="s">
        <v>115</v>
      </c>
      <c r="AB860" s="8" t="s">
        <v>240</v>
      </c>
      <c r="AE860" s="24"/>
      <c r="AM860" s="24"/>
    </row>
    <row r="861" ht="15.75" customHeight="1">
      <c r="A861" s="8">
        <v>728.0</v>
      </c>
      <c r="B861" s="163" t="s">
        <v>2761</v>
      </c>
      <c r="C861" s="167" t="s">
        <v>51</v>
      </c>
      <c r="D861" s="163" t="s">
        <v>112</v>
      </c>
      <c r="E861" s="163" t="s">
        <v>112</v>
      </c>
      <c r="F861" s="189" t="s">
        <v>2115</v>
      </c>
      <c r="G861" s="169">
        <v>42522.0</v>
      </c>
      <c r="H861" s="281" t="str">
        <f t="shared" si="37"/>
        <v>2016</v>
      </c>
      <c r="I861" s="8" t="s">
        <v>186</v>
      </c>
      <c r="J861" s="163" t="s">
        <v>112</v>
      </c>
      <c r="K861" s="163" t="s">
        <v>112</v>
      </c>
      <c r="L861" s="163" t="s">
        <v>100</v>
      </c>
      <c r="M861" s="173" t="s">
        <v>112</v>
      </c>
      <c r="N861" s="163" t="s">
        <v>2762</v>
      </c>
      <c r="O861" s="8"/>
      <c r="P861" s="163" t="s">
        <v>106</v>
      </c>
      <c r="Q861" s="163" t="s">
        <v>112</v>
      </c>
      <c r="R861" s="127" t="s">
        <v>112</v>
      </c>
      <c r="S861" s="127" t="s">
        <v>112</v>
      </c>
      <c r="T861" s="163" t="s">
        <v>112</v>
      </c>
      <c r="U861" s="163" t="s">
        <v>112</v>
      </c>
      <c r="V861" s="167" t="s">
        <v>190</v>
      </c>
      <c r="W861" s="163" t="s">
        <v>112</v>
      </c>
      <c r="X861" s="163" t="s">
        <v>112</v>
      </c>
      <c r="Y861" s="163" t="s">
        <v>112</v>
      </c>
      <c r="Z861" s="8" t="s">
        <v>69</v>
      </c>
      <c r="AA861" s="23" t="s">
        <v>115</v>
      </c>
      <c r="AB861" s="8" t="s">
        <v>240</v>
      </c>
      <c r="AE861" s="24"/>
      <c r="AM861" s="24"/>
    </row>
    <row r="862" ht="15.75" customHeight="1">
      <c r="A862" s="8">
        <v>731.0</v>
      </c>
      <c r="B862" s="163" t="s">
        <v>2763</v>
      </c>
      <c r="C862" s="167" t="s">
        <v>51</v>
      </c>
      <c r="D862" s="163" t="s">
        <v>112</v>
      </c>
      <c r="E862" s="163" t="s">
        <v>112</v>
      </c>
      <c r="F862" s="189" t="s">
        <v>2118</v>
      </c>
      <c r="G862" s="169">
        <v>42522.0</v>
      </c>
      <c r="H862" s="281" t="str">
        <f t="shared" si="37"/>
        <v>2016</v>
      </c>
      <c r="I862" s="8" t="s">
        <v>63</v>
      </c>
      <c r="J862" s="163" t="s">
        <v>112</v>
      </c>
      <c r="K862" s="163" t="s">
        <v>112</v>
      </c>
      <c r="L862" s="163" t="s">
        <v>100</v>
      </c>
      <c r="M862" s="173" t="s">
        <v>112</v>
      </c>
      <c r="N862" s="167" t="s">
        <v>2764</v>
      </c>
      <c r="O862" s="8"/>
      <c r="P862" s="163" t="s">
        <v>106</v>
      </c>
      <c r="Q862" s="163" t="s">
        <v>112</v>
      </c>
      <c r="R862" s="127" t="s">
        <v>112</v>
      </c>
      <c r="S862" s="127" t="s">
        <v>112</v>
      </c>
      <c r="T862" s="163" t="s">
        <v>112</v>
      </c>
      <c r="U862" s="163" t="s">
        <v>112</v>
      </c>
      <c r="V862" s="167" t="s">
        <v>446</v>
      </c>
      <c r="W862" s="163" t="s">
        <v>112</v>
      </c>
      <c r="X862" s="163" t="s">
        <v>112</v>
      </c>
      <c r="Y862" s="163" t="s">
        <v>112</v>
      </c>
      <c r="Z862" s="8" t="s">
        <v>69</v>
      </c>
      <c r="AA862" s="23" t="s">
        <v>115</v>
      </c>
      <c r="AB862" s="8" t="s">
        <v>240</v>
      </c>
      <c r="AE862" s="24"/>
      <c r="AM862" s="24"/>
    </row>
    <row r="863" ht="15.75" customHeight="1">
      <c r="A863" s="8">
        <v>735.0</v>
      </c>
      <c r="B863" s="163" t="s">
        <v>2765</v>
      </c>
      <c r="C863" s="163" t="s">
        <v>51</v>
      </c>
      <c r="D863" s="163" t="s">
        <v>112</v>
      </c>
      <c r="E863" s="163" t="s">
        <v>112</v>
      </c>
      <c r="F863" s="189" t="s">
        <v>2766</v>
      </c>
      <c r="G863" s="169">
        <v>42552.0</v>
      </c>
      <c r="H863" s="281" t="str">
        <f t="shared" si="37"/>
        <v>2016</v>
      </c>
      <c r="I863" s="8" t="s">
        <v>172</v>
      </c>
      <c r="J863" s="163" t="s">
        <v>112</v>
      </c>
      <c r="K863" s="163" t="s">
        <v>112</v>
      </c>
      <c r="L863" s="163" t="s">
        <v>100</v>
      </c>
      <c r="M863" s="173" t="s">
        <v>112</v>
      </c>
      <c r="N863" s="163" t="s">
        <v>2189</v>
      </c>
      <c r="O863" s="8"/>
      <c r="P863" s="163" t="s">
        <v>106</v>
      </c>
      <c r="Q863" s="163" t="s">
        <v>112</v>
      </c>
      <c r="R863" s="127" t="s">
        <v>112</v>
      </c>
      <c r="S863" s="127" t="s">
        <v>112</v>
      </c>
      <c r="T863" s="163" t="s">
        <v>112</v>
      </c>
      <c r="U863" s="163" t="s">
        <v>112</v>
      </c>
      <c r="V863" s="176" t="s">
        <v>548</v>
      </c>
      <c r="W863" s="163" t="s">
        <v>112</v>
      </c>
      <c r="X863" s="163" t="s">
        <v>112</v>
      </c>
      <c r="Y863" s="163" t="s">
        <v>112</v>
      </c>
      <c r="Z863" s="8" t="s">
        <v>69</v>
      </c>
      <c r="AA863" s="23" t="s">
        <v>115</v>
      </c>
      <c r="AB863" s="8" t="s">
        <v>240</v>
      </c>
      <c r="AE863" s="24"/>
      <c r="AM863" s="24"/>
    </row>
    <row r="864" ht="15.75" customHeight="1">
      <c r="A864" s="8">
        <v>760.0</v>
      </c>
      <c r="B864" s="163" t="s">
        <v>2767</v>
      </c>
      <c r="C864" s="163" t="s">
        <v>57</v>
      </c>
      <c r="D864" s="181" t="s">
        <v>112</v>
      </c>
      <c r="E864" s="163" t="s">
        <v>112</v>
      </c>
      <c r="F864" s="189" t="s">
        <v>2768</v>
      </c>
      <c r="G864" s="178">
        <v>42705.0</v>
      </c>
      <c r="H864" s="281" t="str">
        <f t="shared" si="37"/>
        <v>2016</v>
      </c>
      <c r="I864" s="8" t="s">
        <v>176</v>
      </c>
      <c r="J864" s="163" t="s">
        <v>112</v>
      </c>
      <c r="K864" s="163" t="s">
        <v>112</v>
      </c>
      <c r="L864" s="163" t="s">
        <v>100</v>
      </c>
      <c r="M864" s="168" t="s">
        <v>513</v>
      </c>
      <c r="N864" s="163" t="s">
        <v>2769</v>
      </c>
      <c r="O864" s="8"/>
      <c r="P864" s="163" t="s">
        <v>106</v>
      </c>
      <c r="Q864" s="181" t="s">
        <v>112</v>
      </c>
      <c r="R864" s="127" t="s">
        <v>112</v>
      </c>
      <c r="S864" s="127" t="s">
        <v>112</v>
      </c>
      <c r="T864" s="163" t="s">
        <v>112</v>
      </c>
      <c r="U864" s="163" t="s">
        <v>112</v>
      </c>
      <c r="V864" s="163" t="s">
        <v>1226</v>
      </c>
      <c r="W864" s="163" t="s">
        <v>112</v>
      </c>
      <c r="X864" s="163" t="s">
        <v>112</v>
      </c>
      <c r="Y864" s="163" t="s">
        <v>112</v>
      </c>
      <c r="Z864" s="8" t="s">
        <v>69</v>
      </c>
      <c r="AA864" s="23" t="s">
        <v>115</v>
      </c>
      <c r="AB864" s="8" t="s">
        <v>240</v>
      </c>
      <c r="AE864" s="24"/>
      <c r="AM864" s="24"/>
    </row>
    <row r="865" ht="15.75" customHeight="1">
      <c r="A865" s="8">
        <v>712.0</v>
      </c>
      <c r="B865" s="163" t="s">
        <v>2770</v>
      </c>
      <c r="C865" s="167" t="s">
        <v>51</v>
      </c>
      <c r="D865" s="163" t="s">
        <v>112</v>
      </c>
      <c r="E865" s="163" t="s">
        <v>112</v>
      </c>
      <c r="F865" s="189" t="s">
        <v>640</v>
      </c>
      <c r="G865" s="178">
        <v>42461.0</v>
      </c>
      <c r="H865" s="281" t="str">
        <f t="shared" si="37"/>
        <v>2016</v>
      </c>
      <c r="I865" s="8" t="s">
        <v>186</v>
      </c>
      <c r="J865" s="163" t="s">
        <v>112</v>
      </c>
      <c r="K865" s="163" t="s">
        <v>112</v>
      </c>
      <c r="L865" s="163" t="s">
        <v>100</v>
      </c>
      <c r="M865" s="173" t="s">
        <v>112</v>
      </c>
      <c r="N865" s="163" t="s">
        <v>2771</v>
      </c>
      <c r="O865" s="8" t="s">
        <v>2772</v>
      </c>
      <c r="P865" s="163" t="s">
        <v>106</v>
      </c>
      <c r="Q865" s="163" t="s">
        <v>112</v>
      </c>
      <c r="R865" s="127" t="s">
        <v>112</v>
      </c>
      <c r="S865" s="127" t="s">
        <v>112</v>
      </c>
      <c r="T865" s="181" t="s">
        <v>112</v>
      </c>
      <c r="U865" s="181" t="s">
        <v>112</v>
      </c>
      <c r="V865" s="163" t="s">
        <v>446</v>
      </c>
      <c r="W865" s="163" t="s">
        <v>112</v>
      </c>
      <c r="X865" s="163" t="s">
        <v>112</v>
      </c>
      <c r="Y865" s="163" t="s">
        <v>112</v>
      </c>
      <c r="Z865" s="8" t="s">
        <v>69</v>
      </c>
      <c r="AA865" s="23" t="s">
        <v>115</v>
      </c>
      <c r="AB865" s="8" t="s">
        <v>238</v>
      </c>
      <c r="AE865" s="24"/>
      <c r="AM865" s="24"/>
    </row>
    <row r="866" ht="15.75" customHeight="1">
      <c r="A866" s="8">
        <v>746.0</v>
      </c>
      <c r="B866" s="163" t="s">
        <v>2773</v>
      </c>
      <c r="C866" s="167" t="s">
        <v>51</v>
      </c>
      <c r="D866" s="163" t="s">
        <v>213</v>
      </c>
      <c r="E866" s="163" t="s">
        <v>112</v>
      </c>
      <c r="F866" s="189" t="s">
        <v>2774</v>
      </c>
      <c r="G866" s="169">
        <v>42614.0</v>
      </c>
      <c r="H866" s="281" t="str">
        <f t="shared" si="37"/>
        <v>2016</v>
      </c>
      <c r="I866" s="8" t="s">
        <v>172</v>
      </c>
      <c r="J866" s="163" t="s">
        <v>112</v>
      </c>
      <c r="K866" s="163" t="s">
        <v>112</v>
      </c>
      <c r="L866" s="163" t="s">
        <v>100</v>
      </c>
      <c r="M866" s="173" t="s">
        <v>112</v>
      </c>
      <c r="N866" s="163" t="s">
        <v>2775</v>
      </c>
      <c r="O866" s="8" t="s">
        <v>2776</v>
      </c>
      <c r="P866" s="163" t="s">
        <v>106</v>
      </c>
      <c r="Q866" s="163" t="s">
        <v>112</v>
      </c>
      <c r="R866" s="127" t="s">
        <v>112</v>
      </c>
      <c r="S866" s="127" t="s">
        <v>112</v>
      </c>
      <c r="T866" s="163" t="s">
        <v>112</v>
      </c>
      <c r="U866" s="163" t="s">
        <v>112</v>
      </c>
      <c r="V866" s="163" t="s">
        <v>466</v>
      </c>
      <c r="W866" s="163" t="s">
        <v>112</v>
      </c>
      <c r="X866" s="163" t="s">
        <v>112</v>
      </c>
      <c r="Y866" s="163" t="s">
        <v>112</v>
      </c>
      <c r="Z866" s="8" t="s">
        <v>69</v>
      </c>
      <c r="AA866" s="23" t="s">
        <v>115</v>
      </c>
      <c r="AB866" s="8" t="s">
        <v>238</v>
      </c>
      <c r="AE866" s="24"/>
      <c r="AM866" s="24"/>
    </row>
    <row r="867" ht="15.75" customHeight="1">
      <c r="A867" s="8">
        <v>751.0</v>
      </c>
      <c r="B867" s="163" t="s">
        <v>2777</v>
      </c>
      <c r="C867" s="167" t="s">
        <v>48</v>
      </c>
      <c r="D867" s="181" t="s">
        <v>112</v>
      </c>
      <c r="E867" s="163" t="s">
        <v>112</v>
      </c>
      <c r="F867" s="189" t="s">
        <v>2130</v>
      </c>
      <c r="G867" s="183">
        <v>42675.0</v>
      </c>
      <c r="H867" s="281" t="str">
        <f t="shared" si="37"/>
        <v>2016</v>
      </c>
      <c r="I867" s="8" t="s">
        <v>186</v>
      </c>
      <c r="J867" s="181" t="s">
        <v>112</v>
      </c>
      <c r="K867" s="181" t="s">
        <v>112</v>
      </c>
      <c r="L867" s="163" t="s">
        <v>100</v>
      </c>
      <c r="M867" s="178" t="s">
        <v>112</v>
      </c>
      <c r="N867" s="163" t="s">
        <v>2778</v>
      </c>
      <c r="O867" s="23" t="s">
        <v>2779</v>
      </c>
      <c r="P867" s="163" t="s">
        <v>106</v>
      </c>
      <c r="Q867" s="181" t="s">
        <v>112</v>
      </c>
      <c r="R867" s="167" t="s">
        <v>112</v>
      </c>
      <c r="S867" s="167" t="s">
        <v>112</v>
      </c>
      <c r="T867" s="167" t="s">
        <v>112</v>
      </c>
      <c r="U867" s="167" t="s">
        <v>112</v>
      </c>
      <c r="V867" s="167" t="s">
        <v>673</v>
      </c>
      <c r="W867" s="181" t="s">
        <v>112</v>
      </c>
      <c r="X867" s="181" t="s">
        <v>112</v>
      </c>
      <c r="Y867" s="181" t="s">
        <v>112</v>
      </c>
      <c r="Z867" s="8" t="s">
        <v>69</v>
      </c>
      <c r="AA867" s="23" t="s">
        <v>115</v>
      </c>
      <c r="AB867" s="8" t="s">
        <v>238</v>
      </c>
      <c r="AE867" s="24"/>
      <c r="AM867" s="24"/>
    </row>
    <row r="868" ht="15.75" customHeight="1">
      <c r="A868" s="8">
        <v>755.0</v>
      </c>
      <c r="B868" s="163" t="s">
        <v>2780</v>
      </c>
      <c r="C868" s="167" t="s">
        <v>51</v>
      </c>
      <c r="D868" s="163" t="s">
        <v>112</v>
      </c>
      <c r="E868" s="163" t="s">
        <v>112</v>
      </c>
      <c r="F868" s="189" t="s">
        <v>2781</v>
      </c>
      <c r="G868" s="169">
        <v>42675.0</v>
      </c>
      <c r="H868" s="281" t="str">
        <f t="shared" si="37"/>
        <v>2016</v>
      </c>
      <c r="I868" s="8" t="s">
        <v>176</v>
      </c>
      <c r="J868" s="163" t="s">
        <v>112</v>
      </c>
      <c r="K868" s="163" t="s">
        <v>112</v>
      </c>
      <c r="L868" s="163" t="s">
        <v>100</v>
      </c>
      <c r="M868" s="168" t="s">
        <v>513</v>
      </c>
      <c r="N868" s="163" t="s">
        <v>112</v>
      </c>
      <c r="O868" s="8" t="s">
        <v>2782</v>
      </c>
      <c r="P868" s="163" t="s">
        <v>106</v>
      </c>
      <c r="Q868" s="163" t="s">
        <v>112</v>
      </c>
      <c r="R868" s="181" t="s">
        <v>112</v>
      </c>
      <c r="S868" s="181" t="s">
        <v>112</v>
      </c>
      <c r="T868" s="163" t="s">
        <v>112</v>
      </c>
      <c r="U868" s="163" t="s">
        <v>112</v>
      </c>
      <c r="V868" s="167" t="s">
        <v>2217</v>
      </c>
      <c r="W868" s="163" t="s">
        <v>112</v>
      </c>
      <c r="X868" s="163" t="s">
        <v>112</v>
      </c>
      <c r="Y868" s="163" t="s">
        <v>112</v>
      </c>
      <c r="Z868" s="8" t="s">
        <v>69</v>
      </c>
      <c r="AA868" s="23" t="s">
        <v>115</v>
      </c>
      <c r="AB868" s="8" t="s">
        <v>238</v>
      </c>
      <c r="AE868" s="24"/>
      <c r="AM868" s="24"/>
    </row>
    <row r="869" ht="15.75" customHeight="1">
      <c r="A869" s="8">
        <v>776.0</v>
      </c>
      <c r="B869" s="163" t="s">
        <v>2783</v>
      </c>
      <c r="C869" s="163" t="s">
        <v>57</v>
      </c>
      <c r="D869" s="181" t="s">
        <v>112</v>
      </c>
      <c r="E869" s="163" t="s">
        <v>112</v>
      </c>
      <c r="F869" s="204">
        <v>42767.0</v>
      </c>
      <c r="G869" s="169">
        <v>42767.0</v>
      </c>
      <c r="H869" s="281" t="str">
        <f t="shared" si="37"/>
        <v>2017</v>
      </c>
      <c r="I869" s="8" t="s">
        <v>63</v>
      </c>
      <c r="J869" s="163" t="s">
        <v>112</v>
      </c>
      <c r="K869" s="163" t="s">
        <v>112</v>
      </c>
      <c r="L869" s="163" t="s">
        <v>100</v>
      </c>
      <c r="M869" s="270" t="s">
        <v>112</v>
      </c>
      <c r="N869" s="163" t="s">
        <v>2784</v>
      </c>
      <c r="O869" s="8" t="s">
        <v>2785</v>
      </c>
      <c r="P869" s="163" t="s">
        <v>106</v>
      </c>
      <c r="Q869" s="181" t="s">
        <v>112</v>
      </c>
      <c r="R869" s="163" t="s">
        <v>112</v>
      </c>
      <c r="S869" s="163" t="s">
        <v>112</v>
      </c>
      <c r="T869" s="163" t="s">
        <v>112</v>
      </c>
      <c r="U869" s="163" t="s">
        <v>112</v>
      </c>
      <c r="V869" s="163" t="s">
        <v>1196</v>
      </c>
      <c r="W869" s="163" t="s">
        <v>112</v>
      </c>
      <c r="X869" s="163" t="s">
        <v>112</v>
      </c>
      <c r="Y869" s="163" t="s">
        <v>112</v>
      </c>
      <c r="Z869" s="8" t="s">
        <v>69</v>
      </c>
      <c r="AA869" s="23" t="s">
        <v>115</v>
      </c>
      <c r="AB869" s="8" t="s">
        <v>238</v>
      </c>
      <c r="AE869" s="24"/>
      <c r="AM869" s="24"/>
    </row>
    <row r="870" ht="15.75" customHeight="1">
      <c r="A870" s="8">
        <v>771.0</v>
      </c>
      <c r="B870" s="163" t="s">
        <v>2786</v>
      </c>
      <c r="C870" s="163" t="s">
        <v>57</v>
      </c>
      <c r="D870" s="181" t="s">
        <v>112</v>
      </c>
      <c r="E870" s="163" t="s">
        <v>112</v>
      </c>
      <c r="F870" s="207" t="s">
        <v>2787</v>
      </c>
      <c r="G870" s="169">
        <v>42736.0</v>
      </c>
      <c r="H870" s="281" t="str">
        <f t="shared" si="37"/>
        <v>2017</v>
      </c>
      <c r="I870" s="8" t="s">
        <v>172</v>
      </c>
      <c r="J870" s="163" t="s">
        <v>112</v>
      </c>
      <c r="K870" s="163" t="s">
        <v>112</v>
      </c>
      <c r="L870" s="163" t="s">
        <v>100</v>
      </c>
      <c r="M870" s="167" t="s">
        <v>112</v>
      </c>
      <c r="N870" s="163" t="s">
        <v>2788</v>
      </c>
      <c r="O870" s="8" t="s">
        <v>2789</v>
      </c>
      <c r="P870" s="163" t="s">
        <v>106</v>
      </c>
      <c r="Q870" s="181" t="s">
        <v>112</v>
      </c>
      <c r="R870" s="163" t="s">
        <v>112</v>
      </c>
      <c r="S870" s="163" t="s">
        <v>112</v>
      </c>
      <c r="T870" s="163" t="s">
        <v>112</v>
      </c>
      <c r="U870" s="163" t="s">
        <v>112</v>
      </c>
      <c r="V870" s="163" t="s">
        <v>1226</v>
      </c>
      <c r="W870" s="163" t="s">
        <v>112</v>
      </c>
      <c r="X870" s="163" t="s">
        <v>112</v>
      </c>
      <c r="Y870" s="163" t="s">
        <v>112</v>
      </c>
      <c r="Z870" s="8" t="s">
        <v>69</v>
      </c>
      <c r="AA870" s="23" t="s">
        <v>115</v>
      </c>
      <c r="AB870" s="8" t="s">
        <v>233</v>
      </c>
      <c r="AE870" s="24"/>
      <c r="AM870" s="24"/>
    </row>
    <row r="871" ht="15.75" customHeight="1">
      <c r="A871" s="8">
        <v>772.0</v>
      </c>
      <c r="B871" s="163" t="s">
        <v>2790</v>
      </c>
      <c r="C871" s="163" t="s">
        <v>57</v>
      </c>
      <c r="D871" s="181" t="s">
        <v>112</v>
      </c>
      <c r="E871" s="163" t="s">
        <v>112</v>
      </c>
      <c r="F871" s="207" t="s">
        <v>2791</v>
      </c>
      <c r="G871" s="169">
        <v>42736.0</v>
      </c>
      <c r="H871" s="281" t="str">
        <f t="shared" si="37"/>
        <v>2017</v>
      </c>
      <c r="I871" s="8" t="s">
        <v>176</v>
      </c>
      <c r="J871" s="163" t="s">
        <v>112</v>
      </c>
      <c r="K871" s="163" t="s">
        <v>112</v>
      </c>
      <c r="L871" s="163" t="s">
        <v>100</v>
      </c>
      <c r="M871" s="168" t="s">
        <v>513</v>
      </c>
      <c r="N871" s="163" t="s">
        <v>2792</v>
      </c>
      <c r="O871" s="8" t="s">
        <v>2793</v>
      </c>
      <c r="P871" s="163" t="s">
        <v>106</v>
      </c>
      <c r="Q871" s="181" t="s">
        <v>112</v>
      </c>
      <c r="R871" s="163" t="s">
        <v>112</v>
      </c>
      <c r="S871" s="163" t="s">
        <v>112</v>
      </c>
      <c r="T871" s="163" t="s">
        <v>112</v>
      </c>
      <c r="U871" s="163" t="s">
        <v>112</v>
      </c>
      <c r="V871" s="163" t="s">
        <v>1226</v>
      </c>
      <c r="W871" s="163" t="s">
        <v>112</v>
      </c>
      <c r="X871" s="163" t="s">
        <v>112</v>
      </c>
      <c r="Y871" s="163" t="s">
        <v>112</v>
      </c>
      <c r="Z871" s="8" t="s">
        <v>69</v>
      </c>
      <c r="AA871" s="23" t="s">
        <v>115</v>
      </c>
      <c r="AB871" s="8" t="s">
        <v>233</v>
      </c>
      <c r="AE871" s="24"/>
      <c r="AM871" s="24"/>
    </row>
    <row r="872" ht="15.75" customHeight="1">
      <c r="A872" s="8">
        <v>778.0</v>
      </c>
      <c r="B872" s="163" t="s">
        <v>2794</v>
      </c>
      <c r="C872" s="163" t="s">
        <v>57</v>
      </c>
      <c r="D872" s="181" t="s">
        <v>112</v>
      </c>
      <c r="E872" s="163" t="s">
        <v>112</v>
      </c>
      <c r="F872" s="204">
        <v>42776.0</v>
      </c>
      <c r="G872" s="169">
        <v>42767.0</v>
      </c>
      <c r="H872" s="281" t="str">
        <f t="shared" si="37"/>
        <v>2017</v>
      </c>
      <c r="I872" s="8" t="s">
        <v>176</v>
      </c>
      <c r="J872" s="163" t="s">
        <v>112</v>
      </c>
      <c r="K872" s="163" t="s">
        <v>112</v>
      </c>
      <c r="L872" s="163" t="s">
        <v>100</v>
      </c>
      <c r="M872" s="168" t="s">
        <v>513</v>
      </c>
      <c r="N872" s="163" t="s">
        <v>2795</v>
      </c>
      <c r="O872" s="8" t="s">
        <v>2796</v>
      </c>
      <c r="P872" s="163" t="s">
        <v>106</v>
      </c>
      <c r="Q872" s="181" t="s">
        <v>112</v>
      </c>
      <c r="R872" s="163" t="s">
        <v>112</v>
      </c>
      <c r="S872" s="163" t="s">
        <v>112</v>
      </c>
      <c r="T872" s="163" t="s">
        <v>112</v>
      </c>
      <c r="U872" s="163" t="s">
        <v>112</v>
      </c>
      <c r="V872" s="163" t="s">
        <v>1196</v>
      </c>
      <c r="W872" s="163" t="s">
        <v>112</v>
      </c>
      <c r="X872" s="163" t="s">
        <v>112</v>
      </c>
      <c r="Y872" s="163" t="s">
        <v>112</v>
      </c>
      <c r="Z872" s="8" t="s">
        <v>69</v>
      </c>
      <c r="AA872" s="23" t="s">
        <v>115</v>
      </c>
      <c r="AB872" s="8" t="s">
        <v>233</v>
      </c>
      <c r="AE872" s="24"/>
      <c r="AM872" s="24"/>
    </row>
    <row r="873" ht="15.75" customHeight="1">
      <c r="A873" s="8">
        <v>136.0</v>
      </c>
      <c r="B873" s="158" t="s">
        <v>2797</v>
      </c>
      <c r="C873" s="158" t="s">
        <v>57</v>
      </c>
      <c r="D873" s="158" t="s">
        <v>112</v>
      </c>
      <c r="E873" s="158" t="s">
        <v>112</v>
      </c>
      <c r="F873" s="158">
        <v>1985.0</v>
      </c>
      <c r="G873" s="161">
        <v>31229.0</v>
      </c>
      <c r="H873" s="161" t="str">
        <f t="shared" si="37"/>
        <v>1985</v>
      </c>
      <c r="I873" s="23" t="s">
        <v>176</v>
      </c>
      <c r="J873" s="158" t="s">
        <v>112</v>
      </c>
      <c r="K873" s="141" t="s">
        <v>99</v>
      </c>
      <c r="L873" s="158" t="s">
        <v>100</v>
      </c>
      <c r="M873" s="156" t="s">
        <v>187</v>
      </c>
      <c r="N873" s="243" t="s">
        <v>2798</v>
      </c>
      <c r="O873" s="21" t="s">
        <v>2799</v>
      </c>
      <c r="P873" s="158" t="s">
        <v>106</v>
      </c>
      <c r="Q873" s="158" t="s">
        <v>112</v>
      </c>
      <c r="R873" s="158" t="s">
        <v>112</v>
      </c>
      <c r="S873" s="158" t="s">
        <v>112</v>
      </c>
      <c r="T873" s="158" t="s">
        <v>112</v>
      </c>
      <c r="U873" s="158" t="s">
        <v>112</v>
      </c>
      <c r="V873" s="267" t="s">
        <v>2800</v>
      </c>
      <c r="W873" s="158" t="s">
        <v>112</v>
      </c>
      <c r="X873" s="158" t="s">
        <v>112</v>
      </c>
      <c r="Y873" s="158" t="s">
        <v>112</v>
      </c>
      <c r="Z873" s="23" t="s">
        <v>42</v>
      </c>
      <c r="AA873" s="23" t="s">
        <v>115</v>
      </c>
      <c r="AB873" s="8" t="s">
        <v>227</v>
      </c>
      <c r="AE873" s="24"/>
      <c r="AM873" s="24"/>
    </row>
    <row r="874" ht="15.75" customHeight="1">
      <c r="A874" s="8">
        <v>140.0</v>
      </c>
      <c r="B874" s="158" t="s">
        <v>2801</v>
      </c>
      <c r="C874" s="158" t="s">
        <v>57</v>
      </c>
      <c r="D874" s="158" t="s">
        <v>112</v>
      </c>
      <c r="E874" s="158" t="s">
        <v>112</v>
      </c>
      <c r="F874" s="165" t="s">
        <v>112</v>
      </c>
      <c r="G874" s="161">
        <v>34700.0</v>
      </c>
      <c r="H874" s="164" t="str">
        <f t="shared" si="37"/>
        <v>1995</v>
      </c>
      <c r="I874" s="8" t="s">
        <v>172</v>
      </c>
      <c r="J874" s="158" t="s">
        <v>112</v>
      </c>
      <c r="K874" s="141" t="s">
        <v>99</v>
      </c>
      <c r="L874" s="158" t="s">
        <v>100</v>
      </c>
      <c r="M874" s="156" t="s">
        <v>177</v>
      </c>
      <c r="N874" s="243" t="s">
        <v>2802</v>
      </c>
      <c r="O874" s="21" t="s">
        <v>2803</v>
      </c>
      <c r="P874" s="158" t="s">
        <v>106</v>
      </c>
      <c r="Q874" s="158" t="s">
        <v>112</v>
      </c>
      <c r="R874" s="158" t="s">
        <v>112</v>
      </c>
      <c r="S874" s="158" t="s">
        <v>112</v>
      </c>
      <c r="T874" s="158" t="s">
        <v>112</v>
      </c>
      <c r="U874" s="158" t="s">
        <v>112</v>
      </c>
      <c r="V874" s="267" t="s">
        <v>1454</v>
      </c>
      <c r="W874" s="158" t="s">
        <v>112</v>
      </c>
      <c r="X874" s="158" t="s">
        <v>112</v>
      </c>
      <c r="Y874" s="158" t="s">
        <v>112</v>
      </c>
      <c r="Z874" s="23" t="s">
        <v>42</v>
      </c>
      <c r="AA874" s="23" t="s">
        <v>115</v>
      </c>
      <c r="AB874" s="30" t="s">
        <v>227</v>
      </c>
      <c r="AE874" s="24"/>
      <c r="AM874" s="24"/>
    </row>
    <row r="875" ht="15.75" customHeight="1">
      <c r="A875" s="8">
        <v>141.0</v>
      </c>
      <c r="B875" s="158" t="s">
        <v>2804</v>
      </c>
      <c r="C875" s="158" t="s">
        <v>57</v>
      </c>
      <c r="D875" s="158" t="s">
        <v>112</v>
      </c>
      <c r="E875" s="158" t="s">
        <v>112</v>
      </c>
      <c r="F875" s="165" t="s">
        <v>112</v>
      </c>
      <c r="G875" s="161">
        <v>34700.0</v>
      </c>
      <c r="H875" s="164" t="str">
        <f t="shared" si="37"/>
        <v>1995</v>
      </c>
      <c r="I875" s="8" t="s">
        <v>176</v>
      </c>
      <c r="J875" s="158" t="s">
        <v>112</v>
      </c>
      <c r="K875" s="141" t="s">
        <v>99</v>
      </c>
      <c r="L875" s="158" t="s">
        <v>100</v>
      </c>
      <c r="M875" s="156" t="s">
        <v>177</v>
      </c>
      <c r="N875" s="243" t="s">
        <v>2805</v>
      </c>
      <c r="O875" s="21" t="s">
        <v>2806</v>
      </c>
      <c r="P875" s="158" t="s">
        <v>106</v>
      </c>
      <c r="Q875" s="158" t="s">
        <v>112</v>
      </c>
      <c r="R875" s="158" t="s">
        <v>112</v>
      </c>
      <c r="S875" s="158" t="s">
        <v>112</v>
      </c>
      <c r="T875" s="158" t="s">
        <v>112</v>
      </c>
      <c r="U875" s="158" t="s">
        <v>112</v>
      </c>
      <c r="V875" s="267" t="s">
        <v>1454</v>
      </c>
      <c r="W875" s="158" t="s">
        <v>112</v>
      </c>
      <c r="X875" s="158" t="s">
        <v>112</v>
      </c>
      <c r="Y875" s="158" t="s">
        <v>112</v>
      </c>
      <c r="Z875" s="23" t="s">
        <v>42</v>
      </c>
      <c r="AA875" s="23" t="s">
        <v>115</v>
      </c>
      <c r="AB875" s="30" t="s">
        <v>227</v>
      </c>
      <c r="AE875" s="24"/>
      <c r="AM875" s="24"/>
    </row>
    <row r="876" ht="15.75" customHeight="1">
      <c r="A876" s="8">
        <v>142.0</v>
      </c>
      <c r="B876" s="158" t="s">
        <v>2807</v>
      </c>
      <c r="C876" s="158" t="s">
        <v>57</v>
      </c>
      <c r="D876" s="158" t="s">
        <v>112</v>
      </c>
      <c r="E876" s="158" t="s">
        <v>112</v>
      </c>
      <c r="F876" s="165" t="s">
        <v>112</v>
      </c>
      <c r="G876" s="161">
        <v>34881.0</v>
      </c>
      <c r="H876" s="164" t="str">
        <f t="shared" si="37"/>
        <v>1995</v>
      </c>
      <c r="I876" s="8" t="s">
        <v>63</v>
      </c>
      <c r="J876" s="158" t="s">
        <v>112</v>
      </c>
      <c r="K876" s="141" t="s">
        <v>99</v>
      </c>
      <c r="L876" s="158" t="s">
        <v>100</v>
      </c>
      <c r="M876" s="156" t="s">
        <v>187</v>
      </c>
      <c r="N876" s="243" t="s">
        <v>2808</v>
      </c>
      <c r="O876" s="21" t="s">
        <v>2809</v>
      </c>
      <c r="P876" s="158" t="s">
        <v>106</v>
      </c>
      <c r="Q876" s="158" t="s">
        <v>112</v>
      </c>
      <c r="R876" s="158" t="s">
        <v>112</v>
      </c>
      <c r="S876" s="158" t="s">
        <v>112</v>
      </c>
      <c r="T876" s="158" t="s">
        <v>112</v>
      </c>
      <c r="U876" s="158" t="s">
        <v>112</v>
      </c>
      <c r="V876" s="267" t="s">
        <v>1454</v>
      </c>
      <c r="W876" s="158" t="s">
        <v>112</v>
      </c>
      <c r="X876" s="158" t="s">
        <v>112</v>
      </c>
      <c r="Y876" s="158" t="s">
        <v>112</v>
      </c>
      <c r="Z876" s="23" t="s">
        <v>42</v>
      </c>
      <c r="AA876" s="23" t="s">
        <v>115</v>
      </c>
      <c r="AB876" s="30" t="s">
        <v>227</v>
      </c>
      <c r="AE876" s="24"/>
      <c r="AM876" s="24"/>
    </row>
    <row r="877" ht="15.75" customHeight="1">
      <c r="A877" s="8">
        <v>144.0</v>
      </c>
      <c r="B877" s="158" t="s">
        <v>2810</v>
      </c>
      <c r="C877" s="158" t="s">
        <v>57</v>
      </c>
      <c r="D877" s="158" t="s">
        <v>112</v>
      </c>
      <c r="E877" s="158" t="s">
        <v>112</v>
      </c>
      <c r="F877" s="190" t="s">
        <v>112</v>
      </c>
      <c r="G877" s="161">
        <v>34881.0</v>
      </c>
      <c r="H877" s="161" t="str">
        <f t="shared" si="37"/>
        <v>1995</v>
      </c>
      <c r="I877" s="8" t="s">
        <v>63</v>
      </c>
      <c r="J877" s="158" t="s">
        <v>112</v>
      </c>
      <c r="K877" s="141" t="s">
        <v>99</v>
      </c>
      <c r="L877" s="158" t="s">
        <v>100</v>
      </c>
      <c r="M877" s="156" t="s">
        <v>187</v>
      </c>
      <c r="N877" s="243" t="s">
        <v>2811</v>
      </c>
      <c r="O877" s="21" t="s">
        <v>2812</v>
      </c>
      <c r="P877" s="158" t="s">
        <v>106</v>
      </c>
      <c r="Q877" s="158" t="s">
        <v>112</v>
      </c>
      <c r="R877" s="158" t="s">
        <v>112</v>
      </c>
      <c r="S877" s="158" t="s">
        <v>112</v>
      </c>
      <c r="T877" s="158" t="s">
        <v>112</v>
      </c>
      <c r="U877" s="158" t="s">
        <v>112</v>
      </c>
      <c r="V877" s="267" t="s">
        <v>2800</v>
      </c>
      <c r="W877" s="158" t="s">
        <v>112</v>
      </c>
      <c r="X877" s="158" t="s">
        <v>112</v>
      </c>
      <c r="Y877" s="158" t="s">
        <v>112</v>
      </c>
      <c r="Z877" s="23" t="s">
        <v>42</v>
      </c>
      <c r="AA877" s="23" t="s">
        <v>115</v>
      </c>
      <c r="AB877" s="30" t="s">
        <v>227</v>
      </c>
      <c r="AE877" s="24"/>
      <c r="AM877" s="24"/>
    </row>
    <row r="878" ht="15.75" customHeight="1">
      <c r="A878" s="8">
        <v>145.0</v>
      </c>
      <c r="B878" s="158" t="s">
        <v>2813</v>
      </c>
      <c r="C878" s="156" t="s">
        <v>48</v>
      </c>
      <c r="D878" s="157" t="s">
        <v>112</v>
      </c>
      <c r="E878" s="158" t="s">
        <v>112</v>
      </c>
      <c r="F878" s="190" t="s">
        <v>112</v>
      </c>
      <c r="G878" s="158">
        <v>1995.0</v>
      </c>
      <c r="H878" s="158">
        <v>1995.0</v>
      </c>
      <c r="I878" s="8" t="s">
        <v>186</v>
      </c>
      <c r="J878" s="157" t="s">
        <v>112</v>
      </c>
      <c r="K878" s="141" t="s">
        <v>99</v>
      </c>
      <c r="L878" s="156" t="s">
        <v>1336</v>
      </c>
      <c r="M878" s="156" t="s">
        <v>187</v>
      </c>
      <c r="N878" s="243" t="s">
        <v>2814</v>
      </c>
      <c r="O878" s="21" t="s">
        <v>2815</v>
      </c>
      <c r="P878" s="158" t="s">
        <v>106</v>
      </c>
      <c r="Q878" s="157" t="s">
        <v>112</v>
      </c>
      <c r="R878" s="158" t="s">
        <v>112</v>
      </c>
      <c r="S878" s="158" t="s">
        <v>112</v>
      </c>
      <c r="T878" s="158" t="s">
        <v>112</v>
      </c>
      <c r="U878" s="158" t="s">
        <v>112</v>
      </c>
      <c r="V878" s="243" t="s">
        <v>2816</v>
      </c>
      <c r="W878" s="157" t="s">
        <v>112</v>
      </c>
      <c r="X878" s="157" t="s">
        <v>112</v>
      </c>
      <c r="Y878" s="157" t="s">
        <v>112</v>
      </c>
      <c r="Z878" s="23" t="s">
        <v>42</v>
      </c>
      <c r="AA878" s="23" t="s">
        <v>115</v>
      </c>
      <c r="AB878" s="30" t="s">
        <v>227</v>
      </c>
      <c r="AE878" s="24"/>
      <c r="AM878" s="24"/>
    </row>
    <row r="879" ht="15.75" customHeight="1">
      <c r="A879" s="282">
        <v>146.0</v>
      </c>
      <c r="B879" s="156" t="s">
        <v>2817</v>
      </c>
      <c r="C879" s="243" t="s">
        <v>57</v>
      </c>
      <c r="D879" s="267" t="s">
        <v>112</v>
      </c>
      <c r="E879" s="267" t="s">
        <v>112</v>
      </c>
      <c r="F879" s="165" t="s">
        <v>112</v>
      </c>
      <c r="G879" s="161">
        <v>34867.0</v>
      </c>
      <c r="H879" s="161" t="str">
        <f t="shared" ref="H879:H972" si="38">TEXT(G879, "yyyy")</f>
        <v>1995</v>
      </c>
      <c r="I879" s="283" t="s">
        <v>2818</v>
      </c>
      <c r="J879" s="267" t="s">
        <v>112</v>
      </c>
      <c r="K879" s="141" t="s">
        <v>99</v>
      </c>
      <c r="L879" s="158" t="s">
        <v>100</v>
      </c>
      <c r="M879" s="243" t="s">
        <v>187</v>
      </c>
      <c r="N879" s="243" t="s">
        <v>2819</v>
      </c>
      <c r="O879" s="22" t="s">
        <v>2820</v>
      </c>
      <c r="P879" s="267" t="s">
        <v>106</v>
      </c>
      <c r="Q879" s="267" t="s">
        <v>112</v>
      </c>
      <c r="R879" s="243" t="s">
        <v>112</v>
      </c>
      <c r="S879" s="243" t="s">
        <v>112</v>
      </c>
      <c r="T879" s="243" t="s">
        <v>112</v>
      </c>
      <c r="U879" s="243" t="s">
        <v>112</v>
      </c>
      <c r="V879" s="243" t="s">
        <v>2821</v>
      </c>
      <c r="W879" s="267" t="s">
        <v>112</v>
      </c>
      <c r="X879" s="284">
        <v>0.0</v>
      </c>
      <c r="Y879" s="284">
        <v>0.0</v>
      </c>
      <c r="Z879" s="283" t="s">
        <v>42</v>
      </c>
      <c r="AA879" s="283" t="s">
        <v>115</v>
      </c>
      <c r="AB879" s="30" t="s">
        <v>227</v>
      </c>
      <c r="AE879" s="24"/>
      <c r="AM879" s="24"/>
    </row>
    <row r="880" ht="15.75" customHeight="1">
      <c r="A880" s="282">
        <v>147.0</v>
      </c>
      <c r="B880" s="156" t="s">
        <v>2822</v>
      </c>
      <c r="C880" s="243" t="s">
        <v>57</v>
      </c>
      <c r="D880" s="267" t="s">
        <v>112</v>
      </c>
      <c r="E880" s="267" t="s">
        <v>112</v>
      </c>
      <c r="F880" s="165" t="s">
        <v>112</v>
      </c>
      <c r="G880" s="161">
        <v>34867.0</v>
      </c>
      <c r="H880" s="161" t="str">
        <f t="shared" si="38"/>
        <v>1995</v>
      </c>
      <c r="I880" s="21" t="s">
        <v>186</v>
      </c>
      <c r="J880" s="267" t="s">
        <v>112</v>
      </c>
      <c r="K880" s="141" t="s">
        <v>99</v>
      </c>
      <c r="L880" s="158" t="s">
        <v>100</v>
      </c>
      <c r="M880" s="243" t="s">
        <v>187</v>
      </c>
      <c r="N880" s="243" t="s">
        <v>2823</v>
      </c>
      <c r="O880" s="21" t="s">
        <v>2824</v>
      </c>
      <c r="P880" s="267" t="s">
        <v>106</v>
      </c>
      <c r="Q880" s="267" t="s">
        <v>112</v>
      </c>
      <c r="R880" s="243" t="s">
        <v>112</v>
      </c>
      <c r="S880" s="243" t="s">
        <v>112</v>
      </c>
      <c r="T880" s="243" t="s">
        <v>112</v>
      </c>
      <c r="U880" s="243" t="s">
        <v>112</v>
      </c>
      <c r="V880" s="243" t="s">
        <v>2821</v>
      </c>
      <c r="W880" s="267" t="s">
        <v>112</v>
      </c>
      <c r="X880" s="284" t="s">
        <v>112</v>
      </c>
      <c r="Y880" s="284" t="s">
        <v>112</v>
      </c>
      <c r="Z880" s="283" t="s">
        <v>42</v>
      </c>
      <c r="AA880" s="283" t="s">
        <v>115</v>
      </c>
      <c r="AB880" s="30" t="s">
        <v>227</v>
      </c>
      <c r="AE880" s="24"/>
      <c r="AM880" s="24"/>
    </row>
    <row r="881" ht="15.75" customHeight="1">
      <c r="A881" s="8">
        <v>148.0</v>
      </c>
      <c r="B881" s="158" t="s">
        <v>2825</v>
      </c>
      <c r="C881" s="156" t="s">
        <v>48</v>
      </c>
      <c r="D881" s="157" t="s">
        <v>112</v>
      </c>
      <c r="E881" s="158" t="s">
        <v>112</v>
      </c>
      <c r="F881" s="211">
        <v>35247.0</v>
      </c>
      <c r="G881" s="160">
        <v>35247.0</v>
      </c>
      <c r="H881" s="161" t="str">
        <f t="shared" si="38"/>
        <v>1996</v>
      </c>
      <c r="I881" s="8" t="s">
        <v>176</v>
      </c>
      <c r="J881" s="157" t="s">
        <v>112</v>
      </c>
      <c r="K881" s="141" t="s">
        <v>99</v>
      </c>
      <c r="L881" s="156" t="s">
        <v>1336</v>
      </c>
      <c r="M881" s="190" t="s">
        <v>177</v>
      </c>
      <c r="N881" s="266" t="s">
        <v>2826</v>
      </c>
      <c r="O881" s="21" t="s">
        <v>2827</v>
      </c>
      <c r="P881" s="158" t="s">
        <v>106</v>
      </c>
      <c r="Q881" s="157" t="s">
        <v>112</v>
      </c>
      <c r="R881" s="158" t="s">
        <v>112</v>
      </c>
      <c r="S881" s="158" t="s">
        <v>112</v>
      </c>
      <c r="T881" s="158" t="s">
        <v>112</v>
      </c>
      <c r="U881" s="158" t="s">
        <v>112</v>
      </c>
      <c r="V881" s="267" t="s">
        <v>1339</v>
      </c>
      <c r="W881" s="157" t="s">
        <v>112</v>
      </c>
      <c r="X881" s="157" t="s">
        <v>112</v>
      </c>
      <c r="Y881" s="157" t="s">
        <v>112</v>
      </c>
      <c r="Z881" s="23" t="s">
        <v>42</v>
      </c>
      <c r="AA881" s="23" t="s">
        <v>115</v>
      </c>
      <c r="AB881" s="30" t="s">
        <v>227</v>
      </c>
      <c r="AE881" s="24"/>
      <c r="AM881" s="24"/>
    </row>
    <row r="882" ht="15.75" customHeight="1">
      <c r="A882" s="8">
        <v>150.0</v>
      </c>
      <c r="B882" s="158" t="s">
        <v>2828</v>
      </c>
      <c r="C882" s="156" t="s">
        <v>48</v>
      </c>
      <c r="D882" s="157" t="s">
        <v>112</v>
      </c>
      <c r="E882" s="158" t="s">
        <v>112</v>
      </c>
      <c r="F882" s="190">
        <v>36210.0</v>
      </c>
      <c r="G882" s="160">
        <v>36192.0</v>
      </c>
      <c r="H882" s="161" t="str">
        <f t="shared" si="38"/>
        <v>1999</v>
      </c>
      <c r="I882" s="8" t="s">
        <v>2829</v>
      </c>
      <c r="J882" s="157" t="s">
        <v>112</v>
      </c>
      <c r="K882" s="141" t="s">
        <v>99</v>
      </c>
      <c r="L882" s="156" t="s">
        <v>100</v>
      </c>
      <c r="M882" s="157" t="s">
        <v>187</v>
      </c>
      <c r="N882" s="243" t="s">
        <v>2830</v>
      </c>
      <c r="O882" s="21" t="s">
        <v>2831</v>
      </c>
      <c r="P882" s="158" t="s">
        <v>106</v>
      </c>
      <c r="Q882" s="157" t="s">
        <v>112</v>
      </c>
      <c r="R882" s="285" t="s">
        <v>112</v>
      </c>
      <c r="S882" s="285" t="s">
        <v>112</v>
      </c>
      <c r="T882" s="156">
        <v>-76.19303108</v>
      </c>
      <c r="U882" s="156">
        <v>-2.5616968</v>
      </c>
      <c r="V882" s="243" t="s">
        <v>844</v>
      </c>
      <c r="W882" s="157" t="s">
        <v>112</v>
      </c>
      <c r="X882" s="157" t="s">
        <v>112</v>
      </c>
      <c r="Y882" s="157" t="s">
        <v>112</v>
      </c>
      <c r="Z882" s="23" t="s">
        <v>42</v>
      </c>
      <c r="AA882" s="23" t="s">
        <v>115</v>
      </c>
      <c r="AB882" s="30" t="s">
        <v>227</v>
      </c>
      <c r="AE882" s="24"/>
      <c r="AM882" s="24"/>
    </row>
    <row r="883" ht="15.75" customHeight="1">
      <c r="A883" s="8">
        <v>151.0</v>
      </c>
      <c r="B883" s="158" t="s">
        <v>2832</v>
      </c>
      <c r="C883" s="158" t="s">
        <v>57</v>
      </c>
      <c r="D883" s="158" t="s">
        <v>112</v>
      </c>
      <c r="E883" s="158" t="s">
        <v>112</v>
      </c>
      <c r="F883" s="158">
        <v>2000.0</v>
      </c>
      <c r="G883" s="161">
        <v>36708.0</v>
      </c>
      <c r="H883" s="161" t="str">
        <f t="shared" si="38"/>
        <v>2000</v>
      </c>
      <c r="I883" s="8" t="s">
        <v>186</v>
      </c>
      <c r="J883" s="158" t="s">
        <v>112</v>
      </c>
      <c r="K883" s="141" t="s">
        <v>99</v>
      </c>
      <c r="L883" s="158" t="s">
        <v>100</v>
      </c>
      <c r="M883" s="156" t="s">
        <v>513</v>
      </c>
      <c r="N883" s="267" t="s">
        <v>2833</v>
      </c>
      <c r="O883" s="21" t="s">
        <v>2834</v>
      </c>
      <c r="P883" s="158" t="s">
        <v>106</v>
      </c>
      <c r="Q883" s="158" t="s">
        <v>112</v>
      </c>
      <c r="R883" s="158" t="s">
        <v>112</v>
      </c>
      <c r="S883" s="158" t="s">
        <v>112</v>
      </c>
      <c r="T883" s="158" t="s">
        <v>112</v>
      </c>
      <c r="U883" s="158" t="s">
        <v>112</v>
      </c>
      <c r="V883" s="267" t="s">
        <v>2231</v>
      </c>
      <c r="W883" s="158" t="s">
        <v>112</v>
      </c>
      <c r="X883" s="158" t="s">
        <v>112</v>
      </c>
      <c r="Y883" s="158" t="s">
        <v>112</v>
      </c>
      <c r="Z883" s="23" t="s">
        <v>42</v>
      </c>
      <c r="AA883" s="23" t="s">
        <v>115</v>
      </c>
      <c r="AB883" s="30" t="s">
        <v>227</v>
      </c>
      <c r="AE883" s="24"/>
      <c r="AM883" s="24"/>
    </row>
    <row r="884" ht="15.75" customHeight="1">
      <c r="A884" s="8">
        <v>152.0</v>
      </c>
      <c r="B884" s="158" t="s">
        <v>2835</v>
      </c>
      <c r="C884" s="158" t="s">
        <v>57</v>
      </c>
      <c r="D884" s="158" t="s">
        <v>112</v>
      </c>
      <c r="E884" s="158" t="s">
        <v>112</v>
      </c>
      <c r="F884" s="158">
        <v>2000.0</v>
      </c>
      <c r="G884" s="161">
        <v>36708.0</v>
      </c>
      <c r="H884" s="161" t="str">
        <f t="shared" si="38"/>
        <v>2000</v>
      </c>
      <c r="I884" s="8" t="s">
        <v>186</v>
      </c>
      <c r="J884" s="158" t="s">
        <v>112</v>
      </c>
      <c r="K884" s="141" t="s">
        <v>99</v>
      </c>
      <c r="L884" s="158" t="s">
        <v>100</v>
      </c>
      <c r="M884" s="156" t="s">
        <v>177</v>
      </c>
      <c r="N884" s="267" t="s">
        <v>2836</v>
      </c>
      <c r="O884" s="21" t="s">
        <v>2837</v>
      </c>
      <c r="P884" s="158" t="s">
        <v>106</v>
      </c>
      <c r="Q884" s="158" t="s">
        <v>112</v>
      </c>
      <c r="R884" s="158" t="s">
        <v>112</v>
      </c>
      <c r="S884" s="158" t="s">
        <v>112</v>
      </c>
      <c r="T884" s="158" t="s">
        <v>112</v>
      </c>
      <c r="U884" s="158" t="s">
        <v>112</v>
      </c>
      <c r="V884" s="267" t="s">
        <v>2231</v>
      </c>
      <c r="W884" s="158" t="s">
        <v>112</v>
      </c>
      <c r="X884" s="158" t="s">
        <v>112</v>
      </c>
      <c r="Y884" s="158" t="s">
        <v>112</v>
      </c>
      <c r="Z884" s="23" t="s">
        <v>42</v>
      </c>
      <c r="AA884" s="23" t="s">
        <v>115</v>
      </c>
      <c r="AB884" s="30" t="s">
        <v>227</v>
      </c>
      <c r="AE884" s="24"/>
      <c r="AM884" s="24"/>
    </row>
    <row r="885" ht="15.75" customHeight="1">
      <c r="A885" s="8">
        <v>769.0</v>
      </c>
      <c r="B885" s="163" t="s">
        <v>2838</v>
      </c>
      <c r="C885" s="163" t="s">
        <v>57</v>
      </c>
      <c r="D885" s="181" t="s">
        <v>112</v>
      </c>
      <c r="E885" s="163" t="s">
        <v>112</v>
      </c>
      <c r="F885" s="163">
        <v>2017.0</v>
      </c>
      <c r="G885" s="178">
        <v>42917.0</v>
      </c>
      <c r="H885" s="281" t="str">
        <f t="shared" si="38"/>
        <v>2017</v>
      </c>
      <c r="I885" s="8" t="s">
        <v>63</v>
      </c>
      <c r="J885" s="163" t="s">
        <v>112</v>
      </c>
      <c r="K885" s="163" t="s">
        <v>112</v>
      </c>
      <c r="L885" s="163" t="s">
        <v>100</v>
      </c>
      <c r="M885" s="167" t="s">
        <v>177</v>
      </c>
      <c r="N885" s="174" t="s">
        <v>2839</v>
      </c>
      <c r="O885" s="8" t="s">
        <v>2840</v>
      </c>
      <c r="P885" s="163" t="s">
        <v>106</v>
      </c>
      <c r="Q885" s="181" t="s">
        <v>112</v>
      </c>
      <c r="R885" s="163" t="s">
        <v>112</v>
      </c>
      <c r="S885" s="163" t="s">
        <v>112</v>
      </c>
      <c r="T885" s="163" t="s">
        <v>112</v>
      </c>
      <c r="U885" s="163" t="s">
        <v>112</v>
      </c>
      <c r="V885" s="163" t="s">
        <v>2821</v>
      </c>
      <c r="W885" s="163" t="s">
        <v>112</v>
      </c>
      <c r="X885" s="163">
        <v>0.0</v>
      </c>
      <c r="Y885" s="163" t="s">
        <v>112</v>
      </c>
      <c r="Z885" s="8" t="s">
        <v>69</v>
      </c>
      <c r="AA885" s="23" t="s">
        <v>115</v>
      </c>
      <c r="AB885" s="8" t="s">
        <v>216</v>
      </c>
      <c r="AE885" s="24"/>
      <c r="AM885" s="24"/>
    </row>
    <row r="886" ht="15.75" customHeight="1">
      <c r="A886" s="8">
        <v>801.0</v>
      </c>
      <c r="B886" s="158" t="s">
        <v>2841</v>
      </c>
      <c r="C886" s="158" t="s">
        <v>51</v>
      </c>
      <c r="D886" s="158" t="s">
        <v>112</v>
      </c>
      <c r="E886" s="158" t="s">
        <v>112</v>
      </c>
      <c r="F886" s="205">
        <v>42853.0</v>
      </c>
      <c r="G886" s="164">
        <v>42826.0</v>
      </c>
      <c r="H886" s="161" t="str">
        <f t="shared" si="38"/>
        <v>2017</v>
      </c>
      <c r="I886" s="8" t="s">
        <v>176</v>
      </c>
      <c r="J886" s="158" t="s">
        <v>112</v>
      </c>
      <c r="K886" s="158" t="s">
        <v>112</v>
      </c>
      <c r="L886" s="158" t="s">
        <v>100</v>
      </c>
      <c r="M886" s="190" t="s">
        <v>513</v>
      </c>
      <c r="N886" s="158" t="s">
        <v>112</v>
      </c>
      <c r="O886" s="8" t="s">
        <v>2842</v>
      </c>
      <c r="P886" s="158" t="s">
        <v>106</v>
      </c>
      <c r="Q886" s="158" t="s">
        <v>112</v>
      </c>
      <c r="R886" s="158" t="s">
        <v>112</v>
      </c>
      <c r="S886" s="158" t="s">
        <v>112</v>
      </c>
      <c r="T886" s="158" t="s">
        <v>112</v>
      </c>
      <c r="U886" s="158" t="s">
        <v>112</v>
      </c>
      <c r="V886" s="158" t="s">
        <v>548</v>
      </c>
      <c r="W886" s="158" t="s">
        <v>112</v>
      </c>
      <c r="X886" s="158" t="s">
        <v>112</v>
      </c>
      <c r="Y886" s="158" t="s">
        <v>112</v>
      </c>
      <c r="Z886" s="8" t="s">
        <v>148</v>
      </c>
      <c r="AA886" s="23" t="s">
        <v>144</v>
      </c>
      <c r="AB886" s="8" t="s">
        <v>215</v>
      </c>
      <c r="AE886" s="24"/>
      <c r="AM886" s="24"/>
    </row>
    <row r="887" ht="15.75" customHeight="1">
      <c r="A887" s="8">
        <v>203.0</v>
      </c>
      <c r="B887" s="210" t="s">
        <v>2843</v>
      </c>
      <c r="C887" s="167" t="s">
        <v>48</v>
      </c>
      <c r="D887" s="181" t="s">
        <v>112</v>
      </c>
      <c r="E887" s="163" t="s">
        <v>112</v>
      </c>
      <c r="F887" s="173">
        <v>38899.0</v>
      </c>
      <c r="G887" s="183">
        <v>38899.0</v>
      </c>
      <c r="H887" s="281" t="str">
        <f t="shared" si="38"/>
        <v>2006</v>
      </c>
      <c r="I887" s="8" t="s">
        <v>186</v>
      </c>
      <c r="J887" s="181" t="s">
        <v>112</v>
      </c>
      <c r="K887" s="181" t="s">
        <v>112</v>
      </c>
      <c r="L887" s="167" t="s">
        <v>100</v>
      </c>
      <c r="M887" s="178" t="s">
        <v>177</v>
      </c>
      <c r="N887" s="174" t="s">
        <v>112</v>
      </c>
      <c r="O887" s="45" t="s">
        <v>2844</v>
      </c>
      <c r="P887" s="163" t="s">
        <v>106</v>
      </c>
      <c r="Q887" s="181" t="s">
        <v>112</v>
      </c>
      <c r="R887" s="167" t="s">
        <v>112</v>
      </c>
      <c r="S887" s="167" t="s">
        <v>112</v>
      </c>
      <c r="T887" s="167" t="s">
        <v>112</v>
      </c>
      <c r="U887" s="167" t="s">
        <v>112</v>
      </c>
      <c r="V887" s="167" t="s">
        <v>1715</v>
      </c>
      <c r="W887" s="181" t="s">
        <v>112</v>
      </c>
      <c r="X887" s="181" t="s">
        <v>112</v>
      </c>
      <c r="Y887" s="181" t="s">
        <v>112</v>
      </c>
      <c r="Z887" s="8" t="s">
        <v>36</v>
      </c>
      <c r="AA887" s="23" t="s">
        <v>144</v>
      </c>
      <c r="AB887" s="21"/>
      <c r="AE887" s="24"/>
      <c r="AM887" s="24"/>
    </row>
    <row r="888" ht="15.75" customHeight="1">
      <c r="A888" s="8">
        <v>204.0</v>
      </c>
      <c r="B888" s="210" t="s">
        <v>2845</v>
      </c>
      <c r="C888" s="167" t="s">
        <v>48</v>
      </c>
      <c r="D888" s="181" t="s">
        <v>112</v>
      </c>
      <c r="E888" s="163" t="s">
        <v>112</v>
      </c>
      <c r="F888" s="173">
        <v>38899.0</v>
      </c>
      <c r="G888" s="183">
        <v>38899.0</v>
      </c>
      <c r="H888" s="281" t="str">
        <f t="shared" si="38"/>
        <v>2006</v>
      </c>
      <c r="I888" s="8" t="s">
        <v>186</v>
      </c>
      <c r="J888" s="181" t="s">
        <v>112</v>
      </c>
      <c r="K888" s="181" t="s">
        <v>112</v>
      </c>
      <c r="L888" s="167" t="s">
        <v>1336</v>
      </c>
      <c r="M888" s="168" t="s">
        <v>177</v>
      </c>
      <c r="N888" s="174" t="s">
        <v>112</v>
      </c>
      <c r="O888" s="45" t="s">
        <v>2846</v>
      </c>
      <c r="P888" s="163" t="s">
        <v>106</v>
      </c>
      <c r="Q888" s="181" t="s">
        <v>112</v>
      </c>
      <c r="R888" s="167" t="s">
        <v>112</v>
      </c>
      <c r="S888" s="167" t="s">
        <v>112</v>
      </c>
      <c r="T888" s="167" t="s">
        <v>112</v>
      </c>
      <c r="U888" s="167" t="s">
        <v>112</v>
      </c>
      <c r="V888" s="167" t="s">
        <v>1715</v>
      </c>
      <c r="W888" s="181" t="s">
        <v>112</v>
      </c>
      <c r="X888" s="181" t="s">
        <v>112</v>
      </c>
      <c r="Y888" s="181" t="s">
        <v>112</v>
      </c>
      <c r="Z888" s="8" t="s">
        <v>36</v>
      </c>
      <c r="AA888" s="23" t="s">
        <v>144</v>
      </c>
      <c r="AB888" s="21"/>
      <c r="AE888" s="24"/>
      <c r="AM888" s="24"/>
    </row>
    <row r="889" ht="15.0" customHeight="1">
      <c r="A889" s="253">
        <v>469.0</v>
      </c>
      <c r="B889" s="256" t="s">
        <v>2847</v>
      </c>
      <c r="C889" s="256" t="s">
        <v>51</v>
      </c>
      <c r="D889" s="256" t="s">
        <v>112</v>
      </c>
      <c r="E889" s="256" t="s">
        <v>112</v>
      </c>
      <c r="F889" s="257" t="s">
        <v>112</v>
      </c>
      <c r="G889" s="286">
        <v>40725.0</v>
      </c>
      <c r="H889" s="286" t="str">
        <f t="shared" si="38"/>
        <v>2011</v>
      </c>
      <c r="I889" s="253" t="s">
        <v>186</v>
      </c>
      <c r="J889" s="256" t="s">
        <v>112</v>
      </c>
      <c r="K889" s="256" t="s">
        <v>112</v>
      </c>
      <c r="L889" s="256" t="s">
        <v>100</v>
      </c>
      <c r="M889" s="256" t="s">
        <v>112</v>
      </c>
      <c r="N889" s="287" t="s">
        <v>2848</v>
      </c>
      <c r="O889" s="253"/>
      <c r="P889" s="256" t="s">
        <v>106</v>
      </c>
      <c r="Q889" s="256" t="s">
        <v>112</v>
      </c>
      <c r="R889" s="256" t="s">
        <v>112</v>
      </c>
      <c r="S889" s="256" t="s">
        <v>112</v>
      </c>
      <c r="T889" s="256" t="s">
        <v>112</v>
      </c>
      <c r="U889" s="256" t="s">
        <v>112</v>
      </c>
      <c r="V889" s="256" t="s">
        <v>548</v>
      </c>
      <c r="W889" s="256" t="s">
        <v>112</v>
      </c>
      <c r="X889" s="256" t="s">
        <v>112</v>
      </c>
      <c r="Y889" s="256" t="s">
        <v>112</v>
      </c>
      <c r="Z889" s="253" t="s">
        <v>149</v>
      </c>
      <c r="AA889" s="264" t="s">
        <v>115</v>
      </c>
      <c r="AB889" s="253"/>
      <c r="AE889" s="24"/>
      <c r="AM889" s="24"/>
    </row>
    <row r="890" ht="15.75" customHeight="1">
      <c r="A890" s="8">
        <v>470.0</v>
      </c>
      <c r="B890" s="158" t="s">
        <v>2849</v>
      </c>
      <c r="C890" s="158" t="s">
        <v>51</v>
      </c>
      <c r="D890" s="158" t="s">
        <v>112</v>
      </c>
      <c r="E890" s="158" t="s">
        <v>112</v>
      </c>
      <c r="F890" s="215" t="s">
        <v>112</v>
      </c>
      <c r="G890" s="164">
        <v>40725.0</v>
      </c>
      <c r="H890" s="164" t="str">
        <f t="shared" si="38"/>
        <v>2011</v>
      </c>
      <c r="I890" s="8" t="s">
        <v>63</v>
      </c>
      <c r="J890" s="158" t="s">
        <v>112</v>
      </c>
      <c r="K890" s="158" t="s">
        <v>112</v>
      </c>
      <c r="L890" s="158" t="s">
        <v>100</v>
      </c>
      <c r="M890" s="158" t="s">
        <v>112</v>
      </c>
      <c r="N890" s="158" t="s">
        <v>2850</v>
      </c>
      <c r="O890" s="8"/>
      <c r="P890" s="158" t="s">
        <v>106</v>
      </c>
      <c r="Q890" s="158" t="s">
        <v>112</v>
      </c>
      <c r="R890" s="158" t="s">
        <v>112</v>
      </c>
      <c r="S890" s="158" t="s">
        <v>112</v>
      </c>
      <c r="T890" s="158" t="s">
        <v>112</v>
      </c>
      <c r="U890" s="158" t="s">
        <v>112</v>
      </c>
      <c r="V890" s="158" t="s">
        <v>548</v>
      </c>
      <c r="W890" s="158" t="s">
        <v>112</v>
      </c>
      <c r="X890" s="158" t="s">
        <v>112</v>
      </c>
      <c r="Y890" s="158" t="s">
        <v>112</v>
      </c>
      <c r="Z890" s="8" t="s">
        <v>149</v>
      </c>
      <c r="AA890" s="23" t="s">
        <v>115</v>
      </c>
      <c r="AB890" s="8"/>
      <c r="AE890" s="24"/>
      <c r="AM890" s="24"/>
    </row>
    <row r="891" ht="15.75" customHeight="1">
      <c r="A891" s="8">
        <v>473.0</v>
      </c>
      <c r="B891" s="158" t="s">
        <v>2851</v>
      </c>
      <c r="C891" s="156" t="s">
        <v>48</v>
      </c>
      <c r="D891" s="158" t="s">
        <v>112</v>
      </c>
      <c r="E891" s="158" t="s">
        <v>112</v>
      </c>
      <c r="F891" s="215">
        <v>40942.0</v>
      </c>
      <c r="G891" s="164">
        <v>40940.0</v>
      </c>
      <c r="H891" s="161" t="str">
        <f t="shared" si="38"/>
        <v>2012</v>
      </c>
      <c r="I891" s="8" t="s">
        <v>176</v>
      </c>
      <c r="J891" s="158" t="s">
        <v>112</v>
      </c>
      <c r="K891" s="158" t="s">
        <v>112</v>
      </c>
      <c r="L891" s="156" t="s">
        <v>100</v>
      </c>
      <c r="M891" s="211" t="s">
        <v>177</v>
      </c>
      <c r="N891" s="158" t="s">
        <v>112</v>
      </c>
      <c r="O891" s="8" t="s">
        <v>1031</v>
      </c>
      <c r="P891" s="158" t="s">
        <v>106</v>
      </c>
      <c r="Q891" s="158" t="s">
        <v>112</v>
      </c>
      <c r="R891" s="158" t="s">
        <v>112</v>
      </c>
      <c r="S891" s="158" t="s">
        <v>112</v>
      </c>
      <c r="T891" s="158" t="s">
        <v>112</v>
      </c>
      <c r="U891" s="158" t="s">
        <v>112</v>
      </c>
      <c r="V891" s="156" t="s">
        <v>480</v>
      </c>
      <c r="W891" s="158" t="s">
        <v>112</v>
      </c>
      <c r="X891" s="158" t="s">
        <v>112</v>
      </c>
      <c r="Y891" s="158" t="s">
        <v>112</v>
      </c>
      <c r="Z891" s="8" t="s">
        <v>149</v>
      </c>
      <c r="AA891" s="23" t="s">
        <v>115</v>
      </c>
      <c r="AB891" s="8"/>
      <c r="AE891" s="24"/>
      <c r="AM891" s="24"/>
    </row>
    <row r="892" ht="15.75" customHeight="1">
      <c r="A892" s="8">
        <v>474.0</v>
      </c>
      <c r="B892" s="158" t="s">
        <v>2852</v>
      </c>
      <c r="C892" s="156" t="s">
        <v>51</v>
      </c>
      <c r="D892" s="158" t="s">
        <v>112</v>
      </c>
      <c r="E892" s="158" t="s">
        <v>112</v>
      </c>
      <c r="F892" s="215">
        <v>41012.0</v>
      </c>
      <c r="G892" s="164">
        <v>41000.0</v>
      </c>
      <c r="H892" s="161" t="str">
        <f t="shared" si="38"/>
        <v>2012</v>
      </c>
      <c r="I892" s="8" t="s">
        <v>186</v>
      </c>
      <c r="J892" s="158" t="s">
        <v>112</v>
      </c>
      <c r="K892" s="158" t="s">
        <v>112</v>
      </c>
      <c r="L892" s="158" t="s">
        <v>100</v>
      </c>
      <c r="M892" s="211" t="s">
        <v>112</v>
      </c>
      <c r="N892" s="158" t="s">
        <v>2853</v>
      </c>
      <c r="O892" s="8" t="s">
        <v>179</v>
      </c>
      <c r="P892" s="158" t="s">
        <v>106</v>
      </c>
      <c r="Q892" s="158" t="s">
        <v>112</v>
      </c>
      <c r="R892" s="158" t="s">
        <v>112</v>
      </c>
      <c r="S892" s="158" t="s">
        <v>112</v>
      </c>
      <c r="T892" s="158" t="s">
        <v>112</v>
      </c>
      <c r="U892" s="158" t="s">
        <v>112</v>
      </c>
      <c r="V892" s="156" t="s">
        <v>480</v>
      </c>
      <c r="W892" s="158" t="s">
        <v>112</v>
      </c>
      <c r="X892" s="158" t="s">
        <v>112</v>
      </c>
      <c r="Y892" s="158" t="s">
        <v>112</v>
      </c>
      <c r="Z892" s="8" t="s">
        <v>149</v>
      </c>
      <c r="AA892" s="23" t="s">
        <v>115</v>
      </c>
      <c r="AB892" s="8"/>
      <c r="AE892" s="24"/>
      <c r="AM892" s="24"/>
    </row>
    <row r="893" ht="15.75" customHeight="1">
      <c r="A893" s="8">
        <v>475.0</v>
      </c>
      <c r="B893" s="158" t="s">
        <v>2854</v>
      </c>
      <c r="C893" s="156" t="s">
        <v>51</v>
      </c>
      <c r="D893" s="158" t="s">
        <v>112</v>
      </c>
      <c r="E893" s="158" t="s">
        <v>112</v>
      </c>
      <c r="F893" s="215">
        <v>41012.0</v>
      </c>
      <c r="G893" s="164">
        <v>41000.0</v>
      </c>
      <c r="H893" s="161" t="str">
        <f t="shared" si="38"/>
        <v>2012</v>
      </c>
      <c r="I893" s="8" t="s">
        <v>186</v>
      </c>
      <c r="J893" s="158" t="s">
        <v>112</v>
      </c>
      <c r="K893" s="158" t="s">
        <v>112</v>
      </c>
      <c r="L893" s="158" t="s">
        <v>100</v>
      </c>
      <c r="M893" s="211" t="s">
        <v>112</v>
      </c>
      <c r="N893" s="158" t="s">
        <v>2853</v>
      </c>
      <c r="O893" s="8" t="s">
        <v>179</v>
      </c>
      <c r="P893" s="158" t="s">
        <v>106</v>
      </c>
      <c r="Q893" s="158" t="s">
        <v>112</v>
      </c>
      <c r="R893" s="158" t="s">
        <v>112</v>
      </c>
      <c r="S893" s="158" t="s">
        <v>112</v>
      </c>
      <c r="T893" s="158" t="s">
        <v>112</v>
      </c>
      <c r="U893" s="158" t="s">
        <v>112</v>
      </c>
      <c r="V893" s="156" t="s">
        <v>480</v>
      </c>
      <c r="W893" s="158" t="s">
        <v>112</v>
      </c>
      <c r="X893" s="158" t="s">
        <v>112</v>
      </c>
      <c r="Y893" s="158" t="s">
        <v>112</v>
      </c>
      <c r="Z893" s="8" t="s">
        <v>149</v>
      </c>
      <c r="AA893" s="23" t="s">
        <v>115</v>
      </c>
      <c r="AB893" s="8"/>
      <c r="AE893" s="24"/>
      <c r="AM893" s="24"/>
    </row>
    <row r="894" ht="15.75" customHeight="1">
      <c r="A894" s="8">
        <v>476.0</v>
      </c>
      <c r="B894" s="158" t="s">
        <v>2855</v>
      </c>
      <c r="C894" s="158" t="s">
        <v>51</v>
      </c>
      <c r="D894" s="158" t="s">
        <v>112</v>
      </c>
      <c r="E894" s="158" t="s">
        <v>112</v>
      </c>
      <c r="F894" s="215">
        <v>41039.0</v>
      </c>
      <c r="G894" s="164">
        <v>41030.0</v>
      </c>
      <c r="H894" s="161" t="str">
        <f t="shared" si="38"/>
        <v>2012</v>
      </c>
      <c r="I894" s="8" t="s">
        <v>176</v>
      </c>
      <c r="J894" s="158" t="s">
        <v>112</v>
      </c>
      <c r="K894" s="158" t="s">
        <v>112</v>
      </c>
      <c r="L894" s="158" t="s">
        <v>100</v>
      </c>
      <c r="M894" s="211" t="s">
        <v>177</v>
      </c>
      <c r="N894" s="158" t="s">
        <v>112</v>
      </c>
      <c r="O894" s="8"/>
      <c r="P894" s="158" t="s">
        <v>106</v>
      </c>
      <c r="Q894" s="158" t="s">
        <v>112</v>
      </c>
      <c r="R894" s="158" t="s">
        <v>112</v>
      </c>
      <c r="S894" s="158" t="s">
        <v>112</v>
      </c>
      <c r="T894" s="158" t="s">
        <v>112</v>
      </c>
      <c r="U894" s="158" t="s">
        <v>112</v>
      </c>
      <c r="V894" s="158" t="s">
        <v>109</v>
      </c>
      <c r="W894" s="158" t="s">
        <v>112</v>
      </c>
      <c r="X894" s="158" t="s">
        <v>112</v>
      </c>
      <c r="Y894" s="158" t="s">
        <v>112</v>
      </c>
      <c r="Z894" s="8" t="s">
        <v>149</v>
      </c>
      <c r="AA894" s="23" t="s">
        <v>115</v>
      </c>
      <c r="AB894" s="8"/>
      <c r="AE894" s="24"/>
      <c r="AM894" s="24"/>
    </row>
    <row r="895" ht="15.75" customHeight="1">
      <c r="A895" s="8">
        <v>480.0</v>
      </c>
      <c r="B895" s="158" t="s">
        <v>2856</v>
      </c>
      <c r="C895" s="156" t="s">
        <v>48</v>
      </c>
      <c r="D895" s="158" t="s">
        <v>112</v>
      </c>
      <c r="E895" s="158" t="s">
        <v>112</v>
      </c>
      <c r="F895" s="215">
        <v>41079.0</v>
      </c>
      <c r="G895" s="164">
        <v>41061.0</v>
      </c>
      <c r="H895" s="161" t="str">
        <f t="shared" si="38"/>
        <v>2012</v>
      </c>
      <c r="I895" s="8" t="s">
        <v>186</v>
      </c>
      <c r="J895" s="158" t="s">
        <v>112</v>
      </c>
      <c r="K895" s="158" t="s">
        <v>112</v>
      </c>
      <c r="L895" s="156" t="s">
        <v>100</v>
      </c>
      <c r="M895" s="211" t="s">
        <v>112</v>
      </c>
      <c r="N895" s="158" t="s">
        <v>112</v>
      </c>
      <c r="O895" s="8" t="s">
        <v>2359</v>
      </c>
      <c r="P895" s="158" t="s">
        <v>106</v>
      </c>
      <c r="Q895" s="158" t="s">
        <v>112</v>
      </c>
      <c r="R895" s="158" t="s">
        <v>112</v>
      </c>
      <c r="S895" s="158" t="s">
        <v>112</v>
      </c>
      <c r="T895" s="158" t="s">
        <v>112</v>
      </c>
      <c r="U895" s="158" t="s">
        <v>112</v>
      </c>
      <c r="V895" s="156" t="s">
        <v>480</v>
      </c>
      <c r="W895" s="158" t="s">
        <v>112</v>
      </c>
      <c r="X895" s="158" t="s">
        <v>112</v>
      </c>
      <c r="Y895" s="158" t="s">
        <v>112</v>
      </c>
      <c r="Z895" s="8" t="s">
        <v>149</v>
      </c>
      <c r="AA895" s="23" t="s">
        <v>115</v>
      </c>
      <c r="AB895" s="8"/>
      <c r="AE895" s="24"/>
      <c r="AM895" s="24"/>
    </row>
    <row r="896" ht="15.75" customHeight="1">
      <c r="A896" s="8">
        <v>482.0</v>
      </c>
      <c r="B896" s="158" t="s">
        <v>2857</v>
      </c>
      <c r="C896" s="158" t="s">
        <v>51</v>
      </c>
      <c r="D896" s="158" t="s">
        <v>112</v>
      </c>
      <c r="E896" s="158" t="s">
        <v>112</v>
      </c>
      <c r="F896" s="215">
        <v>41156.0</v>
      </c>
      <c r="G896" s="164">
        <v>41153.0</v>
      </c>
      <c r="H896" s="161" t="str">
        <f t="shared" si="38"/>
        <v>2012</v>
      </c>
      <c r="I896" s="8" t="s">
        <v>172</v>
      </c>
      <c r="J896" s="158" t="s">
        <v>112</v>
      </c>
      <c r="K896" s="158" t="s">
        <v>112</v>
      </c>
      <c r="L896" s="158" t="s">
        <v>100</v>
      </c>
      <c r="M896" s="211" t="s">
        <v>112</v>
      </c>
      <c r="N896" s="158" t="s">
        <v>2858</v>
      </c>
      <c r="O896" s="8"/>
      <c r="P896" s="158" t="s">
        <v>106</v>
      </c>
      <c r="Q896" s="158" t="s">
        <v>112</v>
      </c>
      <c r="R896" s="158" t="s">
        <v>112</v>
      </c>
      <c r="S896" s="158" t="s">
        <v>112</v>
      </c>
      <c r="T896" s="158" t="s">
        <v>112</v>
      </c>
      <c r="U896" s="158" t="s">
        <v>112</v>
      </c>
      <c r="V896" s="158" t="s">
        <v>109</v>
      </c>
      <c r="W896" s="158" t="s">
        <v>112</v>
      </c>
      <c r="X896" s="158" t="s">
        <v>112</v>
      </c>
      <c r="Y896" s="158" t="s">
        <v>112</v>
      </c>
      <c r="Z896" s="8" t="s">
        <v>149</v>
      </c>
      <c r="AA896" s="23" t="s">
        <v>115</v>
      </c>
      <c r="AB896" s="8"/>
      <c r="AE896" s="24"/>
      <c r="AM896" s="24"/>
    </row>
    <row r="897" ht="15.75" customHeight="1">
      <c r="A897" s="8">
        <v>485.0</v>
      </c>
      <c r="B897" s="158" t="s">
        <v>2859</v>
      </c>
      <c r="C897" s="156" t="s">
        <v>48</v>
      </c>
      <c r="D897" s="158" t="s">
        <v>112</v>
      </c>
      <c r="E897" s="158" t="s">
        <v>112</v>
      </c>
      <c r="F897" s="215">
        <v>41302.0</v>
      </c>
      <c r="G897" s="164">
        <v>41275.0</v>
      </c>
      <c r="H897" s="161" t="str">
        <f t="shared" si="38"/>
        <v>2013</v>
      </c>
      <c r="I897" s="8" t="s">
        <v>186</v>
      </c>
      <c r="J897" s="158" t="s">
        <v>112</v>
      </c>
      <c r="K897" s="158" t="s">
        <v>112</v>
      </c>
      <c r="L897" s="156" t="s">
        <v>112</v>
      </c>
      <c r="M897" s="211" t="s">
        <v>112</v>
      </c>
      <c r="N897" s="158" t="s">
        <v>112</v>
      </c>
      <c r="O897" s="8"/>
      <c r="P897" s="158" t="s">
        <v>106</v>
      </c>
      <c r="Q897" s="158" t="s">
        <v>112</v>
      </c>
      <c r="R897" s="158" t="s">
        <v>112</v>
      </c>
      <c r="S897" s="158" t="s">
        <v>112</v>
      </c>
      <c r="T897" s="158" t="s">
        <v>112</v>
      </c>
      <c r="U897" s="158" t="s">
        <v>112</v>
      </c>
      <c r="V897" s="156" t="s">
        <v>1024</v>
      </c>
      <c r="W897" s="158" t="s">
        <v>112</v>
      </c>
      <c r="X897" s="158" t="s">
        <v>112</v>
      </c>
      <c r="Y897" s="158" t="s">
        <v>112</v>
      </c>
      <c r="Z897" s="8" t="s">
        <v>149</v>
      </c>
      <c r="AA897" s="23" t="s">
        <v>115</v>
      </c>
      <c r="AB897" s="8"/>
      <c r="AE897" s="24"/>
      <c r="AM897" s="24"/>
    </row>
    <row r="898" ht="15.75" customHeight="1">
      <c r="A898" s="8">
        <v>486.0</v>
      </c>
      <c r="B898" s="158" t="s">
        <v>2860</v>
      </c>
      <c r="C898" s="156" t="s">
        <v>48</v>
      </c>
      <c r="D898" s="158" t="s">
        <v>112</v>
      </c>
      <c r="E898" s="158" t="s">
        <v>112</v>
      </c>
      <c r="F898" s="215">
        <v>41316.0</v>
      </c>
      <c r="G898" s="164">
        <v>41275.0</v>
      </c>
      <c r="H898" s="161" t="str">
        <f t="shared" si="38"/>
        <v>2013</v>
      </c>
      <c r="I898" s="8" t="s">
        <v>63</v>
      </c>
      <c r="J898" s="158" t="s">
        <v>112</v>
      </c>
      <c r="K898" s="158" t="s">
        <v>112</v>
      </c>
      <c r="L898" s="156" t="s">
        <v>112</v>
      </c>
      <c r="M898" s="211" t="s">
        <v>112</v>
      </c>
      <c r="N898" s="158" t="s">
        <v>112</v>
      </c>
      <c r="O898" s="8"/>
      <c r="P898" s="158" t="s">
        <v>106</v>
      </c>
      <c r="Q898" s="158" t="s">
        <v>112</v>
      </c>
      <c r="R898" s="158" t="s">
        <v>112</v>
      </c>
      <c r="S898" s="158" t="s">
        <v>112</v>
      </c>
      <c r="T898" s="158" t="s">
        <v>112</v>
      </c>
      <c r="U898" s="158" t="s">
        <v>112</v>
      </c>
      <c r="V898" s="156" t="s">
        <v>1024</v>
      </c>
      <c r="W898" s="158" t="s">
        <v>112</v>
      </c>
      <c r="X898" s="158" t="s">
        <v>112</v>
      </c>
      <c r="Y898" s="158" t="s">
        <v>112</v>
      </c>
      <c r="Z898" s="8" t="s">
        <v>149</v>
      </c>
      <c r="AA898" s="23" t="s">
        <v>115</v>
      </c>
      <c r="AB898" s="8"/>
      <c r="AE898" s="24"/>
      <c r="AM898" s="24"/>
    </row>
    <row r="899" ht="15.75" customHeight="1">
      <c r="A899" s="8">
        <v>487.0</v>
      </c>
      <c r="B899" s="158" t="s">
        <v>2861</v>
      </c>
      <c r="C899" s="156" t="s">
        <v>48</v>
      </c>
      <c r="D899" s="158" t="s">
        <v>112</v>
      </c>
      <c r="E899" s="158" t="s">
        <v>112</v>
      </c>
      <c r="F899" s="215">
        <v>41352.0</v>
      </c>
      <c r="G899" s="164">
        <v>41334.0</v>
      </c>
      <c r="H899" s="161" t="str">
        <f t="shared" si="38"/>
        <v>2013</v>
      </c>
      <c r="I899" s="8" t="s">
        <v>176</v>
      </c>
      <c r="J899" s="158" t="s">
        <v>112</v>
      </c>
      <c r="K899" s="158" t="s">
        <v>112</v>
      </c>
      <c r="L899" s="156" t="s">
        <v>112</v>
      </c>
      <c r="M899" s="158" t="s">
        <v>177</v>
      </c>
      <c r="N899" s="158" t="s">
        <v>112</v>
      </c>
      <c r="O899" s="8"/>
      <c r="P899" s="158" t="s">
        <v>106</v>
      </c>
      <c r="Q899" s="158" t="s">
        <v>112</v>
      </c>
      <c r="R899" s="158" t="s">
        <v>112</v>
      </c>
      <c r="S899" s="158" t="s">
        <v>112</v>
      </c>
      <c r="T899" s="158" t="s">
        <v>112</v>
      </c>
      <c r="U899" s="158" t="s">
        <v>112</v>
      </c>
      <c r="V899" s="156" t="s">
        <v>1024</v>
      </c>
      <c r="W899" s="158" t="s">
        <v>112</v>
      </c>
      <c r="X899" s="158" t="s">
        <v>112</v>
      </c>
      <c r="Y899" s="158" t="s">
        <v>112</v>
      </c>
      <c r="Z899" s="8" t="s">
        <v>149</v>
      </c>
      <c r="AA899" s="23" t="s">
        <v>115</v>
      </c>
      <c r="AB899" s="8"/>
      <c r="AE899" s="24"/>
      <c r="AM899" s="24"/>
    </row>
    <row r="900" ht="15.75" customHeight="1">
      <c r="A900" s="8">
        <v>488.0</v>
      </c>
      <c r="B900" s="158" t="s">
        <v>2862</v>
      </c>
      <c r="C900" s="156" t="s">
        <v>48</v>
      </c>
      <c r="D900" s="158" t="s">
        <v>112</v>
      </c>
      <c r="E900" s="158" t="s">
        <v>112</v>
      </c>
      <c r="F900" s="215">
        <v>41352.0</v>
      </c>
      <c r="G900" s="164">
        <v>41334.0</v>
      </c>
      <c r="H900" s="161" t="str">
        <f t="shared" si="38"/>
        <v>2013</v>
      </c>
      <c r="I900" s="8" t="s">
        <v>63</v>
      </c>
      <c r="J900" s="158" t="s">
        <v>112</v>
      </c>
      <c r="K900" s="158" t="s">
        <v>112</v>
      </c>
      <c r="L900" s="156" t="s">
        <v>112</v>
      </c>
      <c r="M900" s="211" t="s">
        <v>112</v>
      </c>
      <c r="N900" s="158" t="s">
        <v>112</v>
      </c>
      <c r="O900" s="8"/>
      <c r="P900" s="158" t="s">
        <v>106</v>
      </c>
      <c r="Q900" s="158" t="s">
        <v>112</v>
      </c>
      <c r="R900" s="158" t="s">
        <v>112</v>
      </c>
      <c r="S900" s="158" t="s">
        <v>112</v>
      </c>
      <c r="T900" s="158" t="s">
        <v>112</v>
      </c>
      <c r="U900" s="158" t="s">
        <v>112</v>
      </c>
      <c r="V900" s="156" t="s">
        <v>1024</v>
      </c>
      <c r="W900" s="158" t="s">
        <v>112</v>
      </c>
      <c r="X900" s="158" t="s">
        <v>112</v>
      </c>
      <c r="Y900" s="158" t="s">
        <v>112</v>
      </c>
      <c r="Z900" s="8" t="s">
        <v>149</v>
      </c>
      <c r="AA900" s="23" t="s">
        <v>115</v>
      </c>
      <c r="AB900" s="8"/>
      <c r="AE900" s="24"/>
      <c r="AM900" s="24"/>
    </row>
    <row r="901" ht="15.75" customHeight="1">
      <c r="A901" s="8">
        <v>490.0</v>
      </c>
      <c r="B901" s="158" t="s">
        <v>2863</v>
      </c>
      <c r="C901" s="156" t="s">
        <v>48</v>
      </c>
      <c r="D901" s="158" t="s">
        <v>112</v>
      </c>
      <c r="E901" s="158" t="s">
        <v>112</v>
      </c>
      <c r="F901" s="215">
        <v>41376.0</v>
      </c>
      <c r="G901" s="164">
        <v>41365.0</v>
      </c>
      <c r="H901" s="161" t="str">
        <f t="shared" si="38"/>
        <v>2013</v>
      </c>
      <c r="I901" s="8" t="s">
        <v>63</v>
      </c>
      <c r="J901" s="158" t="s">
        <v>112</v>
      </c>
      <c r="K901" s="158" t="s">
        <v>112</v>
      </c>
      <c r="L901" s="156" t="s">
        <v>112</v>
      </c>
      <c r="M901" s="211" t="s">
        <v>112</v>
      </c>
      <c r="N901" s="158" t="s">
        <v>112</v>
      </c>
      <c r="O901" s="8"/>
      <c r="P901" s="158" t="s">
        <v>106</v>
      </c>
      <c r="Q901" s="158" t="s">
        <v>112</v>
      </c>
      <c r="R901" s="158" t="s">
        <v>112</v>
      </c>
      <c r="S901" s="158" t="s">
        <v>112</v>
      </c>
      <c r="T901" s="158" t="s">
        <v>112</v>
      </c>
      <c r="U901" s="158" t="s">
        <v>112</v>
      </c>
      <c r="V901" s="156" t="s">
        <v>1024</v>
      </c>
      <c r="W901" s="158" t="s">
        <v>112</v>
      </c>
      <c r="X901" s="158" t="s">
        <v>112</v>
      </c>
      <c r="Y901" s="158" t="s">
        <v>112</v>
      </c>
      <c r="Z901" s="8" t="s">
        <v>149</v>
      </c>
      <c r="AA901" s="23" t="s">
        <v>115</v>
      </c>
      <c r="AB901" s="8"/>
      <c r="AE901" s="24"/>
      <c r="AM901" s="24"/>
    </row>
    <row r="902" ht="15.75" customHeight="1">
      <c r="A902" s="8">
        <v>491.0</v>
      </c>
      <c r="B902" s="158" t="s">
        <v>2864</v>
      </c>
      <c r="C902" s="156" t="s">
        <v>48</v>
      </c>
      <c r="D902" s="158" t="s">
        <v>112</v>
      </c>
      <c r="E902" s="158" t="s">
        <v>112</v>
      </c>
      <c r="F902" s="215">
        <v>41376.0</v>
      </c>
      <c r="G902" s="164">
        <v>41365.0</v>
      </c>
      <c r="H902" s="161" t="str">
        <f t="shared" si="38"/>
        <v>2013</v>
      </c>
      <c r="I902" s="8" t="s">
        <v>176</v>
      </c>
      <c r="J902" s="158" t="s">
        <v>112</v>
      </c>
      <c r="K902" s="158" t="s">
        <v>112</v>
      </c>
      <c r="L902" s="156" t="s">
        <v>112</v>
      </c>
      <c r="M902" s="211" t="s">
        <v>177</v>
      </c>
      <c r="N902" s="158" t="s">
        <v>2557</v>
      </c>
      <c r="O902" s="8"/>
      <c r="P902" s="158" t="s">
        <v>106</v>
      </c>
      <c r="Q902" s="158" t="s">
        <v>112</v>
      </c>
      <c r="R902" s="158" t="s">
        <v>112</v>
      </c>
      <c r="S902" s="158" t="s">
        <v>112</v>
      </c>
      <c r="T902" s="158" t="s">
        <v>112</v>
      </c>
      <c r="U902" s="158" t="s">
        <v>112</v>
      </c>
      <c r="V902" s="156" t="s">
        <v>1024</v>
      </c>
      <c r="W902" s="158" t="s">
        <v>112</v>
      </c>
      <c r="X902" s="158" t="s">
        <v>112</v>
      </c>
      <c r="Y902" s="158" t="s">
        <v>112</v>
      </c>
      <c r="Z902" s="8" t="s">
        <v>149</v>
      </c>
      <c r="AA902" s="23" t="s">
        <v>115</v>
      </c>
      <c r="AB902" s="8"/>
      <c r="AE902" s="24"/>
      <c r="AM902" s="24"/>
    </row>
    <row r="903" ht="15.75" customHeight="1">
      <c r="A903" s="8">
        <v>492.0</v>
      </c>
      <c r="B903" s="158" t="s">
        <v>2865</v>
      </c>
      <c r="C903" s="156" t="s">
        <v>48</v>
      </c>
      <c r="D903" s="158" t="s">
        <v>112</v>
      </c>
      <c r="E903" s="158" t="s">
        <v>112</v>
      </c>
      <c r="F903" s="215">
        <v>41377.0</v>
      </c>
      <c r="G903" s="164">
        <v>41365.0</v>
      </c>
      <c r="H903" s="161" t="str">
        <f t="shared" si="38"/>
        <v>2013</v>
      </c>
      <c r="I903" s="8" t="s">
        <v>63</v>
      </c>
      <c r="J903" s="158" t="s">
        <v>112</v>
      </c>
      <c r="K903" s="158" t="s">
        <v>112</v>
      </c>
      <c r="L903" s="156" t="s">
        <v>112</v>
      </c>
      <c r="M903" s="211" t="s">
        <v>112</v>
      </c>
      <c r="N903" s="158" t="s">
        <v>2866</v>
      </c>
      <c r="O903" s="8"/>
      <c r="P903" s="158" t="s">
        <v>106</v>
      </c>
      <c r="Q903" s="158" t="s">
        <v>112</v>
      </c>
      <c r="R903" s="158" t="s">
        <v>112</v>
      </c>
      <c r="S903" s="158" t="s">
        <v>112</v>
      </c>
      <c r="T903" s="158" t="s">
        <v>112</v>
      </c>
      <c r="U903" s="158" t="s">
        <v>112</v>
      </c>
      <c r="V903" s="156" t="s">
        <v>1024</v>
      </c>
      <c r="W903" s="158" t="s">
        <v>112</v>
      </c>
      <c r="X903" s="158" t="s">
        <v>112</v>
      </c>
      <c r="Y903" s="158" t="s">
        <v>112</v>
      </c>
      <c r="Z903" s="8" t="s">
        <v>149</v>
      </c>
      <c r="AA903" s="23" t="s">
        <v>115</v>
      </c>
      <c r="AB903" s="8"/>
      <c r="AE903" s="24"/>
      <c r="AM903" s="24"/>
    </row>
    <row r="904" ht="15.75" customHeight="1">
      <c r="A904" s="8">
        <v>493.0</v>
      </c>
      <c r="B904" s="158" t="s">
        <v>2867</v>
      </c>
      <c r="C904" s="156" t="s">
        <v>48</v>
      </c>
      <c r="D904" s="158" t="s">
        <v>112</v>
      </c>
      <c r="E904" s="158" t="s">
        <v>112</v>
      </c>
      <c r="F904" s="215">
        <v>41399.0</v>
      </c>
      <c r="G904" s="164">
        <v>41395.0</v>
      </c>
      <c r="H904" s="161" t="str">
        <f t="shared" si="38"/>
        <v>2013</v>
      </c>
      <c r="I904" s="8" t="s">
        <v>186</v>
      </c>
      <c r="J904" s="158" t="s">
        <v>112</v>
      </c>
      <c r="K904" s="158" t="s">
        <v>112</v>
      </c>
      <c r="L904" s="156" t="s">
        <v>100</v>
      </c>
      <c r="M904" s="211" t="s">
        <v>112</v>
      </c>
      <c r="N904" s="158" t="s">
        <v>112</v>
      </c>
      <c r="O904" s="8" t="s">
        <v>2393</v>
      </c>
      <c r="P904" s="158" t="s">
        <v>106</v>
      </c>
      <c r="Q904" s="158" t="s">
        <v>112</v>
      </c>
      <c r="R904" s="158" t="s">
        <v>112</v>
      </c>
      <c r="S904" s="158" t="s">
        <v>112</v>
      </c>
      <c r="T904" s="158" t="s">
        <v>112</v>
      </c>
      <c r="U904" s="158" t="s">
        <v>112</v>
      </c>
      <c r="V904" s="156" t="s">
        <v>480</v>
      </c>
      <c r="W904" s="158" t="s">
        <v>112</v>
      </c>
      <c r="X904" s="158" t="s">
        <v>112</v>
      </c>
      <c r="Y904" s="158" t="s">
        <v>112</v>
      </c>
      <c r="Z904" s="8" t="s">
        <v>149</v>
      </c>
      <c r="AA904" s="23" t="s">
        <v>115</v>
      </c>
      <c r="AB904" s="8"/>
      <c r="AE904" s="24"/>
      <c r="AM904" s="24"/>
    </row>
    <row r="905" ht="15.75" customHeight="1">
      <c r="A905" s="8">
        <v>495.0</v>
      </c>
      <c r="B905" s="158" t="s">
        <v>2868</v>
      </c>
      <c r="C905" s="156" t="s">
        <v>48</v>
      </c>
      <c r="D905" s="158" t="s">
        <v>112</v>
      </c>
      <c r="E905" s="158" t="s">
        <v>112</v>
      </c>
      <c r="F905" s="215">
        <v>41403.0</v>
      </c>
      <c r="G905" s="164">
        <v>41395.0</v>
      </c>
      <c r="H905" s="161" t="str">
        <f t="shared" si="38"/>
        <v>2013</v>
      </c>
      <c r="I905" s="8" t="s">
        <v>186</v>
      </c>
      <c r="J905" s="158" t="s">
        <v>112</v>
      </c>
      <c r="K905" s="158" t="s">
        <v>112</v>
      </c>
      <c r="L905" s="156" t="s">
        <v>100</v>
      </c>
      <c r="M905" s="211" t="s">
        <v>112</v>
      </c>
      <c r="N905" s="158" t="s">
        <v>112</v>
      </c>
      <c r="O905" s="8" t="s">
        <v>751</v>
      </c>
      <c r="P905" s="158" t="s">
        <v>106</v>
      </c>
      <c r="Q905" s="158" t="s">
        <v>112</v>
      </c>
      <c r="R905" s="158" t="s">
        <v>112</v>
      </c>
      <c r="S905" s="158" t="s">
        <v>112</v>
      </c>
      <c r="T905" s="158" t="s">
        <v>112</v>
      </c>
      <c r="U905" s="158" t="s">
        <v>112</v>
      </c>
      <c r="V905" s="156" t="s">
        <v>480</v>
      </c>
      <c r="W905" s="158" t="s">
        <v>112</v>
      </c>
      <c r="X905" s="158" t="s">
        <v>112</v>
      </c>
      <c r="Y905" s="158" t="s">
        <v>112</v>
      </c>
      <c r="Z905" s="8" t="s">
        <v>149</v>
      </c>
      <c r="AA905" s="23" t="s">
        <v>115</v>
      </c>
      <c r="AB905" s="8"/>
      <c r="AE905" s="24"/>
      <c r="AM905" s="24"/>
    </row>
    <row r="906" ht="15.75" customHeight="1">
      <c r="A906" s="8">
        <v>496.0</v>
      </c>
      <c r="B906" s="158" t="s">
        <v>2869</v>
      </c>
      <c r="C906" s="156" t="s">
        <v>48</v>
      </c>
      <c r="D906" s="158" t="s">
        <v>112</v>
      </c>
      <c r="E906" s="158" t="s">
        <v>112</v>
      </c>
      <c r="F906" s="215">
        <v>41403.0</v>
      </c>
      <c r="G906" s="164">
        <v>41395.0</v>
      </c>
      <c r="H906" s="161" t="str">
        <f t="shared" si="38"/>
        <v>2013</v>
      </c>
      <c r="I906" s="8" t="s">
        <v>846</v>
      </c>
      <c r="J906" s="158" t="s">
        <v>112</v>
      </c>
      <c r="K906" s="158" t="s">
        <v>112</v>
      </c>
      <c r="L906" s="156" t="s">
        <v>100</v>
      </c>
      <c r="M906" s="211" t="s">
        <v>177</v>
      </c>
      <c r="N906" s="158" t="s">
        <v>2557</v>
      </c>
      <c r="O906" s="8" t="s">
        <v>751</v>
      </c>
      <c r="P906" s="158" t="s">
        <v>106</v>
      </c>
      <c r="Q906" s="158" t="s">
        <v>112</v>
      </c>
      <c r="R906" s="158" t="s">
        <v>112</v>
      </c>
      <c r="S906" s="158" t="s">
        <v>112</v>
      </c>
      <c r="T906" s="158" t="s">
        <v>112</v>
      </c>
      <c r="U906" s="158" t="s">
        <v>112</v>
      </c>
      <c r="V906" s="156" t="s">
        <v>480</v>
      </c>
      <c r="W906" s="158" t="s">
        <v>112</v>
      </c>
      <c r="X906" s="158" t="s">
        <v>112</v>
      </c>
      <c r="Y906" s="158" t="s">
        <v>112</v>
      </c>
      <c r="Z906" s="8" t="s">
        <v>149</v>
      </c>
      <c r="AA906" s="23" t="s">
        <v>115</v>
      </c>
      <c r="AB906" s="8"/>
      <c r="AE906" s="24"/>
      <c r="AM906" s="24"/>
    </row>
    <row r="907" ht="15.75" customHeight="1">
      <c r="A907" s="8">
        <v>497.0</v>
      </c>
      <c r="B907" s="158" t="s">
        <v>2870</v>
      </c>
      <c r="C907" s="156" t="s">
        <v>48</v>
      </c>
      <c r="D907" s="158" t="s">
        <v>112</v>
      </c>
      <c r="E907" s="158" t="s">
        <v>112</v>
      </c>
      <c r="F907" s="215">
        <v>41403.0</v>
      </c>
      <c r="G907" s="164">
        <v>41395.0</v>
      </c>
      <c r="H907" s="161" t="str">
        <f t="shared" si="38"/>
        <v>2013</v>
      </c>
      <c r="I907" s="8" t="s">
        <v>63</v>
      </c>
      <c r="J907" s="158" t="s">
        <v>112</v>
      </c>
      <c r="K907" s="158" t="s">
        <v>112</v>
      </c>
      <c r="L907" s="156" t="s">
        <v>100</v>
      </c>
      <c r="M907" s="211" t="s">
        <v>112</v>
      </c>
      <c r="N907" s="158" t="s">
        <v>2871</v>
      </c>
      <c r="O907" s="8" t="s">
        <v>751</v>
      </c>
      <c r="P907" s="158" t="s">
        <v>106</v>
      </c>
      <c r="Q907" s="158" t="s">
        <v>112</v>
      </c>
      <c r="R907" s="158" t="s">
        <v>112</v>
      </c>
      <c r="S907" s="158" t="s">
        <v>112</v>
      </c>
      <c r="T907" s="158" t="s">
        <v>112</v>
      </c>
      <c r="U907" s="158" t="s">
        <v>112</v>
      </c>
      <c r="V907" s="156" t="s">
        <v>480</v>
      </c>
      <c r="W907" s="158" t="s">
        <v>112</v>
      </c>
      <c r="X907" s="158" t="s">
        <v>112</v>
      </c>
      <c r="Y907" s="158" t="s">
        <v>112</v>
      </c>
      <c r="Z907" s="8" t="s">
        <v>149</v>
      </c>
      <c r="AA907" s="23" t="s">
        <v>115</v>
      </c>
      <c r="AB907" s="8"/>
      <c r="AE907" s="24"/>
      <c r="AM907" s="24"/>
    </row>
    <row r="908" ht="15.75" customHeight="1">
      <c r="A908" s="8">
        <v>498.0</v>
      </c>
      <c r="B908" s="158" t="s">
        <v>2872</v>
      </c>
      <c r="C908" s="156" t="s">
        <v>48</v>
      </c>
      <c r="D908" s="158" t="s">
        <v>112</v>
      </c>
      <c r="E908" s="158" t="s">
        <v>112</v>
      </c>
      <c r="F908" s="215">
        <v>41405.0</v>
      </c>
      <c r="G908" s="164">
        <v>41395.0</v>
      </c>
      <c r="H908" s="161" t="str">
        <f t="shared" si="38"/>
        <v>2013</v>
      </c>
      <c r="I908" s="8" t="s">
        <v>186</v>
      </c>
      <c r="J908" s="158" t="s">
        <v>112</v>
      </c>
      <c r="K908" s="158" t="s">
        <v>112</v>
      </c>
      <c r="L908" s="156" t="s">
        <v>100</v>
      </c>
      <c r="M908" s="211" t="s">
        <v>112</v>
      </c>
      <c r="N908" s="158" t="s">
        <v>2873</v>
      </c>
      <c r="O908" s="8" t="s">
        <v>2393</v>
      </c>
      <c r="P908" s="158" t="s">
        <v>106</v>
      </c>
      <c r="Q908" s="158" t="s">
        <v>112</v>
      </c>
      <c r="R908" s="158" t="s">
        <v>112</v>
      </c>
      <c r="S908" s="158" t="s">
        <v>112</v>
      </c>
      <c r="T908" s="158" t="s">
        <v>112</v>
      </c>
      <c r="U908" s="158" t="s">
        <v>112</v>
      </c>
      <c r="V908" s="156" t="s">
        <v>480</v>
      </c>
      <c r="W908" s="158" t="s">
        <v>112</v>
      </c>
      <c r="X908" s="158" t="s">
        <v>112</v>
      </c>
      <c r="Y908" s="158" t="s">
        <v>112</v>
      </c>
      <c r="Z908" s="8" t="s">
        <v>149</v>
      </c>
      <c r="AA908" s="23" t="s">
        <v>115</v>
      </c>
      <c r="AB908" s="8"/>
      <c r="AE908" s="24"/>
      <c r="AM908" s="24"/>
    </row>
    <row r="909" ht="15.75" customHeight="1">
      <c r="A909" s="8">
        <v>499.0</v>
      </c>
      <c r="B909" s="158" t="s">
        <v>2874</v>
      </c>
      <c r="C909" s="156" t="s">
        <v>48</v>
      </c>
      <c r="D909" s="158" t="s">
        <v>112</v>
      </c>
      <c r="E909" s="158" t="s">
        <v>112</v>
      </c>
      <c r="F909" s="215">
        <v>41405.0</v>
      </c>
      <c r="G909" s="164">
        <v>41395.0</v>
      </c>
      <c r="H909" s="161" t="str">
        <f t="shared" si="38"/>
        <v>2013</v>
      </c>
      <c r="I909" s="8" t="s">
        <v>172</v>
      </c>
      <c r="J909" s="158" t="s">
        <v>112</v>
      </c>
      <c r="K909" s="158" t="s">
        <v>112</v>
      </c>
      <c r="L909" s="156" t="s">
        <v>100</v>
      </c>
      <c r="M909" s="211" t="s">
        <v>112</v>
      </c>
      <c r="N909" s="158" t="s">
        <v>2875</v>
      </c>
      <c r="O909" s="8" t="s">
        <v>2393</v>
      </c>
      <c r="P909" s="158" t="s">
        <v>106</v>
      </c>
      <c r="Q909" s="158" t="s">
        <v>112</v>
      </c>
      <c r="R909" s="158" t="s">
        <v>112</v>
      </c>
      <c r="S909" s="158" t="s">
        <v>112</v>
      </c>
      <c r="T909" s="158" t="s">
        <v>112</v>
      </c>
      <c r="U909" s="158" t="s">
        <v>112</v>
      </c>
      <c r="V909" s="156" t="s">
        <v>480</v>
      </c>
      <c r="W909" s="158" t="s">
        <v>112</v>
      </c>
      <c r="X909" s="158" t="s">
        <v>112</v>
      </c>
      <c r="Y909" s="158" t="s">
        <v>112</v>
      </c>
      <c r="Z909" s="8" t="s">
        <v>149</v>
      </c>
      <c r="AA909" s="23" t="s">
        <v>115</v>
      </c>
      <c r="AB909" s="8"/>
      <c r="AE909" s="24"/>
      <c r="AM909" s="24"/>
    </row>
    <row r="910" ht="15.75" customHeight="1">
      <c r="A910" s="8">
        <v>500.0</v>
      </c>
      <c r="B910" s="158" t="s">
        <v>2876</v>
      </c>
      <c r="C910" s="156" t="s">
        <v>48</v>
      </c>
      <c r="D910" s="158" t="s">
        <v>112</v>
      </c>
      <c r="E910" s="158" t="s">
        <v>112</v>
      </c>
      <c r="F910" s="215">
        <v>41406.0</v>
      </c>
      <c r="G910" s="164">
        <v>41395.0</v>
      </c>
      <c r="H910" s="161" t="str">
        <f t="shared" si="38"/>
        <v>2013</v>
      </c>
      <c r="I910" s="8" t="s">
        <v>186</v>
      </c>
      <c r="J910" s="158" t="s">
        <v>112</v>
      </c>
      <c r="K910" s="158" t="s">
        <v>112</v>
      </c>
      <c r="L910" s="156" t="s">
        <v>100</v>
      </c>
      <c r="M910" s="211" t="s">
        <v>112</v>
      </c>
      <c r="N910" s="158" t="s">
        <v>2877</v>
      </c>
      <c r="O910" s="8" t="s">
        <v>2393</v>
      </c>
      <c r="P910" s="158" t="s">
        <v>106</v>
      </c>
      <c r="Q910" s="158" t="s">
        <v>112</v>
      </c>
      <c r="R910" s="158" t="s">
        <v>112</v>
      </c>
      <c r="S910" s="158" t="s">
        <v>112</v>
      </c>
      <c r="T910" s="158" t="s">
        <v>112</v>
      </c>
      <c r="U910" s="158" t="s">
        <v>112</v>
      </c>
      <c r="V910" s="156" t="s">
        <v>480</v>
      </c>
      <c r="W910" s="158" t="s">
        <v>112</v>
      </c>
      <c r="X910" s="158" t="s">
        <v>112</v>
      </c>
      <c r="Y910" s="158" t="s">
        <v>112</v>
      </c>
      <c r="Z910" s="8" t="s">
        <v>149</v>
      </c>
      <c r="AA910" s="23" t="s">
        <v>115</v>
      </c>
      <c r="AB910" s="8"/>
      <c r="AE910" s="24"/>
      <c r="AM910" s="24"/>
    </row>
    <row r="911" ht="15.75" customHeight="1">
      <c r="A911" s="8">
        <v>501.0</v>
      </c>
      <c r="B911" s="158" t="s">
        <v>2878</v>
      </c>
      <c r="C911" s="156" t="s">
        <v>48</v>
      </c>
      <c r="D911" s="158" t="s">
        <v>112</v>
      </c>
      <c r="E911" s="158" t="s">
        <v>112</v>
      </c>
      <c r="F911" s="215">
        <v>41406.0</v>
      </c>
      <c r="G911" s="164">
        <v>41395.0</v>
      </c>
      <c r="H911" s="161" t="str">
        <f t="shared" si="38"/>
        <v>2013</v>
      </c>
      <c r="I911" s="8" t="s">
        <v>172</v>
      </c>
      <c r="J911" s="158" t="s">
        <v>112</v>
      </c>
      <c r="K911" s="158" t="s">
        <v>112</v>
      </c>
      <c r="L911" s="156" t="s">
        <v>100</v>
      </c>
      <c r="M911" s="211" t="s">
        <v>112</v>
      </c>
      <c r="N911" s="158" t="s">
        <v>2879</v>
      </c>
      <c r="O911" s="8" t="s">
        <v>2393</v>
      </c>
      <c r="P911" s="158" t="s">
        <v>106</v>
      </c>
      <c r="Q911" s="158" t="s">
        <v>112</v>
      </c>
      <c r="R911" s="158" t="s">
        <v>112</v>
      </c>
      <c r="S911" s="158" t="s">
        <v>112</v>
      </c>
      <c r="T911" s="158" t="s">
        <v>112</v>
      </c>
      <c r="U911" s="158" t="s">
        <v>112</v>
      </c>
      <c r="V911" s="156" t="s">
        <v>480</v>
      </c>
      <c r="W911" s="158" t="s">
        <v>112</v>
      </c>
      <c r="X911" s="158" t="s">
        <v>112</v>
      </c>
      <c r="Y911" s="158" t="s">
        <v>112</v>
      </c>
      <c r="Z911" s="8" t="s">
        <v>149</v>
      </c>
      <c r="AA911" s="23" t="s">
        <v>115</v>
      </c>
      <c r="AB911" s="8"/>
      <c r="AE911" s="24"/>
      <c r="AM911" s="24"/>
    </row>
    <row r="912" ht="15.75" customHeight="1">
      <c r="A912" s="8">
        <v>509.0</v>
      </c>
      <c r="B912" s="158" t="s">
        <v>2880</v>
      </c>
      <c r="C912" s="156" t="s">
        <v>48</v>
      </c>
      <c r="D912" s="158" t="s">
        <v>112</v>
      </c>
      <c r="E912" s="158" t="s">
        <v>112</v>
      </c>
      <c r="F912" s="215">
        <v>41428.0</v>
      </c>
      <c r="G912" s="164">
        <v>41426.0</v>
      </c>
      <c r="H912" s="161" t="str">
        <f t="shared" si="38"/>
        <v>2013</v>
      </c>
      <c r="I912" s="8" t="s">
        <v>172</v>
      </c>
      <c r="J912" s="158" t="s">
        <v>112</v>
      </c>
      <c r="K912" s="158" t="s">
        <v>112</v>
      </c>
      <c r="L912" s="156" t="s">
        <v>1336</v>
      </c>
      <c r="M912" s="211" t="s">
        <v>112</v>
      </c>
      <c r="N912" s="158" t="s">
        <v>112</v>
      </c>
      <c r="O912" s="8" t="s">
        <v>1336</v>
      </c>
      <c r="P912" s="158" t="s">
        <v>106</v>
      </c>
      <c r="Q912" s="158" t="s">
        <v>112</v>
      </c>
      <c r="R912" s="158" t="s">
        <v>112</v>
      </c>
      <c r="S912" s="158" t="s">
        <v>112</v>
      </c>
      <c r="T912" s="158" t="s">
        <v>112</v>
      </c>
      <c r="U912" s="158" t="s">
        <v>112</v>
      </c>
      <c r="V912" s="156" t="s">
        <v>480</v>
      </c>
      <c r="W912" s="158" t="s">
        <v>112</v>
      </c>
      <c r="X912" s="158" t="s">
        <v>112</v>
      </c>
      <c r="Y912" s="158" t="s">
        <v>112</v>
      </c>
      <c r="Z912" s="8" t="s">
        <v>149</v>
      </c>
      <c r="AA912" s="23" t="s">
        <v>115</v>
      </c>
      <c r="AB912" s="8"/>
      <c r="AE912" s="24"/>
      <c r="AM912" s="24"/>
    </row>
    <row r="913" ht="15.75" customHeight="1">
      <c r="A913" s="8">
        <v>511.0</v>
      </c>
      <c r="B913" s="158" t="s">
        <v>2881</v>
      </c>
      <c r="C913" s="156" t="s">
        <v>48</v>
      </c>
      <c r="D913" s="158" t="s">
        <v>112</v>
      </c>
      <c r="E913" s="158" t="s">
        <v>112</v>
      </c>
      <c r="F913" s="215">
        <v>41601.0</v>
      </c>
      <c r="G913" s="164">
        <v>41579.0</v>
      </c>
      <c r="H913" s="161" t="str">
        <f t="shared" si="38"/>
        <v>2013</v>
      </c>
      <c r="I913" s="8" t="s">
        <v>176</v>
      </c>
      <c r="J913" s="158" t="s">
        <v>112</v>
      </c>
      <c r="K913" s="158" t="s">
        <v>112</v>
      </c>
      <c r="L913" s="156" t="s">
        <v>1336</v>
      </c>
      <c r="M913" s="190" t="s">
        <v>177</v>
      </c>
      <c r="N913" s="158" t="s">
        <v>112</v>
      </c>
      <c r="O913" s="8" t="s">
        <v>1336</v>
      </c>
      <c r="P913" s="158" t="s">
        <v>106</v>
      </c>
      <c r="Q913" s="158" t="s">
        <v>112</v>
      </c>
      <c r="R913" s="158" t="s">
        <v>112</v>
      </c>
      <c r="S913" s="158" t="s">
        <v>112</v>
      </c>
      <c r="T913" s="158" t="s">
        <v>112</v>
      </c>
      <c r="U913" s="158" t="s">
        <v>112</v>
      </c>
      <c r="V913" s="156" t="s">
        <v>480</v>
      </c>
      <c r="W913" s="158" t="s">
        <v>112</v>
      </c>
      <c r="X913" s="158" t="s">
        <v>112</v>
      </c>
      <c r="Y913" s="158" t="s">
        <v>112</v>
      </c>
      <c r="Z913" s="8" t="s">
        <v>149</v>
      </c>
      <c r="AA913" s="23" t="s">
        <v>115</v>
      </c>
      <c r="AB913" s="8"/>
      <c r="AE913" s="24"/>
      <c r="AM913" s="24"/>
    </row>
    <row r="914" ht="15.75" customHeight="1">
      <c r="A914" s="8">
        <v>552.0</v>
      </c>
      <c r="B914" s="158" t="s">
        <v>2882</v>
      </c>
      <c r="C914" s="156" t="s">
        <v>52</v>
      </c>
      <c r="D914" s="158" t="s">
        <v>523</v>
      </c>
      <c r="E914" s="158" t="s">
        <v>112</v>
      </c>
      <c r="F914" s="215">
        <v>41627.0</v>
      </c>
      <c r="G914" s="161">
        <v>41609.0</v>
      </c>
      <c r="H914" s="161" t="str">
        <f t="shared" si="38"/>
        <v>2013</v>
      </c>
      <c r="I914" s="8" t="s">
        <v>172</v>
      </c>
      <c r="J914" s="158" t="s">
        <v>112</v>
      </c>
      <c r="K914" s="158" t="s">
        <v>112</v>
      </c>
      <c r="L914" s="158" t="s">
        <v>1336</v>
      </c>
      <c r="M914" s="211" t="s">
        <v>177</v>
      </c>
      <c r="N914" s="158" t="s">
        <v>2883</v>
      </c>
      <c r="O914" s="288" t="s">
        <v>2884</v>
      </c>
      <c r="P914" s="158" t="s">
        <v>106</v>
      </c>
      <c r="Q914" s="158" t="s">
        <v>112</v>
      </c>
      <c r="R914" s="158" t="s">
        <v>112</v>
      </c>
      <c r="S914" s="158" t="s">
        <v>112</v>
      </c>
      <c r="T914" s="128"/>
      <c r="U914" s="128"/>
      <c r="V914" s="158" t="s">
        <v>112</v>
      </c>
      <c r="W914" s="158" t="s">
        <v>112</v>
      </c>
      <c r="X914" s="158" t="s">
        <v>112</v>
      </c>
      <c r="Y914" s="158" t="s">
        <v>112</v>
      </c>
      <c r="Z914" s="8" t="s">
        <v>149</v>
      </c>
      <c r="AA914" s="23" t="s">
        <v>115</v>
      </c>
      <c r="AB914" s="8"/>
      <c r="AC914" s="289"/>
      <c r="AD914" s="289"/>
      <c r="AE914" s="24"/>
      <c r="AF914" s="289"/>
      <c r="AG914" s="289"/>
      <c r="AH914" s="289"/>
      <c r="AI914" s="289"/>
      <c r="AJ914" s="289"/>
      <c r="AK914" s="289"/>
      <c r="AL914" s="289"/>
      <c r="AM914" s="24"/>
      <c r="AN914" s="289"/>
      <c r="AO914" s="289"/>
      <c r="AP914" s="289"/>
      <c r="AQ914" s="289"/>
      <c r="AR914" s="289"/>
      <c r="AS914" s="289"/>
      <c r="AT914" s="289"/>
      <c r="AU914" s="289"/>
      <c r="AV914" s="289"/>
      <c r="AW914" s="289"/>
      <c r="AX914" s="289"/>
      <c r="AY914" s="289"/>
      <c r="AZ914" s="289"/>
      <c r="BA914" s="289"/>
      <c r="BB914" s="289"/>
      <c r="BC914" s="289"/>
      <c r="BD914" s="289"/>
      <c r="BE914" s="289"/>
      <c r="BF914" s="289"/>
      <c r="BG914" s="289"/>
      <c r="BH914" s="289"/>
      <c r="BI914" s="289"/>
      <c r="BJ914" s="289"/>
      <c r="BK914" s="289"/>
      <c r="BL914" s="289"/>
      <c r="BM914" s="289"/>
      <c r="BN914" s="289"/>
      <c r="BO914" s="289"/>
      <c r="BP914" s="289"/>
      <c r="BQ914" s="289"/>
      <c r="BR914" s="289"/>
      <c r="BS914" s="289"/>
      <c r="BT914" s="289"/>
      <c r="BU914" s="289"/>
      <c r="BV914" s="289"/>
      <c r="BW914" s="289"/>
      <c r="BX914" s="289"/>
      <c r="BY914" s="289"/>
    </row>
    <row r="915" ht="15.75" customHeight="1">
      <c r="A915" s="8">
        <v>554.0</v>
      </c>
      <c r="B915" s="158" t="s">
        <v>2885</v>
      </c>
      <c r="C915" s="158" t="s">
        <v>53</v>
      </c>
      <c r="D915" s="158" t="s">
        <v>2886</v>
      </c>
      <c r="E915" s="158" t="s">
        <v>112</v>
      </c>
      <c r="F915" s="215">
        <v>41645.0</v>
      </c>
      <c r="G915" s="164">
        <v>41640.0</v>
      </c>
      <c r="H915" s="161" t="str">
        <f t="shared" si="38"/>
        <v>2014</v>
      </c>
      <c r="I915" s="8" t="s">
        <v>176</v>
      </c>
      <c r="J915" s="158" t="s">
        <v>112</v>
      </c>
      <c r="K915" s="158" t="s">
        <v>112</v>
      </c>
      <c r="L915" s="158" t="s">
        <v>100</v>
      </c>
      <c r="M915" s="157" t="s">
        <v>177</v>
      </c>
      <c r="N915" s="158" t="s">
        <v>2887</v>
      </c>
      <c r="O915" s="8" t="s">
        <v>2888</v>
      </c>
      <c r="P915" s="158" t="s">
        <v>106</v>
      </c>
      <c r="Q915" s="158" t="s">
        <v>112</v>
      </c>
      <c r="R915" s="158" t="s">
        <v>112</v>
      </c>
      <c r="S915" s="158" t="s">
        <v>112</v>
      </c>
      <c r="T915" s="158" t="s">
        <v>112</v>
      </c>
      <c r="U915" s="158" t="s">
        <v>112</v>
      </c>
      <c r="V915" s="158" t="s">
        <v>112</v>
      </c>
      <c r="W915" s="158" t="s">
        <v>112</v>
      </c>
      <c r="X915" s="158" t="s">
        <v>112</v>
      </c>
      <c r="Y915" s="158" t="s">
        <v>112</v>
      </c>
      <c r="Z915" s="8" t="s">
        <v>149</v>
      </c>
      <c r="AA915" s="23" t="s">
        <v>115</v>
      </c>
      <c r="AB915" s="8"/>
      <c r="AE915" s="24"/>
      <c r="AM915" s="24"/>
    </row>
    <row r="916" ht="15.75" customHeight="1">
      <c r="A916" s="8">
        <v>555.0</v>
      </c>
      <c r="B916" s="158" t="s">
        <v>2889</v>
      </c>
      <c r="C916" s="158" t="s">
        <v>53</v>
      </c>
      <c r="D916" s="158" t="s">
        <v>2886</v>
      </c>
      <c r="E916" s="158" t="s">
        <v>112</v>
      </c>
      <c r="F916" s="215">
        <v>41645.0</v>
      </c>
      <c r="G916" s="164">
        <v>41640.0</v>
      </c>
      <c r="H916" s="161" t="str">
        <f t="shared" si="38"/>
        <v>2014</v>
      </c>
      <c r="I916" s="8" t="s">
        <v>176</v>
      </c>
      <c r="J916" s="158" t="s">
        <v>112</v>
      </c>
      <c r="K916" s="158" t="s">
        <v>112</v>
      </c>
      <c r="L916" s="158" t="s">
        <v>100</v>
      </c>
      <c r="M916" s="157" t="s">
        <v>177</v>
      </c>
      <c r="N916" s="158" t="s">
        <v>2887</v>
      </c>
      <c r="O916" s="8" t="s">
        <v>2890</v>
      </c>
      <c r="P916" s="158" t="s">
        <v>106</v>
      </c>
      <c r="Q916" s="158" t="s">
        <v>112</v>
      </c>
      <c r="R916" s="158" t="s">
        <v>112</v>
      </c>
      <c r="S916" s="158" t="s">
        <v>112</v>
      </c>
      <c r="T916" s="158" t="s">
        <v>112</v>
      </c>
      <c r="U916" s="158" t="s">
        <v>112</v>
      </c>
      <c r="V916" s="158" t="s">
        <v>112</v>
      </c>
      <c r="W916" s="158" t="s">
        <v>112</v>
      </c>
      <c r="X916" s="158" t="s">
        <v>112</v>
      </c>
      <c r="Y916" s="158" t="s">
        <v>112</v>
      </c>
      <c r="Z916" s="8" t="s">
        <v>149</v>
      </c>
      <c r="AA916" s="23" t="s">
        <v>115</v>
      </c>
      <c r="AB916" s="8"/>
      <c r="AE916" s="24"/>
      <c r="AM916" s="24"/>
    </row>
    <row r="917" ht="15.75" customHeight="1">
      <c r="A917" s="8">
        <v>577.0</v>
      </c>
      <c r="B917" s="158" t="s">
        <v>2891</v>
      </c>
      <c r="C917" s="158" t="s">
        <v>51</v>
      </c>
      <c r="D917" s="158" t="s">
        <v>112</v>
      </c>
      <c r="E917" s="158" t="s">
        <v>112</v>
      </c>
      <c r="F917" s="215">
        <v>41790.0</v>
      </c>
      <c r="G917" s="164">
        <v>41760.0</v>
      </c>
      <c r="H917" s="161" t="str">
        <f t="shared" si="38"/>
        <v>2014</v>
      </c>
      <c r="I917" s="8" t="s">
        <v>176</v>
      </c>
      <c r="J917" s="158" t="s">
        <v>112</v>
      </c>
      <c r="K917" s="158" t="s">
        <v>112</v>
      </c>
      <c r="L917" s="158" t="s">
        <v>100</v>
      </c>
      <c r="M917" s="211" t="s">
        <v>177</v>
      </c>
      <c r="N917" s="158" t="s">
        <v>112</v>
      </c>
      <c r="O917" s="8"/>
      <c r="P917" s="158" t="s">
        <v>106</v>
      </c>
      <c r="Q917" s="158" t="s">
        <v>112</v>
      </c>
      <c r="R917" s="158" t="s">
        <v>112</v>
      </c>
      <c r="S917" s="158" t="s">
        <v>112</v>
      </c>
      <c r="T917" s="158" t="s">
        <v>112</v>
      </c>
      <c r="U917" s="158" t="s">
        <v>112</v>
      </c>
      <c r="V917" s="158" t="s">
        <v>109</v>
      </c>
      <c r="W917" s="158" t="s">
        <v>112</v>
      </c>
      <c r="X917" s="158" t="s">
        <v>112</v>
      </c>
      <c r="Y917" s="158" t="s">
        <v>112</v>
      </c>
      <c r="Z917" s="8" t="s">
        <v>149</v>
      </c>
      <c r="AA917" s="23" t="s">
        <v>115</v>
      </c>
      <c r="AB917" s="8"/>
      <c r="AE917" s="24"/>
      <c r="AM917" s="24"/>
    </row>
    <row r="918" ht="15.75" customHeight="1">
      <c r="A918" s="8">
        <v>579.0</v>
      </c>
      <c r="B918" s="158" t="s">
        <v>2892</v>
      </c>
      <c r="C918" s="158" t="s">
        <v>51</v>
      </c>
      <c r="D918" s="158" t="s">
        <v>112</v>
      </c>
      <c r="E918" s="158" t="s">
        <v>112</v>
      </c>
      <c r="F918" s="215">
        <v>41803.0</v>
      </c>
      <c r="G918" s="164">
        <v>41791.0</v>
      </c>
      <c r="H918" s="161" t="str">
        <f t="shared" si="38"/>
        <v>2014</v>
      </c>
      <c r="I918" s="8" t="s">
        <v>172</v>
      </c>
      <c r="J918" s="158" t="s">
        <v>112</v>
      </c>
      <c r="K918" s="158" t="s">
        <v>112</v>
      </c>
      <c r="L918" s="158" t="s">
        <v>100</v>
      </c>
      <c r="M918" s="211" t="s">
        <v>112</v>
      </c>
      <c r="N918" s="158" t="s">
        <v>2893</v>
      </c>
      <c r="O918" s="8"/>
      <c r="P918" s="158" t="s">
        <v>106</v>
      </c>
      <c r="Q918" s="158" t="s">
        <v>112</v>
      </c>
      <c r="R918" s="158" t="s">
        <v>112</v>
      </c>
      <c r="S918" s="158" t="s">
        <v>112</v>
      </c>
      <c r="T918" s="158" t="s">
        <v>112</v>
      </c>
      <c r="U918" s="158" t="s">
        <v>112</v>
      </c>
      <c r="V918" s="158" t="s">
        <v>109</v>
      </c>
      <c r="W918" s="158" t="s">
        <v>112</v>
      </c>
      <c r="X918" s="158" t="s">
        <v>112</v>
      </c>
      <c r="Y918" s="158" t="s">
        <v>112</v>
      </c>
      <c r="Z918" s="8" t="s">
        <v>149</v>
      </c>
      <c r="AA918" s="23" t="s">
        <v>115</v>
      </c>
      <c r="AB918" s="8"/>
      <c r="AE918" s="24"/>
      <c r="AM918" s="24"/>
    </row>
    <row r="919" ht="15.75" customHeight="1">
      <c r="A919" s="8">
        <v>583.0</v>
      </c>
      <c r="B919" s="188" t="s">
        <v>2894</v>
      </c>
      <c r="C919" s="156" t="s">
        <v>48</v>
      </c>
      <c r="D919" s="157" t="s">
        <v>112</v>
      </c>
      <c r="E919" s="158" t="s">
        <v>112</v>
      </c>
      <c r="F919" s="159">
        <v>41821.0</v>
      </c>
      <c r="G919" s="160">
        <v>41821.0</v>
      </c>
      <c r="H919" s="161" t="str">
        <f t="shared" si="38"/>
        <v>2014</v>
      </c>
      <c r="I919" s="8" t="s">
        <v>176</v>
      </c>
      <c r="J919" s="157" t="s">
        <v>112</v>
      </c>
      <c r="K919" s="157" t="s">
        <v>112</v>
      </c>
      <c r="L919" s="156" t="s">
        <v>2895</v>
      </c>
      <c r="M919" s="211" t="s">
        <v>112</v>
      </c>
      <c r="N919" s="158" t="s">
        <v>112</v>
      </c>
      <c r="O919" s="23" t="s">
        <v>2896</v>
      </c>
      <c r="P919" s="158" t="s">
        <v>106</v>
      </c>
      <c r="Q919" s="157" t="s">
        <v>112</v>
      </c>
      <c r="R919" s="158" t="s">
        <v>112</v>
      </c>
      <c r="S919" s="158" t="s">
        <v>112</v>
      </c>
      <c r="T919" s="158" t="s">
        <v>112</v>
      </c>
      <c r="U919" s="158" t="s">
        <v>112</v>
      </c>
      <c r="V919" s="158" t="s">
        <v>2897</v>
      </c>
      <c r="W919" s="157" t="s">
        <v>112</v>
      </c>
      <c r="X919" s="157" t="s">
        <v>112</v>
      </c>
      <c r="Y919" s="157" t="s">
        <v>112</v>
      </c>
      <c r="Z919" s="8" t="s">
        <v>149</v>
      </c>
      <c r="AA919" s="23" t="s">
        <v>115</v>
      </c>
      <c r="AB919" s="8"/>
      <c r="AE919" s="24"/>
      <c r="AM919" s="24"/>
    </row>
    <row r="920" ht="15.75" customHeight="1">
      <c r="A920" s="8">
        <v>585.0</v>
      </c>
      <c r="B920" s="158" t="s">
        <v>2898</v>
      </c>
      <c r="C920" s="158" t="s">
        <v>51</v>
      </c>
      <c r="D920" s="158" t="s">
        <v>112</v>
      </c>
      <c r="E920" s="158" t="s">
        <v>112</v>
      </c>
      <c r="F920" s="215">
        <v>41856.0</v>
      </c>
      <c r="G920" s="164">
        <v>41852.0</v>
      </c>
      <c r="H920" s="161" t="str">
        <f t="shared" si="38"/>
        <v>2014</v>
      </c>
      <c r="I920" s="8" t="s">
        <v>186</v>
      </c>
      <c r="J920" s="158" t="s">
        <v>112</v>
      </c>
      <c r="K920" s="158" t="s">
        <v>112</v>
      </c>
      <c r="L920" s="158" t="s">
        <v>100</v>
      </c>
      <c r="M920" s="211" t="s">
        <v>112</v>
      </c>
      <c r="N920" s="156" t="s">
        <v>2899</v>
      </c>
      <c r="O920" s="8"/>
      <c r="P920" s="158" t="s">
        <v>106</v>
      </c>
      <c r="Q920" s="158" t="s">
        <v>112</v>
      </c>
      <c r="R920" s="158" t="s">
        <v>112</v>
      </c>
      <c r="S920" s="158" t="s">
        <v>112</v>
      </c>
      <c r="T920" s="158" t="s">
        <v>112</v>
      </c>
      <c r="U920" s="158" t="s">
        <v>112</v>
      </c>
      <c r="V920" s="158" t="s">
        <v>109</v>
      </c>
      <c r="W920" s="158" t="s">
        <v>112</v>
      </c>
      <c r="X920" s="158" t="s">
        <v>112</v>
      </c>
      <c r="Y920" s="158" t="s">
        <v>112</v>
      </c>
      <c r="Z920" s="8" t="s">
        <v>149</v>
      </c>
      <c r="AA920" s="23" t="s">
        <v>115</v>
      </c>
      <c r="AB920" s="8"/>
      <c r="AE920" s="24"/>
      <c r="AM920" s="24"/>
    </row>
    <row r="921" ht="15.75" customHeight="1">
      <c r="A921" s="8">
        <v>586.0</v>
      </c>
      <c r="B921" s="158" t="s">
        <v>2900</v>
      </c>
      <c r="C921" s="158" t="s">
        <v>51</v>
      </c>
      <c r="D921" s="158" t="s">
        <v>112</v>
      </c>
      <c r="E921" s="158" t="s">
        <v>112</v>
      </c>
      <c r="F921" s="215">
        <v>41856.0</v>
      </c>
      <c r="G921" s="164">
        <v>41852.0</v>
      </c>
      <c r="H921" s="161" t="str">
        <f t="shared" si="38"/>
        <v>2014</v>
      </c>
      <c r="I921" s="8" t="s">
        <v>172</v>
      </c>
      <c r="J921" s="158" t="s">
        <v>112</v>
      </c>
      <c r="K921" s="158" t="s">
        <v>112</v>
      </c>
      <c r="L921" s="158" t="s">
        <v>100</v>
      </c>
      <c r="M921" s="211" t="s">
        <v>112</v>
      </c>
      <c r="N921" s="158" t="s">
        <v>2901</v>
      </c>
      <c r="O921" s="8"/>
      <c r="P921" s="158" t="s">
        <v>106</v>
      </c>
      <c r="Q921" s="158" t="s">
        <v>112</v>
      </c>
      <c r="R921" s="158" t="s">
        <v>112</v>
      </c>
      <c r="S921" s="158" t="s">
        <v>112</v>
      </c>
      <c r="T921" s="158" t="s">
        <v>112</v>
      </c>
      <c r="U921" s="158" t="s">
        <v>112</v>
      </c>
      <c r="V921" s="158" t="s">
        <v>109</v>
      </c>
      <c r="W921" s="158" t="s">
        <v>112</v>
      </c>
      <c r="X921" s="158" t="s">
        <v>112</v>
      </c>
      <c r="Y921" s="158" t="s">
        <v>112</v>
      </c>
      <c r="Z921" s="8" t="s">
        <v>149</v>
      </c>
      <c r="AA921" s="23" t="s">
        <v>115</v>
      </c>
      <c r="AB921" s="8"/>
      <c r="AE921" s="24"/>
      <c r="AM921" s="24"/>
    </row>
    <row r="922" ht="15.75" customHeight="1">
      <c r="A922" s="8">
        <v>588.0</v>
      </c>
      <c r="B922" s="158" t="s">
        <v>2902</v>
      </c>
      <c r="C922" s="158" t="s">
        <v>51</v>
      </c>
      <c r="D922" s="158" t="s">
        <v>112</v>
      </c>
      <c r="E922" s="158" t="s">
        <v>112</v>
      </c>
      <c r="F922" s="215">
        <v>41901.0</v>
      </c>
      <c r="G922" s="164">
        <v>41883.0</v>
      </c>
      <c r="H922" s="161" t="str">
        <f t="shared" si="38"/>
        <v>2014</v>
      </c>
      <c r="I922" s="8" t="s">
        <v>176</v>
      </c>
      <c r="J922" s="158" t="s">
        <v>112</v>
      </c>
      <c r="K922" s="158" t="s">
        <v>112</v>
      </c>
      <c r="L922" s="158" t="s">
        <v>100</v>
      </c>
      <c r="M922" s="211" t="s">
        <v>177</v>
      </c>
      <c r="N922" s="158" t="s">
        <v>2903</v>
      </c>
      <c r="O922" s="8"/>
      <c r="P922" s="158" t="s">
        <v>106</v>
      </c>
      <c r="Q922" s="158" t="s">
        <v>112</v>
      </c>
      <c r="R922" s="158" t="s">
        <v>112</v>
      </c>
      <c r="S922" s="158" t="s">
        <v>112</v>
      </c>
      <c r="T922" s="158" t="s">
        <v>112</v>
      </c>
      <c r="U922" s="158" t="s">
        <v>112</v>
      </c>
      <c r="V922" s="158" t="s">
        <v>109</v>
      </c>
      <c r="W922" s="158" t="s">
        <v>112</v>
      </c>
      <c r="X922" s="158" t="s">
        <v>112</v>
      </c>
      <c r="Y922" s="158" t="s">
        <v>112</v>
      </c>
      <c r="Z922" s="8" t="s">
        <v>149</v>
      </c>
      <c r="AA922" s="23" t="s">
        <v>115</v>
      </c>
      <c r="AB922" s="8"/>
      <c r="AE922" s="24"/>
      <c r="AM922" s="24"/>
    </row>
    <row r="923" ht="15.75" customHeight="1">
      <c r="A923" s="8">
        <v>596.0</v>
      </c>
      <c r="B923" s="188" t="s">
        <v>2904</v>
      </c>
      <c r="C923" s="158" t="s">
        <v>57</v>
      </c>
      <c r="D923" s="158" t="s">
        <v>112</v>
      </c>
      <c r="E923" s="158" t="s">
        <v>112</v>
      </c>
      <c r="F923" s="215">
        <v>2015.0</v>
      </c>
      <c r="G923" s="161">
        <v>42186.0</v>
      </c>
      <c r="H923" s="161" t="str">
        <f t="shared" si="38"/>
        <v>2015</v>
      </c>
      <c r="I923" s="8" t="s">
        <v>176</v>
      </c>
      <c r="J923" s="158" t="s">
        <v>112</v>
      </c>
      <c r="K923" s="158" t="s">
        <v>112</v>
      </c>
      <c r="L923" s="158" t="s">
        <v>100</v>
      </c>
      <c r="M923" s="156" t="s">
        <v>177</v>
      </c>
      <c r="N923" s="158" t="s">
        <v>2905</v>
      </c>
      <c r="O923" s="8" t="s">
        <v>2906</v>
      </c>
      <c r="P923" s="158" t="s">
        <v>106</v>
      </c>
      <c r="Q923" s="158" t="s">
        <v>112</v>
      </c>
      <c r="R923" s="158" t="s">
        <v>112</v>
      </c>
      <c r="S923" s="158" t="s">
        <v>112</v>
      </c>
      <c r="T923" s="158" t="s">
        <v>112</v>
      </c>
      <c r="U923" s="158" t="s">
        <v>112</v>
      </c>
      <c r="V923" s="158" t="s">
        <v>2074</v>
      </c>
      <c r="W923" s="158" t="s">
        <v>112</v>
      </c>
      <c r="X923" s="158" t="s">
        <v>112</v>
      </c>
      <c r="Y923" s="158" t="s">
        <v>112</v>
      </c>
      <c r="Z923" s="8" t="s">
        <v>149</v>
      </c>
      <c r="AA923" s="23" t="s">
        <v>115</v>
      </c>
      <c r="AB923" s="8"/>
      <c r="AE923" s="24"/>
      <c r="AM923" s="24"/>
    </row>
    <row r="924" ht="15.75" customHeight="1">
      <c r="A924" s="8">
        <v>597.0</v>
      </c>
      <c r="B924" s="188" t="s">
        <v>2907</v>
      </c>
      <c r="C924" s="158" t="s">
        <v>57</v>
      </c>
      <c r="D924" s="158" t="s">
        <v>112</v>
      </c>
      <c r="E924" s="158" t="s">
        <v>112</v>
      </c>
      <c r="F924" s="215">
        <v>2015.0</v>
      </c>
      <c r="G924" s="161">
        <v>42186.0</v>
      </c>
      <c r="H924" s="161" t="str">
        <f t="shared" si="38"/>
        <v>2015</v>
      </c>
      <c r="I924" s="8" t="s">
        <v>774</v>
      </c>
      <c r="J924" s="158" t="s">
        <v>112</v>
      </c>
      <c r="K924" s="158" t="s">
        <v>112</v>
      </c>
      <c r="L924" s="158" t="s">
        <v>100</v>
      </c>
      <c r="M924" s="156" t="s">
        <v>513</v>
      </c>
      <c r="N924" s="158" t="s">
        <v>112</v>
      </c>
      <c r="O924" s="8" t="s">
        <v>2908</v>
      </c>
      <c r="P924" s="158" t="s">
        <v>106</v>
      </c>
      <c r="Q924" s="158" t="s">
        <v>112</v>
      </c>
      <c r="R924" s="158" t="s">
        <v>112</v>
      </c>
      <c r="S924" s="158" t="s">
        <v>112</v>
      </c>
      <c r="T924" s="158" t="s">
        <v>112</v>
      </c>
      <c r="U924" s="158" t="s">
        <v>112</v>
      </c>
      <c r="V924" s="158" t="s">
        <v>2231</v>
      </c>
      <c r="W924" s="158" t="s">
        <v>112</v>
      </c>
      <c r="X924" s="158" t="s">
        <v>112</v>
      </c>
      <c r="Y924" s="158" t="s">
        <v>112</v>
      </c>
      <c r="Z924" s="8" t="s">
        <v>149</v>
      </c>
      <c r="AA924" s="23" t="s">
        <v>115</v>
      </c>
      <c r="AB924" s="8"/>
      <c r="AE924" s="24"/>
      <c r="AM924" s="24"/>
    </row>
    <row r="925" ht="15.75" customHeight="1">
      <c r="A925" s="8">
        <v>600.0</v>
      </c>
      <c r="B925" s="158" t="s">
        <v>2909</v>
      </c>
      <c r="C925" s="158" t="s">
        <v>53</v>
      </c>
      <c r="D925" s="158" t="s">
        <v>2910</v>
      </c>
      <c r="E925" s="158" t="s">
        <v>112</v>
      </c>
      <c r="F925" s="215">
        <v>42053.0</v>
      </c>
      <c r="G925" s="164">
        <v>42036.0</v>
      </c>
      <c r="H925" s="161" t="str">
        <f t="shared" si="38"/>
        <v>2015</v>
      </c>
      <c r="I925" s="8" t="s">
        <v>176</v>
      </c>
      <c r="J925" s="158" t="s">
        <v>112</v>
      </c>
      <c r="K925" s="158" t="s">
        <v>112</v>
      </c>
      <c r="L925" s="158" t="s">
        <v>100</v>
      </c>
      <c r="M925" s="157" t="s">
        <v>177</v>
      </c>
      <c r="N925" s="158" t="s">
        <v>2911</v>
      </c>
      <c r="O925" s="8" t="s">
        <v>2912</v>
      </c>
      <c r="P925" s="158" t="s">
        <v>106</v>
      </c>
      <c r="Q925" s="158" t="s">
        <v>112</v>
      </c>
      <c r="R925" s="158" t="s">
        <v>112</v>
      </c>
      <c r="S925" s="158" t="s">
        <v>112</v>
      </c>
      <c r="T925" s="158" t="s">
        <v>112</v>
      </c>
      <c r="U925" s="158" t="s">
        <v>112</v>
      </c>
      <c r="V925" s="158" t="s">
        <v>109</v>
      </c>
      <c r="W925" s="158" t="s">
        <v>112</v>
      </c>
      <c r="X925" s="158" t="s">
        <v>112</v>
      </c>
      <c r="Y925" s="158" t="s">
        <v>112</v>
      </c>
      <c r="Z925" s="8" t="s">
        <v>149</v>
      </c>
      <c r="AA925" s="23" t="s">
        <v>115</v>
      </c>
      <c r="AB925" s="8"/>
      <c r="AE925" s="24"/>
      <c r="AM925" s="24"/>
    </row>
    <row r="926" ht="15.75" customHeight="1">
      <c r="A926" s="8">
        <v>601.0</v>
      </c>
      <c r="B926" s="158" t="s">
        <v>2913</v>
      </c>
      <c r="C926" s="158" t="s">
        <v>51</v>
      </c>
      <c r="D926" s="158" t="s">
        <v>112</v>
      </c>
      <c r="E926" s="158" t="s">
        <v>112</v>
      </c>
      <c r="F926" s="215">
        <v>42055.0</v>
      </c>
      <c r="G926" s="164">
        <v>42036.0</v>
      </c>
      <c r="H926" s="161" t="str">
        <f t="shared" si="38"/>
        <v>2015</v>
      </c>
      <c r="I926" s="8" t="s">
        <v>186</v>
      </c>
      <c r="J926" s="158" t="s">
        <v>112</v>
      </c>
      <c r="K926" s="158" t="s">
        <v>112</v>
      </c>
      <c r="L926" s="158" t="s">
        <v>100</v>
      </c>
      <c r="M926" s="211" t="s">
        <v>112</v>
      </c>
      <c r="N926" s="158" t="s">
        <v>112</v>
      </c>
      <c r="O926" s="8"/>
      <c r="P926" s="158" t="s">
        <v>106</v>
      </c>
      <c r="Q926" s="158" t="s">
        <v>112</v>
      </c>
      <c r="R926" s="158" t="s">
        <v>112</v>
      </c>
      <c r="S926" s="158" t="s">
        <v>112</v>
      </c>
      <c r="T926" s="158" t="s">
        <v>112</v>
      </c>
      <c r="U926" s="158" t="s">
        <v>112</v>
      </c>
      <c r="V926" s="158" t="s">
        <v>109</v>
      </c>
      <c r="W926" s="158" t="s">
        <v>112</v>
      </c>
      <c r="X926" s="158" t="s">
        <v>112</v>
      </c>
      <c r="Y926" s="158" t="s">
        <v>112</v>
      </c>
      <c r="Z926" s="8" t="s">
        <v>149</v>
      </c>
      <c r="AA926" s="23" t="s">
        <v>115</v>
      </c>
      <c r="AB926" s="8"/>
      <c r="AE926" s="24"/>
      <c r="AM926" s="24"/>
    </row>
    <row r="927" ht="15.75" customHeight="1">
      <c r="A927" s="8">
        <v>602.0</v>
      </c>
      <c r="B927" s="158" t="s">
        <v>2914</v>
      </c>
      <c r="C927" s="158" t="s">
        <v>51</v>
      </c>
      <c r="D927" s="158" t="s">
        <v>112</v>
      </c>
      <c r="E927" s="158" t="s">
        <v>112</v>
      </c>
      <c r="F927" s="215">
        <v>42055.0</v>
      </c>
      <c r="G927" s="164">
        <v>42036.0</v>
      </c>
      <c r="H927" s="161" t="str">
        <f t="shared" si="38"/>
        <v>2015</v>
      </c>
      <c r="I927" s="8" t="s">
        <v>63</v>
      </c>
      <c r="J927" s="158" t="s">
        <v>112</v>
      </c>
      <c r="K927" s="158" t="s">
        <v>112</v>
      </c>
      <c r="L927" s="158" t="s">
        <v>100</v>
      </c>
      <c r="M927" s="211" t="s">
        <v>112</v>
      </c>
      <c r="N927" s="158" t="s">
        <v>2915</v>
      </c>
      <c r="O927" s="8"/>
      <c r="P927" s="158" t="s">
        <v>106</v>
      </c>
      <c r="Q927" s="158" t="s">
        <v>112</v>
      </c>
      <c r="R927" s="158" t="s">
        <v>112</v>
      </c>
      <c r="S927" s="158" t="s">
        <v>112</v>
      </c>
      <c r="T927" s="158" t="s">
        <v>112</v>
      </c>
      <c r="U927" s="158" t="s">
        <v>112</v>
      </c>
      <c r="V927" s="158" t="s">
        <v>109</v>
      </c>
      <c r="W927" s="158" t="s">
        <v>112</v>
      </c>
      <c r="X927" s="158" t="s">
        <v>112</v>
      </c>
      <c r="Y927" s="158" t="s">
        <v>112</v>
      </c>
      <c r="Z927" s="8" t="s">
        <v>149</v>
      </c>
      <c r="AA927" s="23" t="s">
        <v>115</v>
      </c>
      <c r="AB927" s="8"/>
      <c r="AE927" s="24"/>
      <c r="AM927" s="24"/>
    </row>
    <row r="928" ht="15.75" customHeight="1">
      <c r="A928" s="8">
        <v>606.0</v>
      </c>
      <c r="B928" s="188" t="s">
        <v>2916</v>
      </c>
      <c r="C928" s="156" t="s">
        <v>48</v>
      </c>
      <c r="D928" s="157" t="s">
        <v>112</v>
      </c>
      <c r="E928" s="158" t="s">
        <v>112</v>
      </c>
      <c r="F928" s="159">
        <v>42065.0</v>
      </c>
      <c r="G928" s="160">
        <v>42064.0</v>
      </c>
      <c r="H928" s="161" t="str">
        <f t="shared" si="38"/>
        <v>2015</v>
      </c>
      <c r="I928" s="8" t="s">
        <v>176</v>
      </c>
      <c r="J928" s="157" t="s">
        <v>112</v>
      </c>
      <c r="K928" s="157" t="s">
        <v>112</v>
      </c>
      <c r="L928" s="156" t="s">
        <v>100</v>
      </c>
      <c r="M928" s="161" t="s">
        <v>177</v>
      </c>
      <c r="N928" s="158" t="s">
        <v>112</v>
      </c>
      <c r="O928" s="8" t="s">
        <v>2917</v>
      </c>
      <c r="P928" s="158" t="s">
        <v>106</v>
      </c>
      <c r="Q928" s="157" t="s">
        <v>112</v>
      </c>
      <c r="R928" s="158" t="s">
        <v>112</v>
      </c>
      <c r="S928" s="158" t="s">
        <v>112</v>
      </c>
      <c r="T928" s="158" t="s">
        <v>112</v>
      </c>
      <c r="U928" s="158" t="s">
        <v>112</v>
      </c>
      <c r="V928" s="158" t="s">
        <v>2918</v>
      </c>
      <c r="W928" s="157" t="s">
        <v>112</v>
      </c>
      <c r="X928" s="157" t="s">
        <v>112</v>
      </c>
      <c r="Y928" s="157" t="s">
        <v>112</v>
      </c>
      <c r="Z928" s="8" t="s">
        <v>149</v>
      </c>
      <c r="AA928" s="23" t="s">
        <v>115</v>
      </c>
      <c r="AB928" s="8"/>
      <c r="AE928" s="24"/>
      <c r="AM928" s="24"/>
    </row>
    <row r="929" ht="15.75" customHeight="1">
      <c r="A929" s="8">
        <v>607.0</v>
      </c>
      <c r="B929" s="158" t="s">
        <v>2919</v>
      </c>
      <c r="C929" s="156" t="s">
        <v>48</v>
      </c>
      <c r="D929" s="158" t="s">
        <v>112</v>
      </c>
      <c r="E929" s="158" t="s">
        <v>112</v>
      </c>
      <c r="F929" s="215">
        <v>42081.0</v>
      </c>
      <c r="G929" s="164">
        <v>42064.0</v>
      </c>
      <c r="H929" s="161" t="str">
        <f t="shared" si="38"/>
        <v>2015</v>
      </c>
      <c r="I929" s="8" t="s">
        <v>172</v>
      </c>
      <c r="J929" s="158" t="s">
        <v>112</v>
      </c>
      <c r="K929" s="158" t="s">
        <v>112</v>
      </c>
      <c r="L929" s="156" t="s">
        <v>112</v>
      </c>
      <c r="M929" s="211" t="s">
        <v>112</v>
      </c>
      <c r="N929" s="158" t="s">
        <v>112</v>
      </c>
      <c r="O929" s="8"/>
      <c r="P929" s="158" t="s">
        <v>106</v>
      </c>
      <c r="Q929" s="158" t="s">
        <v>112</v>
      </c>
      <c r="R929" s="158" t="s">
        <v>112</v>
      </c>
      <c r="S929" s="158" t="s">
        <v>112</v>
      </c>
      <c r="T929" s="158" t="s">
        <v>112</v>
      </c>
      <c r="U929" s="158" t="s">
        <v>112</v>
      </c>
      <c r="V929" s="156" t="s">
        <v>717</v>
      </c>
      <c r="W929" s="158" t="s">
        <v>112</v>
      </c>
      <c r="X929" s="158" t="s">
        <v>112</v>
      </c>
      <c r="Y929" s="158" t="s">
        <v>112</v>
      </c>
      <c r="Z929" s="8" t="s">
        <v>149</v>
      </c>
      <c r="AA929" s="23" t="s">
        <v>115</v>
      </c>
      <c r="AB929" s="8"/>
      <c r="AE929" s="24"/>
      <c r="AM929" s="24"/>
    </row>
    <row r="930" ht="15.75" customHeight="1">
      <c r="A930" s="8">
        <v>613.0</v>
      </c>
      <c r="B930" s="158" t="s">
        <v>2920</v>
      </c>
      <c r="C930" s="158" t="s">
        <v>51</v>
      </c>
      <c r="D930" s="158" t="s">
        <v>112</v>
      </c>
      <c r="E930" s="158" t="s">
        <v>112</v>
      </c>
      <c r="F930" s="215">
        <v>42130.0</v>
      </c>
      <c r="G930" s="164">
        <v>42125.0</v>
      </c>
      <c r="H930" s="161" t="str">
        <f t="shared" si="38"/>
        <v>2015</v>
      </c>
      <c r="I930" s="8" t="s">
        <v>186</v>
      </c>
      <c r="J930" s="158" t="s">
        <v>112</v>
      </c>
      <c r="K930" s="158" t="s">
        <v>112</v>
      </c>
      <c r="L930" s="158" t="s">
        <v>100</v>
      </c>
      <c r="M930" s="211" t="s">
        <v>112</v>
      </c>
      <c r="N930" s="158" t="s">
        <v>2921</v>
      </c>
      <c r="O930" s="8"/>
      <c r="P930" s="158" t="s">
        <v>106</v>
      </c>
      <c r="Q930" s="158" t="s">
        <v>112</v>
      </c>
      <c r="R930" s="158" t="s">
        <v>112</v>
      </c>
      <c r="S930" s="158" t="s">
        <v>112</v>
      </c>
      <c r="T930" s="162"/>
      <c r="U930" s="162"/>
      <c r="V930" s="158" t="s">
        <v>109</v>
      </c>
      <c r="W930" s="158" t="s">
        <v>112</v>
      </c>
      <c r="X930" s="158" t="s">
        <v>112</v>
      </c>
      <c r="Y930" s="158" t="s">
        <v>112</v>
      </c>
      <c r="Z930" s="8" t="s">
        <v>149</v>
      </c>
      <c r="AA930" s="23" t="s">
        <v>115</v>
      </c>
      <c r="AB930" s="8"/>
      <c r="AE930" s="24"/>
      <c r="AM930" s="24"/>
    </row>
    <row r="931" ht="15.75" customHeight="1">
      <c r="A931" s="8">
        <v>614.0</v>
      </c>
      <c r="B931" s="158" t="s">
        <v>2922</v>
      </c>
      <c r="C931" s="156" t="s">
        <v>48</v>
      </c>
      <c r="D931" s="158" t="s">
        <v>112</v>
      </c>
      <c r="E931" s="158" t="s">
        <v>112</v>
      </c>
      <c r="F931" s="215">
        <v>42135.0</v>
      </c>
      <c r="G931" s="164">
        <v>42125.0</v>
      </c>
      <c r="H931" s="161" t="str">
        <f t="shared" si="38"/>
        <v>2015</v>
      </c>
      <c r="I931" s="8" t="s">
        <v>176</v>
      </c>
      <c r="J931" s="158" t="s">
        <v>112</v>
      </c>
      <c r="K931" s="158" t="s">
        <v>112</v>
      </c>
      <c r="L931" s="156" t="s">
        <v>100</v>
      </c>
      <c r="M931" s="190" t="s">
        <v>513</v>
      </c>
      <c r="N931" s="158" t="s">
        <v>2923</v>
      </c>
      <c r="O931" s="8" t="s">
        <v>2924</v>
      </c>
      <c r="P931" s="158" t="s">
        <v>106</v>
      </c>
      <c r="Q931" s="158" t="s">
        <v>112</v>
      </c>
      <c r="R931" s="158" t="s">
        <v>112</v>
      </c>
      <c r="S931" s="158" t="s">
        <v>112</v>
      </c>
      <c r="T931" s="156">
        <v>-2.56184033</v>
      </c>
      <c r="U931" s="156">
        <v>-76.19256342</v>
      </c>
      <c r="V931" s="156" t="s">
        <v>2925</v>
      </c>
      <c r="W931" s="158" t="s">
        <v>112</v>
      </c>
      <c r="X931" s="158" t="s">
        <v>112</v>
      </c>
      <c r="Y931" s="158" t="s">
        <v>112</v>
      </c>
      <c r="Z931" s="8" t="s">
        <v>149</v>
      </c>
      <c r="AA931" s="23" t="s">
        <v>115</v>
      </c>
      <c r="AB931" s="8"/>
      <c r="AE931" s="24"/>
      <c r="AM931" s="24"/>
    </row>
    <row r="932" ht="15.75" customHeight="1">
      <c r="A932" s="8">
        <v>615.0</v>
      </c>
      <c r="B932" s="158" t="s">
        <v>2926</v>
      </c>
      <c r="C932" s="158" t="s">
        <v>51</v>
      </c>
      <c r="D932" s="158" t="s">
        <v>112</v>
      </c>
      <c r="E932" s="158" t="s">
        <v>112</v>
      </c>
      <c r="F932" s="215">
        <v>42135.0</v>
      </c>
      <c r="G932" s="164">
        <v>42125.0</v>
      </c>
      <c r="H932" s="161" t="str">
        <f t="shared" si="38"/>
        <v>2015</v>
      </c>
      <c r="I932" s="8" t="s">
        <v>186</v>
      </c>
      <c r="J932" s="158" t="s">
        <v>112</v>
      </c>
      <c r="K932" s="158" t="s">
        <v>112</v>
      </c>
      <c r="L932" s="158" t="s">
        <v>100</v>
      </c>
      <c r="M932" s="211" t="s">
        <v>112</v>
      </c>
      <c r="N932" s="158" t="s">
        <v>2927</v>
      </c>
      <c r="O932" s="8"/>
      <c r="P932" s="158" t="s">
        <v>106</v>
      </c>
      <c r="Q932" s="158" t="s">
        <v>112</v>
      </c>
      <c r="R932" s="158" t="s">
        <v>112</v>
      </c>
      <c r="S932" s="158" t="s">
        <v>112</v>
      </c>
      <c r="T932" s="158" t="s">
        <v>112</v>
      </c>
      <c r="U932" s="158" t="s">
        <v>112</v>
      </c>
      <c r="V932" s="158" t="s">
        <v>109</v>
      </c>
      <c r="W932" s="158" t="s">
        <v>112</v>
      </c>
      <c r="X932" s="158" t="s">
        <v>112</v>
      </c>
      <c r="Y932" s="158" t="s">
        <v>112</v>
      </c>
      <c r="Z932" s="8" t="s">
        <v>149</v>
      </c>
      <c r="AA932" s="23" t="s">
        <v>115</v>
      </c>
      <c r="AB932" s="8"/>
      <c r="AE932" s="24"/>
      <c r="AM932" s="24"/>
    </row>
    <row r="933" ht="15.75" customHeight="1">
      <c r="A933" s="8">
        <v>616.0</v>
      </c>
      <c r="B933" s="158" t="s">
        <v>2928</v>
      </c>
      <c r="C933" s="158" t="s">
        <v>51</v>
      </c>
      <c r="D933" s="158" t="s">
        <v>112</v>
      </c>
      <c r="E933" s="158" t="s">
        <v>112</v>
      </c>
      <c r="F933" s="215">
        <v>42150.0</v>
      </c>
      <c r="G933" s="164">
        <v>42125.0</v>
      </c>
      <c r="H933" s="161" t="str">
        <f t="shared" si="38"/>
        <v>2015</v>
      </c>
      <c r="I933" s="8" t="s">
        <v>186</v>
      </c>
      <c r="J933" s="158" t="s">
        <v>112</v>
      </c>
      <c r="K933" s="158" t="s">
        <v>112</v>
      </c>
      <c r="L933" s="158" t="s">
        <v>100</v>
      </c>
      <c r="M933" s="211" t="s">
        <v>112</v>
      </c>
      <c r="N933" s="158" t="s">
        <v>2929</v>
      </c>
      <c r="O933" s="8"/>
      <c r="P933" s="158" t="s">
        <v>106</v>
      </c>
      <c r="Q933" s="158" t="s">
        <v>112</v>
      </c>
      <c r="R933" s="158" t="s">
        <v>112</v>
      </c>
      <c r="S933" s="158" t="s">
        <v>112</v>
      </c>
      <c r="T933" s="158" t="s">
        <v>112</v>
      </c>
      <c r="U933" s="158" t="s">
        <v>112</v>
      </c>
      <c r="V933" s="158" t="s">
        <v>109</v>
      </c>
      <c r="W933" s="158" t="s">
        <v>112</v>
      </c>
      <c r="X933" s="158" t="s">
        <v>112</v>
      </c>
      <c r="Y933" s="158" t="s">
        <v>112</v>
      </c>
      <c r="Z933" s="8" t="s">
        <v>149</v>
      </c>
      <c r="AA933" s="23" t="s">
        <v>115</v>
      </c>
      <c r="AB933" s="8"/>
      <c r="AE933" s="24"/>
      <c r="AM933" s="24"/>
    </row>
    <row r="934" ht="15.75" customHeight="1">
      <c r="A934" s="8">
        <v>617.0</v>
      </c>
      <c r="B934" s="158" t="s">
        <v>2930</v>
      </c>
      <c r="C934" s="158" t="s">
        <v>51</v>
      </c>
      <c r="D934" s="158" t="s">
        <v>112</v>
      </c>
      <c r="E934" s="158" t="s">
        <v>112</v>
      </c>
      <c r="F934" s="215">
        <v>42156.0</v>
      </c>
      <c r="G934" s="164">
        <v>42156.0</v>
      </c>
      <c r="H934" s="161" t="str">
        <f t="shared" si="38"/>
        <v>2015</v>
      </c>
      <c r="I934" s="8" t="s">
        <v>186</v>
      </c>
      <c r="J934" s="158" t="s">
        <v>112</v>
      </c>
      <c r="K934" s="158" t="s">
        <v>112</v>
      </c>
      <c r="L934" s="158" t="s">
        <v>100</v>
      </c>
      <c r="M934" s="211" t="s">
        <v>112</v>
      </c>
      <c r="N934" s="158" t="s">
        <v>490</v>
      </c>
      <c r="O934" s="8"/>
      <c r="P934" s="158" t="s">
        <v>106</v>
      </c>
      <c r="Q934" s="158" t="s">
        <v>112</v>
      </c>
      <c r="R934" s="34" t="s">
        <v>112</v>
      </c>
      <c r="S934" s="158" t="s">
        <v>112</v>
      </c>
      <c r="T934" s="158" t="s">
        <v>112</v>
      </c>
      <c r="U934" s="158" t="s">
        <v>112</v>
      </c>
      <c r="V934" s="158" t="s">
        <v>109</v>
      </c>
      <c r="W934" s="158" t="s">
        <v>112</v>
      </c>
      <c r="X934" s="158" t="s">
        <v>112</v>
      </c>
      <c r="Y934" s="158" t="s">
        <v>112</v>
      </c>
      <c r="Z934" s="8" t="s">
        <v>149</v>
      </c>
      <c r="AA934" s="23" t="s">
        <v>115</v>
      </c>
      <c r="AB934" s="8"/>
      <c r="AE934" s="24"/>
      <c r="AM934" s="24"/>
    </row>
    <row r="935" ht="15.75" customHeight="1">
      <c r="A935" s="8">
        <v>618.0</v>
      </c>
      <c r="B935" s="158" t="s">
        <v>2931</v>
      </c>
      <c r="C935" s="158" t="s">
        <v>51</v>
      </c>
      <c r="D935" s="158" t="s">
        <v>112</v>
      </c>
      <c r="E935" s="158" t="s">
        <v>112</v>
      </c>
      <c r="F935" s="215">
        <v>42156.0</v>
      </c>
      <c r="G935" s="164">
        <v>42156.0</v>
      </c>
      <c r="H935" s="161" t="str">
        <f t="shared" si="38"/>
        <v>2015</v>
      </c>
      <c r="I935" s="8" t="s">
        <v>186</v>
      </c>
      <c r="J935" s="158" t="s">
        <v>112</v>
      </c>
      <c r="K935" s="158" t="s">
        <v>112</v>
      </c>
      <c r="L935" s="158" t="s">
        <v>100</v>
      </c>
      <c r="M935" s="211" t="s">
        <v>112</v>
      </c>
      <c r="N935" s="158" t="s">
        <v>490</v>
      </c>
      <c r="O935" s="8"/>
      <c r="P935" s="158" t="s">
        <v>106</v>
      </c>
      <c r="Q935" s="158" t="s">
        <v>112</v>
      </c>
      <c r="R935" s="158" t="s">
        <v>112</v>
      </c>
      <c r="S935" s="158" t="s">
        <v>112</v>
      </c>
      <c r="T935" s="158" t="s">
        <v>112</v>
      </c>
      <c r="U935" s="158" t="s">
        <v>112</v>
      </c>
      <c r="V935" s="158" t="s">
        <v>109</v>
      </c>
      <c r="W935" s="158" t="s">
        <v>112</v>
      </c>
      <c r="X935" s="158" t="s">
        <v>112</v>
      </c>
      <c r="Y935" s="158" t="s">
        <v>112</v>
      </c>
      <c r="Z935" s="8" t="s">
        <v>149</v>
      </c>
      <c r="AA935" s="23" t="s">
        <v>115</v>
      </c>
      <c r="AB935" s="8"/>
      <c r="AE935" s="24"/>
      <c r="AM935" s="24"/>
    </row>
    <row r="936" ht="15.75" customHeight="1">
      <c r="A936" s="8">
        <v>634.0</v>
      </c>
      <c r="B936" s="39" t="s">
        <v>2932</v>
      </c>
      <c r="C936" s="59" t="s">
        <v>51</v>
      </c>
      <c r="D936" s="39" t="s">
        <v>112</v>
      </c>
      <c r="E936" s="39" t="s">
        <v>112</v>
      </c>
      <c r="F936" s="90" t="s">
        <v>2933</v>
      </c>
      <c r="G936" s="41">
        <v>42278.0</v>
      </c>
      <c r="H936" s="290" t="str">
        <f t="shared" si="38"/>
        <v>2015</v>
      </c>
      <c r="I936" s="8" t="s">
        <v>63</v>
      </c>
      <c r="J936" s="39" t="s">
        <v>112</v>
      </c>
      <c r="K936" s="39" t="s">
        <v>112</v>
      </c>
      <c r="L936" s="39" t="s">
        <v>100</v>
      </c>
      <c r="M936" s="43" t="s">
        <v>112</v>
      </c>
      <c r="N936" s="39" t="s">
        <v>2934</v>
      </c>
      <c r="O936" s="8"/>
      <c r="P936" s="39" t="s">
        <v>106</v>
      </c>
      <c r="Q936" s="39" t="s">
        <v>112</v>
      </c>
      <c r="R936" s="39" t="s">
        <v>112</v>
      </c>
      <c r="S936" s="39" t="s">
        <v>112</v>
      </c>
      <c r="T936" s="39" t="s">
        <v>112</v>
      </c>
      <c r="U936" s="39" t="s">
        <v>112</v>
      </c>
      <c r="V936" s="59" t="s">
        <v>446</v>
      </c>
      <c r="W936" s="39" t="s">
        <v>112</v>
      </c>
      <c r="X936" s="39" t="s">
        <v>112</v>
      </c>
      <c r="Y936" s="39" t="s">
        <v>112</v>
      </c>
      <c r="Z936" s="8" t="s">
        <v>69</v>
      </c>
      <c r="AA936" s="23" t="s">
        <v>115</v>
      </c>
      <c r="AB936" s="8"/>
      <c r="AC936" s="58"/>
      <c r="AD936" s="58"/>
      <c r="AE936" s="58"/>
      <c r="AF936" s="58"/>
      <c r="AG936" s="58"/>
      <c r="AH936" s="58"/>
      <c r="AI936" s="58"/>
      <c r="AJ936" s="58"/>
      <c r="AK936" s="58"/>
      <c r="AL936" s="58"/>
      <c r="AM936" s="58"/>
      <c r="AN936" s="58"/>
      <c r="AO936" s="58"/>
      <c r="AP936" s="58"/>
      <c r="AQ936" s="58"/>
      <c r="AR936" s="58"/>
      <c r="AS936" s="58"/>
      <c r="AT936" s="291"/>
      <c r="AU936" s="291"/>
      <c r="AV936" s="291"/>
      <c r="AW936" s="291"/>
      <c r="AX936" s="291"/>
      <c r="AY936" s="291"/>
      <c r="AZ936" s="291"/>
      <c r="BA936" s="291"/>
      <c r="BB936" s="291"/>
      <c r="BC936" s="291"/>
      <c r="BD936" s="291"/>
      <c r="BE936" s="291"/>
      <c r="BF936" s="291"/>
      <c r="BG936" s="291"/>
      <c r="BH936" s="291"/>
      <c r="BI936" s="291"/>
      <c r="BJ936" s="291"/>
      <c r="BK936" s="291"/>
      <c r="BL936" s="291"/>
      <c r="BM936" s="57"/>
      <c r="BN936" s="57"/>
      <c r="BO936" s="57"/>
      <c r="BP936" s="57"/>
      <c r="BQ936" s="57"/>
      <c r="BR936" s="57"/>
      <c r="BS936" s="57"/>
      <c r="BT936" s="57"/>
      <c r="BU936" s="57"/>
      <c r="BV936" s="57"/>
      <c r="BW936" s="57"/>
      <c r="BX936" s="57"/>
      <c r="BY936" s="57"/>
    </row>
    <row r="937" ht="15.75" customHeight="1">
      <c r="A937" s="8">
        <v>640.0</v>
      </c>
      <c r="B937" s="39" t="s">
        <v>2935</v>
      </c>
      <c r="C937" s="59" t="s">
        <v>51</v>
      </c>
      <c r="D937" s="39" t="s">
        <v>112</v>
      </c>
      <c r="E937" s="39" t="s">
        <v>112</v>
      </c>
      <c r="F937" s="292">
        <v>42317.0</v>
      </c>
      <c r="G937" s="41">
        <v>42309.0</v>
      </c>
      <c r="H937" s="290" t="str">
        <f t="shared" si="38"/>
        <v>2015</v>
      </c>
      <c r="I937" s="8" t="s">
        <v>63</v>
      </c>
      <c r="J937" s="39" t="s">
        <v>112</v>
      </c>
      <c r="K937" s="39" t="s">
        <v>112</v>
      </c>
      <c r="L937" s="39" t="s">
        <v>100</v>
      </c>
      <c r="M937" s="43" t="s">
        <v>112</v>
      </c>
      <c r="N937" s="39" t="s">
        <v>112</v>
      </c>
      <c r="O937" s="23" t="s">
        <v>2936</v>
      </c>
      <c r="P937" s="39" t="s">
        <v>106</v>
      </c>
      <c r="Q937" s="39" t="s">
        <v>112</v>
      </c>
      <c r="R937" s="39" t="s">
        <v>112</v>
      </c>
      <c r="S937" s="39" t="s">
        <v>112</v>
      </c>
      <c r="T937" s="39" t="s">
        <v>112</v>
      </c>
      <c r="U937" s="39" t="s">
        <v>112</v>
      </c>
      <c r="V937" s="59" t="s">
        <v>446</v>
      </c>
      <c r="W937" s="39" t="s">
        <v>112</v>
      </c>
      <c r="X937" s="39" t="s">
        <v>112</v>
      </c>
      <c r="Y937" s="39" t="s">
        <v>112</v>
      </c>
      <c r="Z937" s="8" t="s">
        <v>69</v>
      </c>
      <c r="AA937" s="23" t="s">
        <v>115</v>
      </c>
      <c r="AB937" s="154"/>
      <c r="AC937" s="58"/>
      <c r="AD937" s="58"/>
      <c r="AE937" s="58"/>
      <c r="AF937" s="58"/>
      <c r="AG937" s="58"/>
      <c r="AH937" s="58"/>
      <c r="AI937" s="58"/>
      <c r="AJ937" s="58"/>
      <c r="AK937" s="58"/>
      <c r="AL937" s="58"/>
      <c r="AM937" s="58"/>
      <c r="AN937" s="58"/>
      <c r="AO937" s="58"/>
      <c r="AP937" s="58"/>
      <c r="AQ937" s="58"/>
      <c r="AR937" s="58"/>
      <c r="AS937" s="58"/>
      <c r="AT937" s="291"/>
      <c r="AU937" s="291"/>
      <c r="AV937" s="291"/>
      <c r="AW937" s="291"/>
      <c r="AX937" s="291"/>
      <c r="AY937" s="291"/>
      <c r="AZ937" s="291"/>
      <c r="BA937" s="291"/>
      <c r="BB937" s="291"/>
      <c r="BC937" s="291"/>
      <c r="BD937" s="291"/>
      <c r="BE937" s="291"/>
      <c r="BF937" s="291"/>
      <c r="BG937" s="291"/>
      <c r="BH937" s="291"/>
      <c r="BI937" s="291"/>
      <c r="BJ937" s="291"/>
      <c r="BK937" s="291"/>
      <c r="BL937" s="291"/>
      <c r="BM937" s="57"/>
      <c r="BN937" s="57"/>
      <c r="BO937" s="57"/>
      <c r="BP937" s="57"/>
      <c r="BQ937" s="57"/>
      <c r="BR937" s="57"/>
      <c r="BS937" s="57"/>
      <c r="BT937" s="57"/>
      <c r="BU937" s="57"/>
      <c r="BV937" s="57"/>
      <c r="BW937" s="57"/>
      <c r="BX937" s="57"/>
      <c r="BY937" s="57"/>
    </row>
    <row r="938" ht="15.75" customHeight="1">
      <c r="A938" s="8">
        <v>641.0</v>
      </c>
      <c r="B938" s="39" t="s">
        <v>2937</v>
      </c>
      <c r="C938" s="59" t="s">
        <v>51</v>
      </c>
      <c r="D938" s="39" t="s">
        <v>112</v>
      </c>
      <c r="E938" s="39" t="s">
        <v>112</v>
      </c>
      <c r="F938" s="292">
        <v>42344.0</v>
      </c>
      <c r="G938" s="41">
        <v>42339.0</v>
      </c>
      <c r="H938" s="290" t="str">
        <f t="shared" si="38"/>
        <v>2015</v>
      </c>
      <c r="I938" s="8" t="s">
        <v>186</v>
      </c>
      <c r="J938" s="39" t="s">
        <v>112</v>
      </c>
      <c r="K938" s="39" t="s">
        <v>112</v>
      </c>
      <c r="L938" s="39" t="s">
        <v>100</v>
      </c>
      <c r="M938" s="43" t="s">
        <v>112</v>
      </c>
      <c r="N938" s="39" t="s">
        <v>112</v>
      </c>
      <c r="O938" s="8"/>
      <c r="P938" s="39" t="s">
        <v>106</v>
      </c>
      <c r="Q938" s="39" t="s">
        <v>112</v>
      </c>
      <c r="R938" s="39" t="s">
        <v>112</v>
      </c>
      <c r="S938" s="39" t="s">
        <v>112</v>
      </c>
      <c r="T938" s="39" t="s">
        <v>112</v>
      </c>
      <c r="U938" s="39" t="s">
        <v>112</v>
      </c>
      <c r="V938" s="59" t="s">
        <v>446</v>
      </c>
      <c r="W938" s="39" t="s">
        <v>112</v>
      </c>
      <c r="X938" s="39" t="s">
        <v>112</v>
      </c>
      <c r="Y938" s="39" t="s">
        <v>112</v>
      </c>
      <c r="Z938" s="8" t="s">
        <v>69</v>
      </c>
      <c r="AA938" s="23" t="s">
        <v>115</v>
      </c>
      <c r="AB938" s="8"/>
      <c r="AC938" s="57"/>
      <c r="AD938" s="57"/>
      <c r="AE938" s="57"/>
      <c r="AF938" s="57"/>
      <c r="AG938" s="57"/>
      <c r="AH938" s="57"/>
      <c r="AI938" s="57"/>
      <c r="AJ938" s="57"/>
      <c r="AK938" s="57"/>
      <c r="AL938" s="57"/>
      <c r="AM938" s="57"/>
      <c r="AN938" s="57"/>
      <c r="AO938" s="57"/>
      <c r="AP938" s="57"/>
      <c r="AQ938" s="57"/>
      <c r="AR938" s="57"/>
      <c r="AS938" s="57"/>
      <c r="AT938" s="57"/>
      <c r="AU938" s="57"/>
      <c r="AV938" s="57"/>
      <c r="AW938" s="57"/>
      <c r="AX938" s="57"/>
      <c r="AY938" s="57"/>
      <c r="AZ938" s="57"/>
      <c r="BA938" s="57"/>
      <c r="BB938" s="57"/>
      <c r="BC938" s="57"/>
      <c r="BD938" s="57"/>
      <c r="BE938" s="57"/>
      <c r="BF938" s="57"/>
      <c r="BG938" s="57"/>
      <c r="BH938" s="57"/>
      <c r="BI938" s="57"/>
      <c r="BJ938" s="57"/>
      <c r="BK938" s="57"/>
      <c r="BL938" s="57"/>
      <c r="BM938" s="57"/>
      <c r="BN938" s="57"/>
      <c r="BO938" s="57"/>
      <c r="BP938" s="57"/>
      <c r="BQ938" s="57"/>
      <c r="BR938" s="57"/>
      <c r="BS938" s="57"/>
      <c r="BT938" s="57"/>
      <c r="BU938" s="57"/>
      <c r="BV938" s="57"/>
      <c r="BW938" s="57"/>
      <c r="BX938" s="57"/>
      <c r="BY938" s="57"/>
    </row>
    <row r="939" ht="15.75" customHeight="1">
      <c r="A939" s="8">
        <v>642.0</v>
      </c>
      <c r="B939" s="39" t="s">
        <v>2938</v>
      </c>
      <c r="C939" s="59" t="s">
        <v>48</v>
      </c>
      <c r="D939" s="39" t="s">
        <v>112</v>
      </c>
      <c r="E939" s="39" t="s">
        <v>112</v>
      </c>
      <c r="F939" s="109">
        <v>42368.0</v>
      </c>
      <c r="G939" s="41">
        <v>42339.0</v>
      </c>
      <c r="H939" s="290" t="str">
        <f t="shared" si="38"/>
        <v>2015</v>
      </c>
      <c r="I939" s="8" t="s">
        <v>172</v>
      </c>
      <c r="J939" s="39" t="s">
        <v>112</v>
      </c>
      <c r="K939" s="39" t="s">
        <v>112</v>
      </c>
      <c r="L939" s="59" t="s">
        <v>1336</v>
      </c>
      <c r="M939" s="74" t="s">
        <v>112</v>
      </c>
      <c r="N939" s="39" t="s">
        <v>112</v>
      </c>
      <c r="O939" s="8" t="s">
        <v>2939</v>
      </c>
      <c r="P939" s="39" t="s">
        <v>106</v>
      </c>
      <c r="Q939" s="39" t="s">
        <v>112</v>
      </c>
      <c r="R939" s="59" t="s">
        <v>112</v>
      </c>
      <c r="S939" s="59" t="s">
        <v>112</v>
      </c>
      <c r="T939" s="59" t="s">
        <v>112</v>
      </c>
      <c r="U939" s="59" t="s">
        <v>112</v>
      </c>
      <c r="V939" s="59" t="s">
        <v>1339</v>
      </c>
      <c r="W939" s="39" t="s">
        <v>112</v>
      </c>
      <c r="X939" s="39" t="s">
        <v>112</v>
      </c>
      <c r="Y939" s="39" t="s">
        <v>112</v>
      </c>
      <c r="Z939" s="8" t="s">
        <v>69</v>
      </c>
      <c r="AA939" s="23" t="s">
        <v>115</v>
      </c>
      <c r="AB939" s="8"/>
      <c r="AC939" s="58"/>
      <c r="AD939" s="58"/>
      <c r="AE939" s="58"/>
      <c r="AF939" s="58"/>
      <c r="AG939" s="58"/>
      <c r="AH939" s="58"/>
      <c r="AI939" s="58"/>
      <c r="AJ939" s="58"/>
      <c r="AK939" s="58"/>
      <c r="AL939" s="58"/>
      <c r="AM939" s="58"/>
      <c r="AN939" s="58"/>
      <c r="AO939" s="58"/>
      <c r="AP939" s="58"/>
      <c r="AQ939" s="58"/>
      <c r="AR939" s="58"/>
      <c r="AS939" s="58"/>
      <c r="AT939" s="291"/>
      <c r="AU939" s="291"/>
      <c r="AV939" s="291"/>
      <c r="AW939" s="291"/>
      <c r="AX939" s="291"/>
      <c r="AY939" s="291"/>
      <c r="AZ939" s="291"/>
      <c r="BA939" s="291"/>
      <c r="BB939" s="291"/>
      <c r="BC939" s="291"/>
      <c r="BD939" s="291"/>
      <c r="BE939" s="291"/>
      <c r="BF939" s="291"/>
      <c r="BG939" s="291"/>
      <c r="BH939" s="291"/>
      <c r="BI939" s="291"/>
      <c r="BJ939" s="291"/>
      <c r="BK939" s="291"/>
      <c r="BL939" s="291"/>
      <c r="BM939" s="57"/>
      <c r="BN939" s="57"/>
      <c r="BO939" s="57"/>
      <c r="BP939" s="57"/>
      <c r="BQ939" s="57"/>
      <c r="BR939" s="57"/>
      <c r="BS939" s="57"/>
      <c r="BT939" s="57"/>
      <c r="BU939" s="57"/>
      <c r="BV939" s="57"/>
      <c r="BW939" s="57"/>
      <c r="BX939" s="57"/>
      <c r="BY939" s="57"/>
    </row>
    <row r="940" ht="15.75" customHeight="1">
      <c r="A940" s="8">
        <v>643.0</v>
      </c>
      <c r="B940" s="39" t="s">
        <v>2940</v>
      </c>
      <c r="C940" s="39" t="s">
        <v>53</v>
      </c>
      <c r="D940" s="39" t="s">
        <v>2910</v>
      </c>
      <c r="E940" s="39" t="s">
        <v>112</v>
      </c>
      <c r="F940" s="39" t="s">
        <v>2941</v>
      </c>
      <c r="G940" s="41">
        <v>42064.0</v>
      </c>
      <c r="H940" s="106" t="str">
        <f t="shared" si="38"/>
        <v>2015</v>
      </c>
      <c r="I940" s="8" t="s">
        <v>176</v>
      </c>
      <c r="J940" s="39" t="s">
        <v>112</v>
      </c>
      <c r="K940" s="39" t="s">
        <v>112</v>
      </c>
      <c r="L940" s="39" t="s">
        <v>100</v>
      </c>
      <c r="M940" s="51" t="s">
        <v>177</v>
      </c>
      <c r="N940" s="39" t="s">
        <v>2942</v>
      </c>
      <c r="O940" s="8" t="s">
        <v>2943</v>
      </c>
      <c r="P940" s="39" t="s">
        <v>106</v>
      </c>
      <c r="Q940" s="39" t="s">
        <v>112</v>
      </c>
      <c r="R940" s="39" t="s">
        <v>112</v>
      </c>
      <c r="S940" s="39" t="s">
        <v>112</v>
      </c>
      <c r="T940" s="39" t="s">
        <v>112</v>
      </c>
      <c r="U940" s="39" t="s">
        <v>112</v>
      </c>
      <c r="V940" s="39" t="s">
        <v>109</v>
      </c>
      <c r="W940" s="39" t="s">
        <v>112</v>
      </c>
      <c r="X940" s="39" t="s">
        <v>112</v>
      </c>
      <c r="Y940" s="39" t="s">
        <v>112</v>
      </c>
      <c r="Z940" s="8" t="s">
        <v>69</v>
      </c>
      <c r="AA940" s="23" t="s">
        <v>115</v>
      </c>
      <c r="AB940" s="8"/>
      <c r="AC940" s="58"/>
      <c r="AD940" s="58"/>
      <c r="AE940" s="58"/>
      <c r="AF940" s="58"/>
      <c r="AG940" s="58"/>
      <c r="AH940" s="58"/>
      <c r="AI940" s="58"/>
      <c r="AJ940" s="58"/>
      <c r="AK940" s="58"/>
      <c r="AL940" s="58"/>
      <c r="AM940" s="58"/>
      <c r="AN940" s="58"/>
      <c r="AO940" s="58"/>
      <c r="AP940" s="58"/>
      <c r="AQ940" s="58"/>
      <c r="AR940" s="58"/>
      <c r="AS940" s="58"/>
      <c r="AT940" s="291"/>
      <c r="AU940" s="291"/>
      <c r="AV940" s="291"/>
      <c r="AW940" s="291"/>
      <c r="AX940" s="291"/>
      <c r="AY940" s="291"/>
      <c r="AZ940" s="291"/>
      <c r="BA940" s="291"/>
      <c r="BB940" s="291"/>
      <c r="BC940" s="291"/>
      <c r="BD940" s="291"/>
      <c r="BE940" s="291"/>
      <c r="BF940" s="291"/>
      <c r="BG940" s="291"/>
      <c r="BH940" s="291"/>
      <c r="BI940" s="291"/>
      <c r="BJ940" s="291"/>
      <c r="BK940" s="291"/>
      <c r="BL940" s="291"/>
      <c r="BM940" s="57"/>
      <c r="BN940" s="57"/>
      <c r="BO940" s="57"/>
      <c r="BP940" s="57"/>
      <c r="BQ940" s="57"/>
      <c r="BR940" s="57"/>
      <c r="BS940" s="57"/>
      <c r="BT940" s="57"/>
      <c r="BU940" s="57"/>
      <c r="BV940" s="57"/>
      <c r="BW940" s="57"/>
      <c r="BX940" s="57"/>
      <c r="BY940" s="57"/>
    </row>
    <row r="941" ht="15.75" customHeight="1">
      <c r="A941" s="8">
        <v>650.0</v>
      </c>
      <c r="B941" s="39" t="s">
        <v>2944</v>
      </c>
      <c r="C941" s="39" t="s">
        <v>51</v>
      </c>
      <c r="D941" s="39" t="s">
        <v>112</v>
      </c>
      <c r="E941" s="39" t="s">
        <v>112</v>
      </c>
      <c r="F941" s="90" t="s">
        <v>2945</v>
      </c>
      <c r="G941" s="41">
        <v>42370.0</v>
      </c>
      <c r="H941" s="290" t="str">
        <f t="shared" si="38"/>
        <v>2016</v>
      </c>
      <c r="I941" s="8" t="s">
        <v>176</v>
      </c>
      <c r="J941" s="39" t="s">
        <v>112</v>
      </c>
      <c r="K941" s="39" t="s">
        <v>112</v>
      </c>
      <c r="L941" s="39" t="s">
        <v>100</v>
      </c>
      <c r="M941" s="78" t="s">
        <v>513</v>
      </c>
      <c r="N941" s="39" t="s">
        <v>112</v>
      </c>
      <c r="O941" s="8"/>
      <c r="P941" s="39" t="s">
        <v>106</v>
      </c>
      <c r="Q941" s="39" t="s">
        <v>112</v>
      </c>
      <c r="R941" s="39" t="s">
        <v>112</v>
      </c>
      <c r="S941" s="39" t="s">
        <v>112</v>
      </c>
      <c r="T941" s="39" t="s">
        <v>112</v>
      </c>
      <c r="U941" s="39" t="s">
        <v>112</v>
      </c>
      <c r="V941" s="39" t="s">
        <v>2946</v>
      </c>
      <c r="W941" s="39" t="s">
        <v>112</v>
      </c>
      <c r="X941" s="39" t="s">
        <v>112</v>
      </c>
      <c r="Y941" s="39" t="s">
        <v>112</v>
      </c>
      <c r="Z941" s="8" t="s">
        <v>69</v>
      </c>
      <c r="AA941" s="23" t="s">
        <v>115</v>
      </c>
      <c r="AB941" s="8"/>
      <c r="AC941" s="58"/>
      <c r="AD941" s="58"/>
      <c r="AE941" s="58"/>
      <c r="AF941" s="58"/>
      <c r="AG941" s="58"/>
      <c r="AH941" s="58"/>
      <c r="AI941" s="58"/>
      <c r="AJ941" s="58"/>
      <c r="AK941" s="58"/>
      <c r="AL941" s="58"/>
      <c r="AM941" s="58"/>
      <c r="AN941" s="58"/>
      <c r="AO941" s="58"/>
      <c r="AP941" s="58"/>
      <c r="AQ941" s="58"/>
      <c r="AR941" s="58"/>
      <c r="AS941" s="58"/>
      <c r="AT941" s="291"/>
      <c r="AU941" s="291"/>
      <c r="AV941" s="291"/>
      <c r="AW941" s="291"/>
      <c r="AX941" s="291"/>
      <c r="AY941" s="291"/>
      <c r="AZ941" s="291"/>
      <c r="BA941" s="291"/>
      <c r="BB941" s="291"/>
      <c r="BC941" s="291"/>
      <c r="BD941" s="291"/>
      <c r="BE941" s="291"/>
      <c r="BF941" s="291"/>
      <c r="BG941" s="291"/>
      <c r="BH941" s="291"/>
      <c r="BI941" s="291"/>
      <c r="BJ941" s="291"/>
      <c r="BK941" s="291"/>
      <c r="BL941" s="291"/>
      <c r="BM941" s="57"/>
      <c r="BN941" s="57"/>
      <c r="BO941" s="57"/>
      <c r="BP941" s="57"/>
      <c r="BQ941" s="57"/>
      <c r="BR941" s="57"/>
      <c r="BS941" s="57"/>
      <c r="BT941" s="57"/>
      <c r="BU941" s="57"/>
      <c r="BV941" s="57"/>
      <c r="BW941" s="57"/>
      <c r="BX941" s="57"/>
      <c r="BY941" s="57"/>
    </row>
    <row r="942" ht="15.75" customHeight="1">
      <c r="A942" s="8">
        <v>651.0</v>
      </c>
      <c r="B942" s="39" t="s">
        <v>2947</v>
      </c>
      <c r="C942" s="59" t="s">
        <v>48</v>
      </c>
      <c r="D942" s="39" t="s">
        <v>112</v>
      </c>
      <c r="E942" s="39" t="s">
        <v>112</v>
      </c>
      <c r="F942" s="292">
        <v>42396.0</v>
      </c>
      <c r="G942" s="41">
        <v>42370.0</v>
      </c>
      <c r="H942" s="290" t="str">
        <f t="shared" si="38"/>
        <v>2016</v>
      </c>
      <c r="I942" s="8" t="s">
        <v>176</v>
      </c>
      <c r="J942" s="39" t="s">
        <v>112</v>
      </c>
      <c r="K942" s="39" t="s">
        <v>112</v>
      </c>
      <c r="L942" s="59" t="s">
        <v>1336</v>
      </c>
      <c r="M942" s="78" t="s">
        <v>177</v>
      </c>
      <c r="N942" s="39" t="s">
        <v>2948</v>
      </c>
      <c r="O942" s="8" t="s">
        <v>2949</v>
      </c>
      <c r="P942" s="39" t="s">
        <v>106</v>
      </c>
      <c r="Q942" s="39" t="s">
        <v>112</v>
      </c>
      <c r="R942" s="59" t="s">
        <v>112</v>
      </c>
      <c r="S942" s="59" t="s">
        <v>112</v>
      </c>
      <c r="T942" s="59" t="s">
        <v>112</v>
      </c>
      <c r="U942" s="59" t="s">
        <v>112</v>
      </c>
      <c r="V942" s="59" t="s">
        <v>1339</v>
      </c>
      <c r="W942" s="39" t="s">
        <v>112</v>
      </c>
      <c r="X942" s="39" t="s">
        <v>112</v>
      </c>
      <c r="Y942" s="39" t="s">
        <v>112</v>
      </c>
      <c r="Z942" s="8" t="s">
        <v>69</v>
      </c>
      <c r="AA942" s="23" t="s">
        <v>115</v>
      </c>
      <c r="AB942" s="8"/>
      <c r="AC942" s="58"/>
      <c r="AD942" s="58"/>
      <c r="AE942" s="58"/>
      <c r="AF942" s="58"/>
      <c r="AG942" s="58"/>
      <c r="AH942" s="58"/>
      <c r="AI942" s="58"/>
      <c r="AJ942" s="58"/>
      <c r="AK942" s="58"/>
      <c r="AL942" s="58"/>
      <c r="AM942" s="58"/>
      <c r="AN942" s="58"/>
      <c r="AO942" s="58"/>
      <c r="AP942" s="58"/>
      <c r="AQ942" s="58"/>
      <c r="AR942" s="58"/>
      <c r="AS942" s="58"/>
      <c r="AT942" s="291"/>
      <c r="AU942" s="291"/>
      <c r="AV942" s="291"/>
      <c r="AW942" s="291"/>
      <c r="AX942" s="291"/>
      <c r="AY942" s="291"/>
      <c r="AZ942" s="291"/>
      <c r="BA942" s="291"/>
      <c r="BB942" s="291"/>
      <c r="BC942" s="291"/>
      <c r="BD942" s="291"/>
      <c r="BE942" s="291"/>
      <c r="BF942" s="291"/>
      <c r="BG942" s="291"/>
      <c r="BH942" s="291"/>
      <c r="BI942" s="291"/>
      <c r="BJ942" s="291"/>
      <c r="BK942" s="291"/>
      <c r="BL942" s="291"/>
      <c r="BM942" s="57"/>
      <c r="BN942" s="57"/>
      <c r="BO942" s="57"/>
      <c r="BP942" s="57"/>
      <c r="BQ942" s="57"/>
      <c r="BR942" s="57"/>
      <c r="BS942" s="57"/>
      <c r="BT942" s="57"/>
      <c r="BU942" s="57"/>
      <c r="BV942" s="57"/>
      <c r="BW942" s="57"/>
      <c r="BX942" s="57"/>
      <c r="BY942" s="57"/>
    </row>
    <row r="943" ht="15.75" customHeight="1">
      <c r="A943" s="8">
        <v>768.0</v>
      </c>
      <c r="B943" s="127" t="s">
        <v>2950</v>
      </c>
      <c r="C943" s="138" t="s">
        <v>51</v>
      </c>
      <c r="D943" s="127" t="s">
        <v>112</v>
      </c>
      <c r="E943" s="127" t="s">
        <v>112</v>
      </c>
      <c r="F943" s="142" t="s">
        <v>2951</v>
      </c>
      <c r="G943" s="140">
        <v>42522.0</v>
      </c>
      <c r="H943" s="293" t="str">
        <f t="shared" si="38"/>
        <v>2016</v>
      </c>
      <c r="I943" s="8" t="s">
        <v>186</v>
      </c>
      <c r="J943" s="127" t="s">
        <v>112</v>
      </c>
      <c r="K943" s="127" t="s">
        <v>112</v>
      </c>
      <c r="L943" s="127" t="s">
        <v>100</v>
      </c>
      <c r="M943" s="142" t="s">
        <v>112</v>
      </c>
      <c r="N943" s="127" t="s">
        <v>2952</v>
      </c>
      <c r="O943" s="8" t="s">
        <v>2953</v>
      </c>
      <c r="P943" s="127" t="s">
        <v>106</v>
      </c>
      <c r="Q943" s="127" t="s">
        <v>112</v>
      </c>
      <c r="R943" s="127" t="s">
        <v>112</v>
      </c>
      <c r="S943" s="127" t="s">
        <v>112</v>
      </c>
      <c r="T943" s="127">
        <v>-76.4073698</v>
      </c>
      <c r="U943" s="127">
        <v>-2.78367822</v>
      </c>
      <c r="V943" s="127" t="s">
        <v>466</v>
      </c>
      <c r="W943" s="127" t="s">
        <v>112</v>
      </c>
      <c r="X943" s="127" t="s">
        <v>112</v>
      </c>
      <c r="Y943" s="127" t="s">
        <v>112</v>
      </c>
      <c r="Z943" s="8" t="s">
        <v>69</v>
      </c>
      <c r="AA943" s="23" t="s">
        <v>115</v>
      </c>
      <c r="AB943" s="8"/>
      <c r="AC943" s="57"/>
      <c r="AD943" s="57"/>
      <c r="AE943" s="57"/>
      <c r="AF943" s="57"/>
      <c r="AG943" s="57"/>
      <c r="AH943" s="57"/>
      <c r="AI943" s="57"/>
      <c r="AJ943" s="57"/>
      <c r="AK943" s="57"/>
      <c r="AL943" s="57"/>
      <c r="AM943" s="57"/>
      <c r="AN943" s="57"/>
      <c r="AO943" s="57"/>
      <c r="AP943" s="57"/>
      <c r="AQ943" s="57"/>
      <c r="AR943" s="57"/>
      <c r="AS943" s="57"/>
      <c r="AT943" s="57"/>
      <c r="AU943" s="57"/>
      <c r="AV943" s="57"/>
      <c r="AW943" s="57"/>
      <c r="AX943" s="57"/>
      <c r="AY943" s="57"/>
      <c r="AZ943" s="57"/>
      <c r="BA943" s="57"/>
      <c r="BB943" s="57"/>
      <c r="BC943" s="57"/>
      <c r="BD943" s="57"/>
      <c r="BE943" s="57"/>
      <c r="BF943" s="57"/>
      <c r="BG943" s="57"/>
      <c r="BH943" s="57"/>
      <c r="BI943" s="57"/>
      <c r="BJ943" s="57"/>
      <c r="BK943" s="57"/>
      <c r="BL943" s="57"/>
      <c r="BM943" s="57"/>
      <c r="BN943" s="57"/>
      <c r="BO943" s="57"/>
      <c r="BP943" s="57"/>
      <c r="BQ943" s="57"/>
      <c r="BR943" s="57"/>
      <c r="BS943" s="57"/>
      <c r="BT943" s="57"/>
      <c r="BU943" s="57"/>
      <c r="BV943" s="57"/>
      <c r="BW943" s="57"/>
      <c r="BX943" s="57"/>
      <c r="BY943" s="57"/>
    </row>
    <row r="944" ht="15.75" customHeight="1">
      <c r="A944" s="8">
        <v>777.0</v>
      </c>
      <c r="B944" s="39" t="s">
        <v>2954</v>
      </c>
      <c r="C944" s="39" t="s">
        <v>57</v>
      </c>
      <c r="D944" s="51" t="s">
        <v>213</v>
      </c>
      <c r="E944" s="39" t="s">
        <v>112</v>
      </c>
      <c r="F944" s="78">
        <v>42769.0</v>
      </c>
      <c r="G944" s="41">
        <v>42767.0</v>
      </c>
      <c r="H944" s="290" t="str">
        <f t="shared" si="38"/>
        <v>2017</v>
      </c>
      <c r="I944" s="8" t="s">
        <v>176</v>
      </c>
      <c r="J944" s="39" t="s">
        <v>112</v>
      </c>
      <c r="K944" s="39" t="s">
        <v>112</v>
      </c>
      <c r="L944" s="39" t="s">
        <v>100</v>
      </c>
      <c r="M944" s="78" t="s">
        <v>513</v>
      </c>
      <c r="N944" s="39" t="s">
        <v>2955</v>
      </c>
      <c r="O944" s="8" t="s">
        <v>2956</v>
      </c>
      <c r="P944" s="39" t="s">
        <v>106</v>
      </c>
      <c r="Q944" s="51" t="s">
        <v>112</v>
      </c>
      <c r="R944" s="39" t="s">
        <v>112</v>
      </c>
      <c r="S944" s="39" t="s">
        <v>112</v>
      </c>
      <c r="T944" s="39">
        <v>-75.80269517</v>
      </c>
      <c r="U944" s="39">
        <v>-2.38619347</v>
      </c>
      <c r="V944" s="39" t="s">
        <v>2957</v>
      </c>
      <c r="W944" s="39" t="s">
        <v>112</v>
      </c>
      <c r="X944" s="39" t="s">
        <v>112</v>
      </c>
      <c r="Y944" s="39" t="s">
        <v>112</v>
      </c>
      <c r="Z944" s="8" t="s">
        <v>69</v>
      </c>
      <c r="AA944" s="23" t="s">
        <v>115</v>
      </c>
      <c r="AB944" s="8"/>
      <c r="AC944" s="58"/>
      <c r="AD944" s="58"/>
      <c r="AE944" s="58"/>
      <c r="AF944" s="58"/>
      <c r="AG944" s="58"/>
      <c r="AH944" s="58"/>
      <c r="AI944" s="58"/>
      <c r="AJ944" s="58"/>
      <c r="AK944" s="58"/>
      <c r="AL944" s="58"/>
      <c r="AM944" s="58"/>
      <c r="AN944" s="58"/>
      <c r="AO944" s="58"/>
      <c r="AP944" s="58"/>
      <c r="AQ944" s="58"/>
      <c r="AR944" s="58"/>
      <c r="AS944" s="58"/>
      <c r="AT944" s="291"/>
      <c r="AU944" s="291"/>
      <c r="AV944" s="291"/>
      <c r="AW944" s="291"/>
      <c r="AX944" s="291"/>
      <c r="AY944" s="291"/>
      <c r="AZ944" s="291"/>
      <c r="BA944" s="291"/>
      <c r="BB944" s="291"/>
      <c r="BC944" s="291"/>
      <c r="BD944" s="291"/>
      <c r="BE944" s="291"/>
      <c r="BF944" s="291"/>
      <c r="BG944" s="291"/>
      <c r="BH944" s="291"/>
      <c r="BI944" s="291"/>
      <c r="BJ944" s="291"/>
      <c r="BK944" s="291"/>
      <c r="BL944" s="291"/>
      <c r="BM944" s="57"/>
      <c r="BN944" s="57"/>
      <c r="BO944" s="57"/>
      <c r="BP944" s="57"/>
      <c r="BQ944" s="57"/>
      <c r="BR944" s="57"/>
      <c r="BS944" s="57"/>
      <c r="BT944" s="57"/>
      <c r="BU944" s="57"/>
      <c r="BV944" s="57"/>
      <c r="BW944" s="57"/>
      <c r="BX944" s="57"/>
      <c r="BY944" s="57"/>
    </row>
    <row r="945" ht="15.75" customHeight="1">
      <c r="A945" s="8">
        <v>780.0</v>
      </c>
      <c r="B945" s="127" t="s">
        <v>2958</v>
      </c>
      <c r="C945" s="127" t="s">
        <v>57</v>
      </c>
      <c r="D945" s="149" t="s">
        <v>112</v>
      </c>
      <c r="E945" s="127" t="s">
        <v>112</v>
      </c>
      <c r="F945" s="294">
        <v>42777.0</v>
      </c>
      <c r="G945" s="140">
        <v>42767.0</v>
      </c>
      <c r="H945" s="295" t="str">
        <f t="shared" si="38"/>
        <v>2017</v>
      </c>
      <c r="I945" s="8" t="s">
        <v>176</v>
      </c>
      <c r="J945" s="127" t="s">
        <v>112</v>
      </c>
      <c r="K945" s="127" t="s">
        <v>112</v>
      </c>
      <c r="L945" s="127" t="s">
        <v>100</v>
      </c>
      <c r="M945" s="153" t="s">
        <v>513</v>
      </c>
      <c r="N945" s="127" t="s">
        <v>2959</v>
      </c>
      <c r="O945" s="8" t="s">
        <v>2960</v>
      </c>
      <c r="P945" s="127" t="s">
        <v>106</v>
      </c>
      <c r="Q945" s="149" t="s">
        <v>112</v>
      </c>
      <c r="R945" s="127" t="s">
        <v>112</v>
      </c>
      <c r="S945" s="127" t="s">
        <v>112</v>
      </c>
      <c r="T945" s="127">
        <v>-75.80284126</v>
      </c>
      <c r="U945" s="127">
        <v>-2.38621301</v>
      </c>
      <c r="V945" s="127" t="s">
        <v>2961</v>
      </c>
      <c r="W945" s="127" t="s">
        <v>112</v>
      </c>
      <c r="X945" s="127" t="s">
        <v>112</v>
      </c>
      <c r="Y945" s="127" t="s">
        <v>112</v>
      </c>
      <c r="Z945" s="8" t="s">
        <v>69</v>
      </c>
      <c r="AA945" s="23" t="s">
        <v>115</v>
      </c>
      <c r="AB945" s="8"/>
      <c r="AC945" s="57"/>
      <c r="AD945" s="57"/>
      <c r="AE945" s="57"/>
      <c r="AF945" s="57"/>
      <c r="AG945" s="57"/>
      <c r="AH945" s="57"/>
      <c r="AI945" s="57"/>
      <c r="AJ945" s="57"/>
      <c r="AK945" s="57"/>
      <c r="AL945" s="57"/>
      <c r="AM945" s="57"/>
      <c r="AN945" s="57"/>
      <c r="AO945" s="57"/>
      <c r="AP945" s="57"/>
      <c r="AQ945" s="57"/>
      <c r="AR945" s="57"/>
      <c r="AS945" s="57"/>
      <c r="AT945" s="57"/>
      <c r="AU945" s="57"/>
      <c r="AV945" s="57"/>
      <c r="AW945" s="57"/>
      <c r="AX945" s="57"/>
      <c r="AY945" s="57"/>
      <c r="AZ945" s="57"/>
      <c r="BA945" s="57"/>
      <c r="BB945" s="57"/>
      <c r="BC945" s="57"/>
      <c r="BD945" s="57"/>
      <c r="BE945" s="57"/>
      <c r="BF945" s="57"/>
      <c r="BG945" s="57"/>
      <c r="BH945" s="57"/>
      <c r="BI945" s="57"/>
      <c r="BJ945" s="57"/>
      <c r="BK945" s="57"/>
      <c r="BL945" s="57"/>
      <c r="BM945" s="57"/>
      <c r="BN945" s="57"/>
      <c r="BO945" s="57"/>
      <c r="BP945" s="57"/>
      <c r="BQ945" s="57"/>
      <c r="BR945" s="57"/>
      <c r="BS945" s="57"/>
      <c r="BT945" s="57"/>
      <c r="BU945" s="57"/>
      <c r="BV945" s="57"/>
      <c r="BW945" s="57"/>
      <c r="BX945" s="57"/>
      <c r="BY945" s="57"/>
    </row>
    <row r="946" ht="15.75" customHeight="1">
      <c r="A946" s="8">
        <v>800.0</v>
      </c>
      <c r="B946" s="80" t="s">
        <v>2962</v>
      </c>
      <c r="C946" s="28" t="s">
        <v>48</v>
      </c>
      <c r="D946" s="68" t="s">
        <v>112</v>
      </c>
      <c r="E946" s="34" t="s">
        <v>112</v>
      </c>
      <c r="F946" s="107">
        <v>42850.0</v>
      </c>
      <c r="G946" s="95">
        <v>42826.0</v>
      </c>
      <c r="H946" s="20" t="str">
        <f t="shared" si="38"/>
        <v>2017</v>
      </c>
      <c r="I946" s="8" t="s">
        <v>186</v>
      </c>
      <c r="J946" s="68" t="s">
        <v>112</v>
      </c>
      <c r="K946" s="68" t="s">
        <v>112</v>
      </c>
      <c r="L946" s="28" t="s">
        <v>100</v>
      </c>
      <c r="M946" s="87" t="s">
        <v>513</v>
      </c>
      <c r="N946" s="34" t="s">
        <v>2963</v>
      </c>
      <c r="O946" s="8" t="s">
        <v>2964</v>
      </c>
      <c r="P946" s="34" t="s">
        <v>106</v>
      </c>
      <c r="Q946" s="68" t="s">
        <v>112</v>
      </c>
      <c r="R946" s="28" t="s">
        <v>112</v>
      </c>
      <c r="S946" s="28" t="s">
        <v>112</v>
      </c>
      <c r="T946" s="28">
        <v>-76.19261866</v>
      </c>
      <c r="U946" s="28">
        <v>-2.56176301</v>
      </c>
      <c r="V946" s="28" t="s">
        <v>862</v>
      </c>
      <c r="W946" s="68" t="s">
        <v>112</v>
      </c>
      <c r="X946" s="68" t="s">
        <v>112</v>
      </c>
      <c r="Y946" s="68" t="s">
        <v>112</v>
      </c>
      <c r="Z946" s="8" t="s">
        <v>148</v>
      </c>
      <c r="AA946" s="23" t="s">
        <v>144</v>
      </c>
      <c r="AB946" s="8"/>
      <c r="AC946" s="58"/>
      <c r="AD946" s="58"/>
      <c r="AE946" s="58"/>
      <c r="AF946" s="58"/>
      <c r="AG946" s="58"/>
      <c r="AH946" s="58"/>
      <c r="AI946" s="58"/>
      <c r="AJ946" s="58"/>
      <c r="AK946" s="58"/>
      <c r="AL946" s="58"/>
      <c r="AM946" s="58"/>
      <c r="AN946" s="58"/>
      <c r="AO946" s="58"/>
      <c r="AP946" s="58"/>
      <c r="AQ946" s="58"/>
      <c r="AR946" s="58"/>
      <c r="AS946" s="58"/>
      <c r="AT946" s="291"/>
      <c r="AU946" s="291"/>
      <c r="AV946" s="291"/>
      <c r="AW946" s="291"/>
      <c r="AX946" s="291"/>
      <c r="AY946" s="291"/>
      <c r="AZ946" s="291"/>
      <c r="BA946" s="291"/>
      <c r="BB946" s="291"/>
      <c r="BC946" s="291"/>
      <c r="BD946" s="291"/>
      <c r="BE946" s="291"/>
      <c r="BF946" s="291"/>
      <c r="BG946" s="291"/>
      <c r="BH946" s="291"/>
      <c r="BI946" s="291"/>
      <c r="BJ946" s="291"/>
      <c r="BK946" s="291"/>
      <c r="BL946" s="291"/>
      <c r="BM946" s="57"/>
      <c r="BN946" s="57"/>
      <c r="BO946" s="57"/>
      <c r="BP946" s="57"/>
      <c r="BQ946" s="57"/>
      <c r="BR946" s="57"/>
      <c r="BS946" s="57"/>
      <c r="BT946" s="57"/>
      <c r="BU946" s="57"/>
      <c r="BV946" s="57"/>
      <c r="BW946" s="57"/>
      <c r="BX946" s="57"/>
      <c r="BY946" s="57"/>
    </row>
    <row r="947" ht="15.75" customHeight="1">
      <c r="A947" s="8">
        <v>802.0</v>
      </c>
      <c r="B947" s="34" t="s">
        <v>2965</v>
      </c>
      <c r="C947" s="34" t="s">
        <v>57</v>
      </c>
      <c r="D947" s="34" t="s">
        <v>213</v>
      </c>
      <c r="E947" s="34" t="s">
        <v>112</v>
      </c>
      <c r="F947" s="91">
        <v>42858.0</v>
      </c>
      <c r="G947" s="36">
        <v>42856.0</v>
      </c>
      <c r="H947" s="20" t="str">
        <f t="shared" si="38"/>
        <v>2017</v>
      </c>
      <c r="I947" s="8" t="s">
        <v>186</v>
      </c>
      <c r="J947" s="34" t="s">
        <v>112</v>
      </c>
      <c r="K947" s="34" t="s">
        <v>112</v>
      </c>
      <c r="L947" s="34" t="s">
        <v>100</v>
      </c>
      <c r="M947" s="296" t="s">
        <v>112</v>
      </c>
      <c r="N947" s="34" t="s">
        <v>2966</v>
      </c>
      <c r="O947" s="8" t="s">
        <v>2967</v>
      </c>
      <c r="P947" s="34" t="s">
        <v>106</v>
      </c>
      <c r="Q947" s="34" t="s">
        <v>112</v>
      </c>
      <c r="R947" s="34" t="s">
        <v>112</v>
      </c>
      <c r="S947" s="34" t="s">
        <v>112</v>
      </c>
      <c r="T947" s="34">
        <v>-75.85132626</v>
      </c>
      <c r="U947" s="34">
        <v>-2.36224122</v>
      </c>
      <c r="V947" s="34" t="s">
        <v>2968</v>
      </c>
      <c r="W947" s="34" t="s">
        <v>112</v>
      </c>
      <c r="X947" s="34" t="s">
        <v>112</v>
      </c>
      <c r="Y947" s="34" t="s">
        <v>112</v>
      </c>
      <c r="Z947" s="8" t="s">
        <v>148</v>
      </c>
      <c r="AA947" s="23" t="s">
        <v>144</v>
      </c>
      <c r="AB947" s="8"/>
      <c r="AC947" s="58"/>
      <c r="AD947" s="58"/>
      <c r="AE947" s="58"/>
      <c r="AF947" s="58"/>
      <c r="AG947" s="58"/>
      <c r="AH947" s="58"/>
      <c r="AI947" s="58"/>
      <c r="AJ947" s="58"/>
      <c r="AK947" s="58"/>
      <c r="AL947" s="58"/>
      <c r="AM947" s="58"/>
      <c r="AN947" s="58"/>
      <c r="AO947" s="58"/>
      <c r="AP947" s="58"/>
      <c r="AQ947" s="58"/>
      <c r="AR947" s="58"/>
      <c r="AS947" s="58"/>
      <c r="AT947" s="291"/>
      <c r="AU947" s="291"/>
      <c r="AV947" s="291"/>
      <c r="AW947" s="291"/>
      <c r="AX947" s="291"/>
      <c r="AY947" s="291"/>
      <c r="AZ947" s="291"/>
      <c r="BA947" s="291"/>
      <c r="BB947" s="291"/>
      <c r="BC947" s="291"/>
      <c r="BD947" s="291"/>
      <c r="BE947" s="291"/>
      <c r="BF947" s="291"/>
      <c r="BG947" s="291"/>
      <c r="BH947" s="291"/>
      <c r="BI947" s="291"/>
      <c r="BJ947" s="291"/>
      <c r="BK947" s="291"/>
      <c r="BL947" s="291"/>
      <c r="BM947" s="57"/>
      <c r="BN947" s="57"/>
      <c r="BO947" s="57"/>
      <c r="BP947" s="57"/>
      <c r="BQ947" s="57"/>
      <c r="BR947" s="57"/>
      <c r="BS947" s="57"/>
      <c r="BT947" s="57"/>
      <c r="BU947" s="57"/>
      <c r="BV947" s="57"/>
      <c r="BW947" s="57"/>
      <c r="BX947" s="57"/>
      <c r="BY947" s="57"/>
    </row>
    <row r="948" ht="15.75" customHeight="1">
      <c r="A948" s="8">
        <v>803.0</v>
      </c>
      <c r="B948" s="34" t="s">
        <v>2969</v>
      </c>
      <c r="C948" s="34" t="s">
        <v>57</v>
      </c>
      <c r="D948" s="34" t="s">
        <v>213</v>
      </c>
      <c r="E948" s="34" t="s">
        <v>112</v>
      </c>
      <c r="F948" s="91">
        <v>42858.0</v>
      </c>
      <c r="G948" s="36">
        <v>42856.0</v>
      </c>
      <c r="H948" s="20" t="str">
        <f t="shared" si="38"/>
        <v>2017</v>
      </c>
      <c r="I948" s="8" t="s">
        <v>186</v>
      </c>
      <c r="J948" s="34" t="s">
        <v>112</v>
      </c>
      <c r="K948" s="34" t="s">
        <v>112</v>
      </c>
      <c r="L948" s="34" t="s">
        <v>100</v>
      </c>
      <c r="M948" s="296" t="s">
        <v>112</v>
      </c>
      <c r="N948" s="34" t="s">
        <v>2970</v>
      </c>
      <c r="O948" s="8" t="s">
        <v>2971</v>
      </c>
      <c r="P948" s="34" t="s">
        <v>106</v>
      </c>
      <c r="Q948" s="34" t="s">
        <v>112</v>
      </c>
      <c r="R948" s="34" t="s">
        <v>112</v>
      </c>
      <c r="S948" s="34" t="s">
        <v>112</v>
      </c>
      <c r="T948" s="34">
        <v>-75.851528</v>
      </c>
      <c r="U948" s="34">
        <v>-2.36217588</v>
      </c>
      <c r="V948" s="34" t="s">
        <v>2972</v>
      </c>
      <c r="W948" s="34" t="s">
        <v>112</v>
      </c>
      <c r="X948" s="34" t="s">
        <v>112</v>
      </c>
      <c r="Y948" s="34" t="s">
        <v>112</v>
      </c>
      <c r="Z948" s="8" t="s">
        <v>148</v>
      </c>
      <c r="AA948" s="23" t="s">
        <v>144</v>
      </c>
      <c r="AB948" s="8"/>
      <c r="AC948" s="58"/>
      <c r="AD948" s="58"/>
      <c r="AE948" s="58"/>
      <c r="AF948" s="58"/>
      <c r="AG948" s="58"/>
      <c r="AH948" s="58"/>
      <c r="AI948" s="58"/>
      <c r="AJ948" s="58"/>
      <c r="AK948" s="58"/>
      <c r="AL948" s="58"/>
      <c r="AM948" s="58"/>
      <c r="AN948" s="58"/>
      <c r="AO948" s="58"/>
      <c r="AP948" s="58"/>
      <c r="AQ948" s="58"/>
      <c r="AR948" s="58"/>
      <c r="AS948" s="58"/>
      <c r="AT948" s="291"/>
      <c r="AU948" s="291"/>
      <c r="AV948" s="291"/>
      <c r="AW948" s="291"/>
      <c r="AX948" s="291"/>
      <c r="AY948" s="291"/>
      <c r="AZ948" s="291"/>
      <c r="BA948" s="291"/>
      <c r="BB948" s="291"/>
      <c r="BC948" s="291"/>
      <c r="BD948" s="291"/>
      <c r="BE948" s="291"/>
      <c r="BF948" s="291"/>
      <c r="BG948" s="291"/>
      <c r="BH948" s="291"/>
      <c r="BI948" s="291"/>
      <c r="BJ948" s="291"/>
      <c r="BK948" s="291"/>
      <c r="BL948" s="291"/>
      <c r="BM948" s="57"/>
      <c r="BN948" s="57"/>
      <c r="BO948" s="57"/>
      <c r="BP948" s="57"/>
      <c r="BQ948" s="57"/>
      <c r="BR948" s="57"/>
      <c r="BS948" s="57"/>
      <c r="BT948" s="57"/>
      <c r="BU948" s="57"/>
      <c r="BV948" s="57"/>
      <c r="BW948" s="57"/>
      <c r="BX948" s="57"/>
      <c r="BY948" s="57"/>
    </row>
    <row r="949" ht="15.75" customHeight="1">
      <c r="A949" s="8">
        <v>804.0</v>
      </c>
      <c r="B949" s="34" t="s">
        <v>2973</v>
      </c>
      <c r="C949" s="34" t="s">
        <v>57</v>
      </c>
      <c r="D949" s="34" t="s">
        <v>213</v>
      </c>
      <c r="E949" s="34" t="s">
        <v>112</v>
      </c>
      <c r="F949" s="91">
        <v>42865.0</v>
      </c>
      <c r="G949" s="36">
        <v>42856.0</v>
      </c>
      <c r="H949" s="20" t="str">
        <f t="shared" si="38"/>
        <v>2017</v>
      </c>
      <c r="I949" s="8" t="s">
        <v>186</v>
      </c>
      <c r="J949" s="34" t="s">
        <v>112</v>
      </c>
      <c r="K949" s="34" t="s">
        <v>112</v>
      </c>
      <c r="L949" s="34" t="s">
        <v>100</v>
      </c>
      <c r="M949" s="296" t="s">
        <v>112</v>
      </c>
      <c r="N949" s="34" t="s">
        <v>2974</v>
      </c>
      <c r="O949" s="8" t="s">
        <v>2975</v>
      </c>
      <c r="P949" s="34" t="s">
        <v>106</v>
      </c>
      <c r="Q949" s="34" t="s">
        <v>112</v>
      </c>
      <c r="R949" s="34" t="s">
        <v>112</v>
      </c>
      <c r="S949" s="34" t="s">
        <v>112</v>
      </c>
      <c r="T949" s="34">
        <v>-75.85155515</v>
      </c>
      <c r="U949" s="34">
        <v>-2.36096927</v>
      </c>
      <c r="V949" s="34" t="s">
        <v>2976</v>
      </c>
      <c r="W949" s="34" t="s">
        <v>112</v>
      </c>
      <c r="X949" s="34" t="s">
        <v>112</v>
      </c>
      <c r="Y949" s="34" t="s">
        <v>112</v>
      </c>
      <c r="Z949" s="8" t="s">
        <v>148</v>
      </c>
      <c r="AA949" s="23" t="s">
        <v>144</v>
      </c>
      <c r="AB949" s="8"/>
      <c r="AC949" s="58"/>
      <c r="AD949" s="58"/>
      <c r="AE949" s="58"/>
      <c r="AF949" s="58"/>
      <c r="AG949" s="58"/>
      <c r="AH949" s="58"/>
      <c r="AI949" s="58"/>
      <c r="AJ949" s="58"/>
      <c r="AK949" s="58"/>
      <c r="AL949" s="58"/>
      <c r="AM949" s="58"/>
      <c r="AN949" s="58"/>
      <c r="AO949" s="58"/>
      <c r="AP949" s="58"/>
      <c r="AQ949" s="58"/>
      <c r="AR949" s="58"/>
      <c r="AS949" s="58"/>
      <c r="AT949" s="291"/>
      <c r="AU949" s="291"/>
      <c r="AV949" s="291"/>
      <c r="AW949" s="291"/>
      <c r="AX949" s="291"/>
      <c r="AY949" s="291"/>
      <c r="AZ949" s="291"/>
      <c r="BA949" s="291"/>
      <c r="BB949" s="291"/>
      <c r="BC949" s="291"/>
      <c r="BD949" s="291"/>
      <c r="BE949" s="291"/>
      <c r="BF949" s="291"/>
      <c r="BG949" s="291"/>
      <c r="BH949" s="291"/>
      <c r="BI949" s="291"/>
      <c r="BJ949" s="291"/>
      <c r="BK949" s="291"/>
      <c r="BL949" s="291"/>
      <c r="BM949" s="57"/>
      <c r="BN949" s="57"/>
      <c r="BO949" s="57"/>
      <c r="BP949" s="57"/>
      <c r="BQ949" s="57"/>
      <c r="BR949" s="57"/>
      <c r="BS949" s="57"/>
      <c r="BT949" s="57"/>
      <c r="BU949" s="57"/>
      <c r="BV949" s="57"/>
      <c r="BW949" s="57"/>
      <c r="BX949" s="57"/>
      <c r="BY949" s="57"/>
    </row>
    <row r="950" ht="15.75" customHeight="1">
      <c r="A950" s="8">
        <v>805.0</v>
      </c>
      <c r="B950" s="34" t="s">
        <v>2977</v>
      </c>
      <c r="C950" s="34" t="s">
        <v>57</v>
      </c>
      <c r="D950" s="34" t="s">
        <v>213</v>
      </c>
      <c r="E950" s="34" t="s">
        <v>112</v>
      </c>
      <c r="F950" s="91">
        <v>42865.0</v>
      </c>
      <c r="G950" s="36">
        <v>42856.0</v>
      </c>
      <c r="H950" s="20" t="str">
        <f t="shared" si="38"/>
        <v>2017</v>
      </c>
      <c r="I950" s="8" t="s">
        <v>186</v>
      </c>
      <c r="J950" s="34" t="s">
        <v>112</v>
      </c>
      <c r="K950" s="34" t="s">
        <v>112</v>
      </c>
      <c r="L950" s="34" t="s">
        <v>100</v>
      </c>
      <c r="M950" s="296" t="s">
        <v>112</v>
      </c>
      <c r="N950" s="34" t="s">
        <v>2978</v>
      </c>
      <c r="O950" s="8" t="s">
        <v>2979</v>
      </c>
      <c r="P950" s="34" t="s">
        <v>106</v>
      </c>
      <c r="Q950" s="34" t="s">
        <v>112</v>
      </c>
      <c r="R950" s="34" t="s">
        <v>112</v>
      </c>
      <c r="S950" s="34" t="s">
        <v>112</v>
      </c>
      <c r="T950" s="34" t="s">
        <v>2980</v>
      </c>
      <c r="U950" s="34" t="s">
        <v>2981</v>
      </c>
      <c r="V950" s="34" t="s">
        <v>1334</v>
      </c>
      <c r="W950" s="34" t="s">
        <v>112</v>
      </c>
      <c r="X950" s="34" t="s">
        <v>112</v>
      </c>
      <c r="Y950" s="34" t="s">
        <v>112</v>
      </c>
      <c r="Z950" s="8" t="s">
        <v>148</v>
      </c>
      <c r="AA950" s="23" t="s">
        <v>144</v>
      </c>
      <c r="AB950" s="8"/>
      <c r="AC950" s="58"/>
      <c r="AD950" s="58"/>
      <c r="AE950" s="58"/>
      <c r="AF950" s="58"/>
      <c r="AG950" s="58"/>
      <c r="AH950" s="58"/>
      <c r="AI950" s="58"/>
      <c r="AJ950" s="58"/>
      <c r="AK950" s="58"/>
      <c r="AL950" s="58"/>
      <c r="AM950" s="58"/>
      <c r="AN950" s="58"/>
      <c r="AO950" s="58"/>
      <c r="AP950" s="58"/>
      <c r="AQ950" s="58"/>
      <c r="AR950" s="58"/>
      <c r="AS950" s="58"/>
      <c r="AT950" s="291"/>
      <c r="AU950" s="291"/>
      <c r="AV950" s="291"/>
      <c r="AW950" s="291"/>
      <c r="AX950" s="291"/>
      <c r="AY950" s="291"/>
      <c r="AZ950" s="291"/>
      <c r="BA950" s="291"/>
      <c r="BB950" s="291"/>
      <c r="BC950" s="291"/>
      <c r="BD950" s="291"/>
      <c r="BE950" s="291"/>
      <c r="BF950" s="291"/>
      <c r="BG950" s="291"/>
      <c r="BH950" s="291"/>
      <c r="BI950" s="291"/>
      <c r="BJ950" s="291"/>
      <c r="BK950" s="291"/>
      <c r="BL950" s="291"/>
      <c r="BM950" s="57"/>
      <c r="BN950" s="57"/>
      <c r="BO950" s="57"/>
      <c r="BP950" s="57"/>
      <c r="BQ950" s="57"/>
      <c r="BR950" s="57"/>
      <c r="BS950" s="57"/>
      <c r="BT950" s="57"/>
      <c r="BU950" s="57"/>
      <c r="BV950" s="57"/>
      <c r="BW950" s="57"/>
      <c r="BX950" s="57"/>
      <c r="BY950" s="57"/>
    </row>
    <row r="951" ht="15.75" customHeight="1">
      <c r="A951" s="8">
        <v>807.0</v>
      </c>
      <c r="B951" s="34" t="s">
        <v>2982</v>
      </c>
      <c r="C951" s="28" t="s">
        <v>49</v>
      </c>
      <c r="D951" s="68" t="s">
        <v>112</v>
      </c>
      <c r="E951" s="34" t="s">
        <v>112</v>
      </c>
      <c r="F951" s="107">
        <v>42868.0</v>
      </c>
      <c r="G951" s="95">
        <v>42856.0</v>
      </c>
      <c r="H951" s="20" t="str">
        <f t="shared" si="38"/>
        <v>2017</v>
      </c>
      <c r="I951" s="8" t="s">
        <v>176</v>
      </c>
      <c r="J951" s="68" t="s">
        <v>112</v>
      </c>
      <c r="K951" s="68" t="s">
        <v>112</v>
      </c>
      <c r="L951" s="28" t="s">
        <v>100</v>
      </c>
      <c r="M951" s="87" t="s">
        <v>513</v>
      </c>
      <c r="N951" s="34" t="s">
        <v>2983</v>
      </c>
      <c r="O951" s="8" t="s">
        <v>2984</v>
      </c>
      <c r="P951" s="34" t="s">
        <v>106</v>
      </c>
      <c r="Q951" s="68" t="s">
        <v>112</v>
      </c>
      <c r="R951" s="68" t="s">
        <v>112</v>
      </c>
      <c r="S951" s="68" t="s">
        <v>112</v>
      </c>
      <c r="T951" s="28">
        <v>-75.8512638</v>
      </c>
      <c r="U951" s="28">
        <v>-2.3619299</v>
      </c>
      <c r="V951" s="28" t="s">
        <v>1339</v>
      </c>
      <c r="W951" s="68" t="s">
        <v>112</v>
      </c>
      <c r="X951" s="68" t="s">
        <v>112</v>
      </c>
      <c r="Y951" s="68" t="s">
        <v>112</v>
      </c>
      <c r="Z951" s="8" t="s">
        <v>148</v>
      </c>
      <c r="AA951" s="23" t="s">
        <v>144</v>
      </c>
      <c r="AB951" s="8"/>
      <c r="AC951" s="58"/>
      <c r="AD951" s="58"/>
      <c r="AE951" s="58"/>
      <c r="AF951" s="58"/>
      <c r="AG951" s="58"/>
      <c r="AH951" s="58"/>
      <c r="AI951" s="58"/>
      <c r="AJ951" s="58"/>
      <c r="AK951" s="58"/>
      <c r="AL951" s="58"/>
      <c r="AM951" s="58"/>
      <c r="AN951" s="58"/>
      <c r="AO951" s="58"/>
      <c r="AP951" s="58"/>
      <c r="AQ951" s="58"/>
      <c r="AR951" s="58"/>
      <c r="AS951" s="58"/>
      <c r="AT951" s="291"/>
      <c r="AU951" s="291"/>
      <c r="AV951" s="291"/>
      <c r="AW951" s="291"/>
      <c r="AX951" s="291"/>
      <c r="AY951" s="291"/>
      <c r="AZ951" s="291"/>
      <c r="BA951" s="291"/>
      <c r="BB951" s="291"/>
      <c r="BC951" s="291"/>
      <c r="BD951" s="291"/>
      <c r="BE951" s="291"/>
      <c r="BF951" s="291"/>
      <c r="BG951" s="291"/>
      <c r="BH951" s="291"/>
      <c r="BI951" s="291"/>
      <c r="BJ951" s="291"/>
      <c r="BK951" s="291"/>
      <c r="BL951" s="291"/>
      <c r="BM951" s="57"/>
      <c r="BN951" s="57"/>
      <c r="BO951" s="57"/>
      <c r="BP951" s="57"/>
      <c r="BQ951" s="57"/>
      <c r="BR951" s="57"/>
      <c r="BS951" s="57"/>
      <c r="BT951" s="57"/>
      <c r="BU951" s="57"/>
      <c r="BV951" s="57"/>
      <c r="BW951" s="57"/>
      <c r="BX951" s="57"/>
      <c r="BY951" s="57"/>
    </row>
    <row r="952" ht="15.75" customHeight="1">
      <c r="A952" s="8">
        <v>810.0</v>
      </c>
      <c r="B952" s="34" t="s">
        <v>2985</v>
      </c>
      <c r="C952" s="34" t="s">
        <v>57</v>
      </c>
      <c r="D952" s="34" t="s">
        <v>112</v>
      </c>
      <c r="E952" s="34" t="s">
        <v>112</v>
      </c>
      <c r="F952" s="48">
        <v>42868.0</v>
      </c>
      <c r="G952" s="36">
        <v>42856.0</v>
      </c>
      <c r="H952" s="20" t="str">
        <f t="shared" si="38"/>
        <v>2017</v>
      </c>
      <c r="I952" s="8"/>
      <c r="J952" s="34" t="s">
        <v>112</v>
      </c>
      <c r="K952" s="34" t="s">
        <v>112</v>
      </c>
      <c r="L952" s="34" t="s">
        <v>100</v>
      </c>
      <c r="M952" s="297" t="s">
        <v>112</v>
      </c>
      <c r="N952" s="34" t="s">
        <v>112</v>
      </c>
      <c r="O952" s="8"/>
      <c r="P952" s="34" t="s">
        <v>106</v>
      </c>
      <c r="Q952" s="34" t="s">
        <v>112</v>
      </c>
      <c r="R952" s="34" t="s">
        <v>112</v>
      </c>
      <c r="S952" s="34" t="s">
        <v>112</v>
      </c>
      <c r="T952" s="34">
        <v>-75.85136607</v>
      </c>
      <c r="U952" s="34">
        <v>-2.36148889</v>
      </c>
      <c r="V952" s="34" t="s">
        <v>2986</v>
      </c>
      <c r="W952" s="34" t="s">
        <v>112</v>
      </c>
      <c r="X952" s="34" t="s">
        <v>112</v>
      </c>
      <c r="Y952" s="34" t="s">
        <v>112</v>
      </c>
      <c r="Z952" s="8" t="s">
        <v>148</v>
      </c>
      <c r="AA952" s="23" t="s">
        <v>144</v>
      </c>
      <c r="AB952" s="8"/>
      <c r="AC952" s="58"/>
      <c r="AD952" s="58"/>
      <c r="AE952" s="58"/>
      <c r="AF952" s="58"/>
      <c r="AG952" s="58"/>
      <c r="AH952" s="58"/>
      <c r="AI952" s="58"/>
      <c r="AJ952" s="58"/>
      <c r="AK952" s="58"/>
      <c r="AL952" s="58"/>
      <c r="AM952" s="58"/>
      <c r="AN952" s="58"/>
      <c r="AO952" s="58"/>
      <c r="AP952" s="58"/>
      <c r="AQ952" s="58"/>
      <c r="AR952" s="58"/>
      <c r="AS952" s="58"/>
      <c r="AT952" s="291"/>
      <c r="AU952" s="291"/>
      <c r="AV952" s="291"/>
      <c r="AW952" s="291"/>
      <c r="AX952" s="291"/>
      <c r="AY952" s="291"/>
      <c r="AZ952" s="291"/>
      <c r="BA952" s="291"/>
      <c r="BB952" s="291"/>
      <c r="BC952" s="291"/>
      <c r="BD952" s="291"/>
      <c r="BE952" s="291"/>
      <c r="BF952" s="291"/>
      <c r="BG952" s="291"/>
      <c r="BH952" s="291"/>
      <c r="BI952" s="291"/>
      <c r="BJ952" s="291"/>
      <c r="BK952" s="291"/>
      <c r="BL952" s="291"/>
      <c r="BM952" s="57"/>
      <c r="BN952" s="57"/>
      <c r="BO952" s="57"/>
      <c r="BP952" s="57"/>
      <c r="BQ952" s="57"/>
      <c r="BR952" s="57"/>
      <c r="BS952" s="57"/>
      <c r="BT952" s="57"/>
      <c r="BU952" s="57"/>
      <c r="BV952" s="57"/>
      <c r="BW952" s="57"/>
      <c r="BX952" s="57"/>
      <c r="BY952" s="57"/>
    </row>
    <row r="953" ht="15.75" customHeight="1">
      <c r="A953" s="8">
        <v>811.0</v>
      </c>
      <c r="B953" s="34" t="s">
        <v>2987</v>
      </c>
      <c r="C953" s="34" t="s">
        <v>57</v>
      </c>
      <c r="D953" s="34" t="s">
        <v>112</v>
      </c>
      <c r="E953" s="34" t="s">
        <v>112</v>
      </c>
      <c r="F953" s="48">
        <v>42868.0</v>
      </c>
      <c r="G953" s="36">
        <v>42856.0</v>
      </c>
      <c r="H953" s="20" t="str">
        <f t="shared" si="38"/>
        <v>2017</v>
      </c>
      <c r="I953" s="8"/>
      <c r="J953" s="34" t="s">
        <v>112</v>
      </c>
      <c r="K953" s="34" t="s">
        <v>112</v>
      </c>
      <c r="L953" s="34" t="s">
        <v>100</v>
      </c>
      <c r="M953" s="297" t="s">
        <v>112</v>
      </c>
      <c r="N953" s="34" t="s">
        <v>112</v>
      </c>
      <c r="O953" s="8" t="s">
        <v>2988</v>
      </c>
      <c r="P953" s="34" t="s">
        <v>106</v>
      </c>
      <c r="Q953" s="34" t="s">
        <v>112</v>
      </c>
      <c r="R953" s="34" t="s">
        <v>112</v>
      </c>
      <c r="S953" s="34" t="s">
        <v>112</v>
      </c>
      <c r="T953" s="34" t="s">
        <v>112</v>
      </c>
      <c r="U953" s="34" t="s">
        <v>112</v>
      </c>
      <c r="V953" s="34" t="s">
        <v>2074</v>
      </c>
      <c r="W953" s="34" t="s">
        <v>112</v>
      </c>
      <c r="X953" s="34" t="s">
        <v>112</v>
      </c>
      <c r="Y953" s="34" t="s">
        <v>112</v>
      </c>
      <c r="Z953" s="8" t="s">
        <v>148</v>
      </c>
      <c r="AA953" s="23" t="s">
        <v>144</v>
      </c>
      <c r="AB953" s="8"/>
      <c r="AC953" s="58"/>
      <c r="AD953" s="58"/>
      <c r="AE953" s="58"/>
      <c r="AF953" s="58"/>
      <c r="AG953" s="58"/>
      <c r="AH953" s="58"/>
      <c r="AI953" s="58"/>
      <c r="AJ953" s="58"/>
      <c r="AK953" s="58"/>
      <c r="AL953" s="58"/>
      <c r="AM953" s="58"/>
      <c r="AN953" s="58"/>
      <c r="AO953" s="58"/>
      <c r="AP953" s="58"/>
      <c r="AQ953" s="58"/>
      <c r="AR953" s="58"/>
      <c r="AS953" s="58"/>
      <c r="AT953" s="291"/>
      <c r="AU953" s="291"/>
      <c r="AV953" s="291"/>
      <c r="AW953" s="291"/>
      <c r="AX953" s="291"/>
      <c r="AY953" s="291"/>
      <c r="AZ953" s="291"/>
      <c r="BA953" s="291"/>
      <c r="BB953" s="291"/>
      <c r="BC953" s="291"/>
      <c r="BD953" s="291"/>
      <c r="BE953" s="291"/>
      <c r="BF953" s="291"/>
      <c r="BG953" s="291"/>
      <c r="BH953" s="291"/>
      <c r="BI953" s="291"/>
      <c r="BJ953" s="291"/>
      <c r="BK953" s="291"/>
      <c r="BL953" s="291"/>
      <c r="BM953" s="57"/>
      <c r="BN953" s="57"/>
      <c r="BO953" s="57"/>
      <c r="BP953" s="57"/>
      <c r="BQ953" s="57"/>
      <c r="BR953" s="57"/>
      <c r="BS953" s="57"/>
      <c r="BT953" s="57"/>
      <c r="BU953" s="57"/>
      <c r="BV953" s="57"/>
      <c r="BW953" s="57"/>
      <c r="BX953" s="57"/>
      <c r="BY953" s="57"/>
    </row>
    <row r="954" ht="15.75" customHeight="1">
      <c r="A954" s="8">
        <v>812.0</v>
      </c>
      <c r="B954" s="34" t="s">
        <v>2989</v>
      </c>
      <c r="C954" s="28" t="s">
        <v>49</v>
      </c>
      <c r="D954" s="68" t="s">
        <v>112</v>
      </c>
      <c r="E954" s="34" t="s">
        <v>112</v>
      </c>
      <c r="F954" s="107">
        <v>42869.0</v>
      </c>
      <c r="G954" s="95">
        <v>42856.0</v>
      </c>
      <c r="H954" s="20" t="str">
        <f t="shared" si="38"/>
        <v>2017</v>
      </c>
      <c r="I954" s="8" t="s">
        <v>186</v>
      </c>
      <c r="J954" s="68" t="s">
        <v>112</v>
      </c>
      <c r="K954" s="68" t="s">
        <v>112</v>
      </c>
      <c r="L954" s="28" t="s">
        <v>100</v>
      </c>
      <c r="M954" s="68" t="s">
        <v>187</v>
      </c>
      <c r="N954" s="34" t="s">
        <v>2990</v>
      </c>
      <c r="O954" s="8" t="s">
        <v>2991</v>
      </c>
      <c r="P954" s="34" t="s">
        <v>106</v>
      </c>
      <c r="Q954" s="68" t="s">
        <v>112</v>
      </c>
      <c r="R954" s="68" t="s">
        <v>112</v>
      </c>
      <c r="S954" s="68" t="s">
        <v>112</v>
      </c>
      <c r="T954" s="28">
        <v>-75.85128853</v>
      </c>
      <c r="U954" s="28">
        <v>-2.36223991</v>
      </c>
      <c r="V954" s="28" t="s">
        <v>1339</v>
      </c>
      <c r="W954" s="68" t="s">
        <v>112</v>
      </c>
      <c r="X954" s="68" t="s">
        <v>112</v>
      </c>
      <c r="Y954" s="68" t="s">
        <v>112</v>
      </c>
      <c r="Z954" s="8" t="s">
        <v>148</v>
      </c>
      <c r="AA954" s="23" t="s">
        <v>144</v>
      </c>
      <c r="AB954" s="8"/>
      <c r="AC954" s="58"/>
      <c r="AD954" s="58"/>
      <c r="AE954" s="58"/>
      <c r="AF954" s="58"/>
      <c r="AG954" s="58"/>
      <c r="AH954" s="58"/>
      <c r="AI954" s="58"/>
      <c r="AJ954" s="58"/>
      <c r="AK954" s="58"/>
      <c r="AL954" s="58"/>
      <c r="AM954" s="58"/>
      <c r="AN954" s="58"/>
      <c r="AO954" s="58"/>
      <c r="AP954" s="58"/>
      <c r="AQ954" s="58"/>
      <c r="AR954" s="58"/>
      <c r="AS954" s="58"/>
      <c r="AT954" s="291"/>
      <c r="AU954" s="291"/>
      <c r="AV954" s="291"/>
      <c r="AW954" s="291"/>
      <c r="AX954" s="291"/>
      <c r="AY954" s="291"/>
      <c r="AZ954" s="291"/>
      <c r="BA954" s="291"/>
      <c r="BB954" s="291"/>
      <c r="BC954" s="291"/>
      <c r="BD954" s="291"/>
      <c r="BE954" s="291"/>
      <c r="BF954" s="291"/>
      <c r="BG954" s="291"/>
      <c r="BH954" s="291"/>
      <c r="BI954" s="291"/>
      <c r="BJ954" s="291"/>
      <c r="BK954" s="291"/>
      <c r="BL954" s="291"/>
      <c r="BM954" s="57"/>
      <c r="BN954" s="57"/>
      <c r="BO954" s="57"/>
      <c r="BP954" s="57"/>
      <c r="BQ954" s="57"/>
      <c r="BR954" s="57"/>
      <c r="BS954" s="57"/>
      <c r="BT954" s="57"/>
      <c r="BU954" s="57"/>
      <c r="BV954" s="57"/>
      <c r="BW954" s="57"/>
      <c r="BX954" s="57"/>
      <c r="BY954" s="57"/>
    </row>
    <row r="955" ht="15.75" customHeight="1">
      <c r="A955" s="8">
        <v>813.0</v>
      </c>
      <c r="B955" s="34" t="s">
        <v>2992</v>
      </c>
      <c r="C955" s="34" t="s">
        <v>57</v>
      </c>
      <c r="D955" s="34" t="s">
        <v>213</v>
      </c>
      <c r="E955" s="34" t="s">
        <v>112</v>
      </c>
      <c r="F955" s="48">
        <v>42869.0</v>
      </c>
      <c r="G955" s="36">
        <v>42856.0</v>
      </c>
      <c r="H955" s="20" t="str">
        <f t="shared" si="38"/>
        <v>2017</v>
      </c>
      <c r="I955" s="8" t="s">
        <v>186</v>
      </c>
      <c r="J955" s="34" t="s">
        <v>112</v>
      </c>
      <c r="K955" s="34" t="s">
        <v>112</v>
      </c>
      <c r="L955" s="34" t="s">
        <v>100</v>
      </c>
      <c r="M955" s="297" t="s">
        <v>112</v>
      </c>
      <c r="N955" s="34" t="s">
        <v>2993</v>
      </c>
      <c r="O955" s="8" t="s">
        <v>2994</v>
      </c>
      <c r="P955" s="34" t="s">
        <v>106</v>
      </c>
      <c r="Q955" s="34" t="s">
        <v>112</v>
      </c>
      <c r="R955" s="34" t="s">
        <v>112</v>
      </c>
      <c r="S955" s="34" t="s">
        <v>112</v>
      </c>
      <c r="T955" s="34">
        <v>-75.85123042</v>
      </c>
      <c r="U955" s="34">
        <v>-2.36225117</v>
      </c>
      <c r="V955" s="34" t="s">
        <v>2995</v>
      </c>
      <c r="W955" s="34" t="s">
        <v>112</v>
      </c>
      <c r="X955" s="34" t="s">
        <v>112</v>
      </c>
      <c r="Y955" s="34" t="s">
        <v>112</v>
      </c>
      <c r="Z955" s="8" t="s">
        <v>148</v>
      </c>
      <c r="AA955" s="23" t="s">
        <v>144</v>
      </c>
      <c r="AB955" s="8"/>
      <c r="AC955" s="58"/>
      <c r="AD955" s="58"/>
      <c r="AE955" s="58"/>
      <c r="AF955" s="58"/>
      <c r="AG955" s="58"/>
      <c r="AH955" s="58"/>
      <c r="AI955" s="58"/>
      <c r="AJ955" s="58"/>
      <c r="AK955" s="58"/>
      <c r="AL955" s="58"/>
      <c r="AM955" s="58"/>
      <c r="AN955" s="58"/>
      <c r="AO955" s="58"/>
      <c r="AP955" s="58"/>
      <c r="AQ955" s="58"/>
      <c r="AR955" s="58"/>
      <c r="AS955" s="58"/>
      <c r="AT955" s="291"/>
      <c r="AU955" s="291"/>
      <c r="AV955" s="291"/>
      <c r="AW955" s="291"/>
      <c r="AX955" s="291"/>
      <c r="AY955" s="291"/>
      <c r="AZ955" s="291"/>
      <c r="BA955" s="291"/>
      <c r="BB955" s="291"/>
      <c r="BC955" s="291"/>
      <c r="BD955" s="291"/>
      <c r="BE955" s="291"/>
      <c r="BF955" s="291"/>
      <c r="BG955" s="291"/>
      <c r="BH955" s="291"/>
      <c r="BI955" s="291"/>
      <c r="BJ955" s="291"/>
      <c r="BK955" s="291"/>
      <c r="BL955" s="291"/>
      <c r="BM955" s="57"/>
      <c r="BN955" s="57"/>
      <c r="BO955" s="57"/>
      <c r="BP955" s="57"/>
      <c r="BQ955" s="57"/>
      <c r="BR955" s="57"/>
      <c r="BS955" s="57"/>
      <c r="BT955" s="57"/>
      <c r="BU955" s="57"/>
      <c r="BV955" s="57"/>
      <c r="BW955" s="57"/>
      <c r="BX955" s="57"/>
      <c r="BY955" s="57"/>
    </row>
    <row r="956" ht="15.75" customHeight="1">
      <c r="A956" s="8">
        <v>816.0</v>
      </c>
      <c r="B956" s="34" t="s">
        <v>2996</v>
      </c>
      <c r="C956" s="34" t="s">
        <v>57</v>
      </c>
      <c r="D956" s="34" t="s">
        <v>213</v>
      </c>
      <c r="E956" s="34" t="s">
        <v>112</v>
      </c>
      <c r="F956" s="48">
        <v>42869.0</v>
      </c>
      <c r="G956" s="36">
        <v>42856.0</v>
      </c>
      <c r="H956" s="20" t="str">
        <f t="shared" si="38"/>
        <v>2017</v>
      </c>
      <c r="I956" s="8" t="s">
        <v>176</v>
      </c>
      <c r="J956" s="34" t="s">
        <v>112</v>
      </c>
      <c r="K956" s="34" t="s">
        <v>112</v>
      </c>
      <c r="L956" s="34" t="s">
        <v>100</v>
      </c>
      <c r="M956" s="87" t="s">
        <v>513</v>
      </c>
      <c r="N956" s="34" t="s">
        <v>2997</v>
      </c>
      <c r="O956" s="23" t="s">
        <v>2998</v>
      </c>
      <c r="P956" s="34" t="s">
        <v>106</v>
      </c>
      <c r="Q956" s="34" t="s">
        <v>112</v>
      </c>
      <c r="R956" s="34" t="s">
        <v>112</v>
      </c>
      <c r="S956" s="34" t="s">
        <v>112</v>
      </c>
      <c r="T956" s="34">
        <v>-75.85126379</v>
      </c>
      <c r="U956" s="34">
        <v>-2.36182439</v>
      </c>
      <c r="V956" s="34" t="s">
        <v>2999</v>
      </c>
      <c r="W956" s="34" t="s">
        <v>112</v>
      </c>
      <c r="X956" s="34" t="s">
        <v>112</v>
      </c>
      <c r="Y956" s="34" t="s">
        <v>112</v>
      </c>
      <c r="Z956" s="8" t="s">
        <v>148</v>
      </c>
      <c r="AA956" s="23" t="s">
        <v>144</v>
      </c>
      <c r="AB956" s="8"/>
      <c r="AC956" s="58"/>
      <c r="AD956" s="58"/>
      <c r="AE956" s="58"/>
      <c r="AF956" s="58"/>
      <c r="AG956" s="58"/>
      <c r="AH956" s="58"/>
      <c r="AI956" s="58"/>
      <c r="AJ956" s="58"/>
      <c r="AK956" s="58"/>
      <c r="AL956" s="58"/>
      <c r="AM956" s="58"/>
      <c r="AN956" s="58"/>
      <c r="AO956" s="58"/>
      <c r="AP956" s="58"/>
      <c r="AQ956" s="58"/>
      <c r="AR956" s="58"/>
      <c r="AS956" s="58"/>
      <c r="AT956" s="291"/>
      <c r="AU956" s="291"/>
      <c r="AV956" s="291"/>
      <c r="AW956" s="291"/>
      <c r="AX956" s="291"/>
      <c r="AY956" s="291"/>
      <c r="AZ956" s="291"/>
      <c r="BA956" s="291"/>
      <c r="BB956" s="291"/>
      <c r="BC956" s="291"/>
      <c r="BD956" s="291"/>
      <c r="BE956" s="291"/>
      <c r="BF956" s="291"/>
      <c r="BG956" s="291"/>
      <c r="BH956" s="291"/>
      <c r="BI956" s="291"/>
      <c r="BJ956" s="291"/>
      <c r="BK956" s="291"/>
      <c r="BL956" s="291"/>
      <c r="BM956" s="57"/>
      <c r="BN956" s="57"/>
      <c r="BO956" s="57"/>
      <c r="BP956" s="57"/>
      <c r="BQ956" s="57"/>
      <c r="BR956" s="57"/>
      <c r="BS956" s="57"/>
      <c r="BT956" s="57"/>
      <c r="BU956" s="57"/>
      <c r="BV956" s="57"/>
      <c r="BW956" s="57"/>
      <c r="BX956" s="57"/>
      <c r="BY956" s="57"/>
    </row>
    <row r="957" ht="15.75" customHeight="1">
      <c r="A957" s="8">
        <v>817.0</v>
      </c>
      <c r="B957" s="34" t="s">
        <v>3000</v>
      </c>
      <c r="C957" s="34" t="s">
        <v>57</v>
      </c>
      <c r="D957" s="34" t="s">
        <v>213</v>
      </c>
      <c r="E957" s="34" t="s">
        <v>112</v>
      </c>
      <c r="F957" s="48">
        <v>42869.0</v>
      </c>
      <c r="G957" s="36">
        <v>42856.0</v>
      </c>
      <c r="H957" s="20" t="str">
        <f t="shared" si="38"/>
        <v>2017</v>
      </c>
      <c r="I957" s="8"/>
      <c r="J957" s="34" t="s">
        <v>112</v>
      </c>
      <c r="K957" s="34" t="s">
        <v>112</v>
      </c>
      <c r="L957" s="34" t="s">
        <v>100</v>
      </c>
      <c r="M957" s="297" t="s">
        <v>112</v>
      </c>
      <c r="N957" s="34" t="s">
        <v>3001</v>
      </c>
      <c r="O957" s="8" t="s">
        <v>3002</v>
      </c>
      <c r="P957" s="34" t="s">
        <v>106</v>
      </c>
      <c r="Q957" s="34" t="s">
        <v>112</v>
      </c>
      <c r="R957" s="34" t="s">
        <v>112</v>
      </c>
      <c r="S957" s="34" t="s">
        <v>112</v>
      </c>
      <c r="T957" s="34">
        <v>-75.85690397</v>
      </c>
      <c r="U957" s="34">
        <v>-2.37002501</v>
      </c>
      <c r="V957" s="34" t="s">
        <v>3003</v>
      </c>
      <c r="W957" s="34" t="s">
        <v>112</v>
      </c>
      <c r="X957" s="34" t="s">
        <v>112</v>
      </c>
      <c r="Y957" s="34" t="s">
        <v>112</v>
      </c>
      <c r="Z957" s="8" t="s">
        <v>148</v>
      </c>
      <c r="AA957" s="23" t="s">
        <v>144</v>
      </c>
      <c r="AB957" s="8"/>
      <c r="AC957" s="58"/>
      <c r="AD957" s="58"/>
      <c r="AE957" s="58"/>
      <c r="AF957" s="58"/>
      <c r="AG957" s="58"/>
      <c r="AH957" s="58"/>
      <c r="AI957" s="58"/>
      <c r="AJ957" s="58"/>
      <c r="AK957" s="58"/>
      <c r="AL957" s="58"/>
      <c r="AM957" s="58"/>
      <c r="AN957" s="58"/>
      <c r="AO957" s="58"/>
      <c r="AP957" s="58"/>
      <c r="AQ957" s="58"/>
      <c r="AR957" s="58"/>
      <c r="AS957" s="58"/>
      <c r="AT957" s="291"/>
      <c r="AU957" s="291"/>
      <c r="AV957" s="291"/>
      <c r="AW957" s="291"/>
      <c r="AX957" s="291"/>
      <c r="AY957" s="291"/>
      <c r="AZ957" s="291"/>
      <c r="BA957" s="291"/>
      <c r="BB957" s="291"/>
      <c r="BC957" s="291"/>
      <c r="BD957" s="291"/>
      <c r="BE957" s="291"/>
      <c r="BF957" s="291"/>
      <c r="BG957" s="291"/>
      <c r="BH957" s="291"/>
      <c r="BI957" s="291"/>
      <c r="BJ957" s="291"/>
      <c r="BK957" s="291"/>
      <c r="BL957" s="291"/>
      <c r="BM957" s="57"/>
      <c r="BN957" s="57"/>
      <c r="BO957" s="57"/>
      <c r="BP957" s="57"/>
      <c r="BQ957" s="57"/>
      <c r="BR957" s="57"/>
      <c r="BS957" s="57"/>
      <c r="BT957" s="57"/>
      <c r="BU957" s="57"/>
      <c r="BV957" s="57"/>
      <c r="BW957" s="57"/>
      <c r="BX957" s="57"/>
      <c r="BY957" s="57"/>
    </row>
    <row r="958" ht="15.75" customHeight="1">
      <c r="A958" s="8">
        <v>818.0</v>
      </c>
      <c r="B958" s="34" t="s">
        <v>3004</v>
      </c>
      <c r="C958" s="34" t="s">
        <v>57</v>
      </c>
      <c r="D958" s="34" t="s">
        <v>112</v>
      </c>
      <c r="E958" s="34" t="s">
        <v>112</v>
      </c>
      <c r="F958" s="91">
        <v>42869.0</v>
      </c>
      <c r="G958" s="36">
        <v>42856.0</v>
      </c>
      <c r="H958" s="20" t="str">
        <f t="shared" si="38"/>
        <v>2017</v>
      </c>
      <c r="I958" s="8" t="s">
        <v>186</v>
      </c>
      <c r="J958" s="34" t="s">
        <v>112</v>
      </c>
      <c r="K958" s="34" t="s">
        <v>112</v>
      </c>
      <c r="L958" s="34" t="s">
        <v>100</v>
      </c>
      <c r="M958" s="296" t="s">
        <v>112</v>
      </c>
      <c r="N958" s="34" t="s">
        <v>3005</v>
      </c>
      <c r="O958" s="8"/>
      <c r="P958" s="34" t="s">
        <v>106</v>
      </c>
      <c r="Q958" s="34" t="s">
        <v>112</v>
      </c>
      <c r="R958" s="34" t="s">
        <v>112</v>
      </c>
      <c r="S958" s="34" t="s">
        <v>112</v>
      </c>
      <c r="T958" s="34" t="s">
        <v>112</v>
      </c>
      <c r="U958" s="34" t="s">
        <v>112</v>
      </c>
      <c r="V958" s="34" t="s">
        <v>2246</v>
      </c>
      <c r="W958" s="34" t="s">
        <v>112</v>
      </c>
      <c r="X958" s="34" t="s">
        <v>112</v>
      </c>
      <c r="Y958" s="34" t="s">
        <v>112</v>
      </c>
      <c r="Z958" s="8" t="s">
        <v>148</v>
      </c>
      <c r="AA958" s="23" t="s">
        <v>144</v>
      </c>
      <c r="AB958" s="8"/>
      <c r="AC958" s="58"/>
      <c r="AD958" s="58"/>
      <c r="AE958" s="58"/>
      <c r="AF958" s="58"/>
      <c r="AG958" s="58"/>
      <c r="AH958" s="58"/>
      <c r="AI958" s="58"/>
      <c r="AJ958" s="58"/>
      <c r="AK958" s="58"/>
      <c r="AL958" s="58"/>
      <c r="AM958" s="58"/>
      <c r="AN958" s="58"/>
      <c r="AO958" s="58"/>
      <c r="AP958" s="58"/>
      <c r="AQ958" s="58"/>
      <c r="AR958" s="58"/>
      <c r="AS958" s="58"/>
      <c r="AT958" s="291"/>
      <c r="AU958" s="291"/>
      <c r="AV958" s="291"/>
      <c r="AW958" s="291"/>
      <c r="AX958" s="291"/>
      <c r="AY958" s="291"/>
      <c r="AZ958" s="291"/>
      <c r="BA958" s="291"/>
      <c r="BB958" s="291"/>
      <c r="BC958" s="291"/>
      <c r="BD958" s="291"/>
      <c r="BE958" s="291"/>
      <c r="BF958" s="291"/>
      <c r="BG958" s="291"/>
      <c r="BH958" s="291"/>
      <c r="BI958" s="291"/>
      <c r="BJ958" s="291"/>
      <c r="BK958" s="291"/>
      <c r="BL958" s="291"/>
      <c r="BM958" s="57"/>
      <c r="BN958" s="57"/>
      <c r="BO958" s="57"/>
      <c r="BP958" s="57"/>
      <c r="BQ958" s="57"/>
      <c r="BR958" s="57"/>
      <c r="BS958" s="57"/>
      <c r="BT958" s="57"/>
      <c r="BU958" s="57"/>
      <c r="BV958" s="57"/>
      <c r="BW958" s="57"/>
      <c r="BX958" s="57"/>
      <c r="BY958" s="57"/>
    </row>
    <row r="959" ht="15.75" customHeight="1">
      <c r="A959" s="8">
        <v>819.0</v>
      </c>
      <c r="B959" s="34" t="s">
        <v>3006</v>
      </c>
      <c r="C959" s="34" t="s">
        <v>57</v>
      </c>
      <c r="D959" s="34" t="s">
        <v>213</v>
      </c>
      <c r="E959" s="34" t="s">
        <v>112</v>
      </c>
      <c r="F959" s="48">
        <v>42870.0</v>
      </c>
      <c r="G959" s="36">
        <v>42856.0</v>
      </c>
      <c r="H959" s="20" t="str">
        <f t="shared" si="38"/>
        <v>2017</v>
      </c>
      <c r="I959" s="8" t="s">
        <v>176</v>
      </c>
      <c r="J959" s="34" t="s">
        <v>112</v>
      </c>
      <c r="K959" s="34" t="s">
        <v>112</v>
      </c>
      <c r="L959" s="34" t="s">
        <v>100</v>
      </c>
      <c r="M959" s="87" t="s">
        <v>513</v>
      </c>
      <c r="N959" s="34" t="s">
        <v>3007</v>
      </c>
      <c r="O959" s="8" t="s">
        <v>2208</v>
      </c>
      <c r="P959" s="34" t="s">
        <v>106</v>
      </c>
      <c r="Q959" s="34" t="s">
        <v>112</v>
      </c>
      <c r="R959" s="34" t="s">
        <v>112</v>
      </c>
      <c r="S959" s="34" t="s">
        <v>112</v>
      </c>
      <c r="T959" s="34">
        <v>-75.86462213</v>
      </c>
      <c r="U959" s="34">
        <v>-2.31390846</v>
      </c>
      <c r="V959" s="34" t="s">
        <v>1454</v>
      </c>
      <c r="W959" s="34" t="s">
        <v>112</v>
      </c>
      <c r="X959" s="34" t="s">
        <v>112</v>
      </c>
      <c r="Y959" s="34" t="s">
        <v>112</v>
      </c>
      <c r="Z959" s="8" t="s">
        <v>148</v>
      </c>
      <c r="AA959" s="23" t="s">
        <v>144</v>
      </c>
      <c r="AB959" s="8"/>
      <c r="AC959" s="58"/>
      <c r="AD959" s="58"/>
      <c r="AE959" s="58"/>
      <c r="AF959" s="58"/>
      <c r="AG959" s="58"/>
      <c r="AH959" s="58"/>
      <c r="AI959" s="58"/>
      <c r="AJ959" s="58"/>
      <c r="AK959" s="58"/>
      <c r="AL959" s="58"/>
      <c r="AM959" s="58"/>
      <c r="AN959" s="58"/>
      <c r="AO959" s="58"/>
      <c r="AP959" s="58"/>
      <c r="AQ959" s="58"/>
      <c r="AR959" s="58"/>
      <c r="AS959" s="58"/>
      <c r="AT959" s="291"/>
      <c r="AU959" s="291"/>
      <c r="AV959" s="291"/>
      <c r="AW959" s="291"/>
      <c r="AX959" s="291"/>
      <c r="AY959" s="291"/>
      <c r="AZ959" s="291"/>
      <c r="BA959" s="291"/>
      <c r="BB959" s="291"/>
      <c r="BC959" s="291"/>
      <c r="BD959" s="291"/>
      <c r="BE959" s="291"/>
      <c r="BF959" s="291"/>
      <c r="BG959" s="291"/>
      <c r="BH959" s="291"/>
      <c r="BI959" s="291"/>
      <c r="BJ959" s="291"/>
      <c r="BK959" s="291"/>
      <c r="BL959" s="291"/>
      <c r="BM959" s="57"/>
      <c r="BN959" s="57"/>
      <c r="BO959" s="57"/>
      <c r="BP959" s="57"/>
      <c r="BQ959" s="57"/>
      <c r="BR959" s="57"/>
      <c r="BS959" s="57"/>
      <c r="BT959" s="57"/>
      <c r="BU959" s="57"/>
      <c r="BV959" s="57"/>
      <c r="BW959" s="57"/>
      <c r="BX959" s="57"/>
      <c r="BY959" s="57"/>
    </row>
    <row r="960" ht="15.75" customHeight="1">
      <c r="A960" s="8">
        <v>820.0</v>
      </c>
      <c r="B960" s="34" t="s">
        <v>3008</v>
      </c>
      <c r="C960" s="34" t="s">
        <v>57</v>
      </c>
      <c r="D960" s="34" t="s">
        <v>213</v>
      </c>
      <c r="E960" s="34" t="s">
        <v>112</v>
      </c>
      <c r="F960" s="48">
        <v>42870.0</v>
      </c>
      <c r="G960" s="36">
        <v>42856.0</v>
      </c>
      <c r="H960" s="20" t="str">
        <f t="shared" si="38"/>
        <v>2017</v>
      </c>
      <c r="I960" s="8" t="s">
        <v>186</v>
      </c>
      <c r="J960" s="34" t="s">
        <v>112</v>
      </c>
      <c r="K960" s="34" t="s">
        <v>112</v>
      </c>
      <c r="L960" s="34" t="s">
        <v>100</v>
      </c>
      <c r="M960" s="297" t="s">
        <v>112</v>
      </c>
      <c r="N960" s="34" t="s">
        <v>3009</v>
      </c>
      <c r="O960" s="8" t="s">
        <v>3010</v>
      </c>
      <c r="P960" s="34" t="s">
        <v>106</v>
      </c>
      <c r="Q960" s="34" t="s">
        <v>112</v>
      </c>
      <c r="R960" s="34" t="s">
        <v>112</v>
      </c>
      <c r="S960" s="34" t="s">
        <v>112</v>
      </c>
      <c r="T960" s="34">
        <v>-75.80265144</v>
      </c>
      <c r="U960" s="34">
        <v>-2.3885091</v>
      </c>
      <c r="V960" s="34" t="s">
        <v>2800</v>
      </c>
      <c r="W960" s="34" t="s">
        <v>112</v>
      </c>
      <c r="X960" s="34" t="s">
        <v>112</v>
      </c>
      <c r="Y960" s="34" t="s">
        <v>112</v>
      </c>
      <c r="Z960" s="8" t="s">
        <v>148</v>
      </c>
      <c r="AA960" s="23" t="s">
        <v>144</v>
      </c>
      <c r="AB960" s="8"/>
      <c r="AC960" s="58"/>
      <c r="AD960" s="58"/>
      <c r="AE960" s="58"/>
      <c r="AF960" s="58"/>
      <c r="AG960" s="58"/>
      <c r="AH960" s="58"/>
      <c r="AI960" s="58"/>
      <c r="AJ960" s="58"/>
      <c r="AK960" s="58"/>
      <c r="AL960" s="58"/>
      <c r="AM960" s="58"/>
      <c r="AN960" s="58"/>
      <c r="AO960" s="58"/>
      <c r="AP960" s="58"/>
      <c r="AQ960" s="58"/>
      <c r="AR960" s="58"/>
      <c r="AS960" s="58"/>
      <c r="AT960" s="291"/>
      <c r="AU960" s="291"/>
      <c r="AV960" s="291"/>
      <c r="AW960" s="291"/>
      <c r="AX960" s="291"/>
      <c r="AY960" s="291"/>
      <c r="AZ960" s="291"/>
      <c r="BA960" s="291"/>
      <c r="BB960" s="291"/>
      <c r="BC960" s="291"/>
      <c r="BD960" s="291"/>
      <c r="BE960" s="291"/>
      <c r="BF960" s="291"/>
      <c r="BG960" s="291"/>
      <c r="BH960" s="291"/>
      <c r="BI960" s="291"/>
      <c r="BJ960" s="291"/>
      <c r="BK960" s="291"/>
      <c r="BL960" s="291"/>
      <c r="BM960" s="57"/>
      <c r="BN960" s="57"/>
      <c r="BO960" s="57"/>
      <c r="BP960" s="57"/>
      <c r="BQ960" s="57"/>
      <c r="BR960" s="57"/>
      <c r="BS960" s="57"/>
      <c r="BT960" s="57"/>
      <c r="BU960" s="57"/>
      <c r="BV960" s="57"/>
      <c r="BW960" s="57"/>
      <c r="BX960" s="57"/>
      <c r="BY960" s="57"/>
    </row>
    <row r="961" ht="15.75" customHeight="1">
      <c r="A961" s="8">
        <v>824.0</v>
      </c>
      <c r="B961" s="34" t="s">
        <v>3011</v>
      </c>
      <c r="C961" s="34" t="s">
        <v>57</v>
      </c>
      <c r="D961" s="34" t="s">
        <v>213</v>
      </c>
      <c r="E961" s="34" t="s">
        <v>112</v>
      </c>
      <c r="F961" s="48">
        <v>42870.0</v>
      </c>
      <c r="G961" s="36">
        <v>42856.0</v>
      </c>
      <c r="H961" s="20" t="str">
        <f t="shared" si="38"/>
        <v>2017</v>
      </c>
      <c r="I961" s="8" t="s">
        <v>172</v>
      </c>
      <c r="J961" s="34" t="s">
        <v>112</v>
      </c>
      <c r="K961" s="34" t="s">
        <v>112</v>
      </c>
      <c r="L961" s="34" t="s">
        <v>100</v>
      </c>
      <c r="M961" s="297" t="s">
        <v>112</v>
      </c>
      <c r="N961" s="34" t="s">
        <v>112</v>
      </c>
      <c r="O961" s="8" t="s">
        <v>2208</v>
      </c>
      <c r="P961" s="34" t="s">
        <v>106</v>
      </c>
      <c r="Q961" s="34" t="s">
        <v>112</v>
      </c>
      <c r="R961" s="34" t="s">
        <v>112</v>
      </c>
      <c r="S961" s="34" t="s">
        <v>112</v>
      </c>
      <c r="T961" s="34">
        <v>-75.80268165</v>
      </c>
      <c r="U961" s="34">
        <v>-2.38851952</v>
      </c>
      <c r="V961" s="34" t="s">
        <v>2074</v>
      </c>
      <c r="W961" s="34" t="s">
        <v>112</v>
      </c>
      <c r="X961" s="34" t="s">
        <v>112</v>
      </c>
      <c r="Y961" s="34" t="s">
        <v>112</v>
      </c>
      <c r="Z961" s="8" t="s">
        <v>148</v>
      </c>
      <c r="AA961" s="23" t="s">
        <v>144</v>
      </c>
      <c r="AB961" s="8"/>
      <c r="AC961" s="58"/>
      <c r="AD961" s="58"/>
      <c r="AE961" s="58"/>
      <c r="AF961" s="58"/>
      <c r="AG961" s="58"/>
      <c r="AH961" s="58"/>
      <c r="AI961" s="58"/>
      <c r="AJ961" s="58"/>
      <c r="AK961" s="58"/>
      <c r="AL961" s="58"/>
      <c r="AM961" s="58"/>
      <c r="AN961" s="58"/>
      <c r="AO961" s="58"/>
      <c r="AP961" s="58"/>
      <c r="AQ961" s="58"/>
      <c r="AR961" s="58"/>
      <c r="AS961" s="58"/>
      <c r="AT961" s="291"/>
      <c r="AU961" s="291"/>
      <c r="AV961" s="291"/>
      <c r="AW961" s="291"/>
      <c r="AX961" s="291"/>
      <c r="AY961" s="291"/>
      <c r="AZ961" s="291"/>
      <c r="BA961" s="291"/>
      <c r="BB961" s="291"/>
      <c r="BC961" s="291"/>
      <c r="BD961" s="291"/>
      <c r="BE961" s="291"/>
      <c r="BF961" s="291"/>
      <c r="BG961" s="291"/>
      <c r="BH961" s="291"/>
      <c r="BI961" s="291"/>
      <c r="BJ961" s="291"/>
      <c r="BK961" s="291"/>
      <c r="BL961" s="291"/>
      <c r="BM961" s="57"/>
      <c r="BN961" s="57"/>
      <c r="BO961" s="57"/>
      <c r="BP961" s="57"/>
      <c r="BQ961" s="57"/>
      <c r="BR961" s="57"/>
      <c r="BS961" s="57"/>
      <c r="BT961" s="57"/>
      <c r="BU961" s="57"/>
      <c r="BV961" s="57"/>
      <c r="BW961" s="57"/>
      <c r="BX961" s="57"/>
      <c r="BY961" s="57"/>
    </row>
    <row r="962" ht="15.75" customHeight="1">
      <c r="A962" s="8">
        <v>825.0</v>
      </c>
      <c r="B962" s="34" t="s">
        <v>3012</v>
      </c>
      <c r="C962" s="34" t="s">
        <v>57</v>
      </c>
      <c r="D962" s="34" t="s">
        <v>213</v>
      </c>
      <c r="E962" s="34" t="s">
        <v>112</v>
      </c>
      <c r="F962" s="91">
        <v>42870.0</v>
      </c>
      <c r="G962" s="36">
        <v>42856.0</v>
      </c>
      <c r="H962" s="20" t="str">
        <f t="shared" si="38"/>
        <v>2017</v>
      </c>
      <c r="I962" s="8" t="s">
        <v>774</v>
      </c>
      <c r="J962" s="34" t="s">
        <v>112</v>
      </c>
      <c r="K962" s="34" t="s">
        <v>112</v>
      </c>
      <c r="L962" s="34" t="s">
        <v>100</v>
      </c>
      <c r="M962" s="87" t="s">
        <v>513</v>
      </c>
      <c r="N962" s="34" t="s">
        <v>3013</v>
      </c>
      <c r="O962" s="8" t="s">
        <v>3014</v>
      </c>
      <c r="P962" s="34" t="s">
        <v>106</v>
      </c>
      <c r="Q962" s="34" t="s">
        <v>112</v>
      </c>
      <c r="R962" s="34" t="s">
        <v>112</v>
      </c>
      <c r="S962" s="34" t="s">
        <v>112</v>
      </c>
      <c r="T962" s="34">
        <v>-75.86470006</v>
      </c>
      <c r="U962" s="34">
        <v>-2.31388902</v>
      </c>
      <c r="V962" s="34" t="s">
        <v>1196</v>
      </c>
      <c r="W962" s="34" t="s">
        <v>112</v>
      </c>
      <c r="X962" s="34" t="s">
        <v>112</v>
      </c>
      <c r="Y962" s="34" t="s">
        <v>112</v>
      </c>
      <c r="Z962" s="8" t="s">
        <v>148</v>
      </c>
      <c r="AA962" s="23" t="s">
        <v>144</v>
      </c>
      <c r="AB962" s="8"/>
      <c r="AC962" s="58"/>
      <c r="AD962" s="58"/>
      <c r="AE962" s="58"/>
      <c r="AF962" s="58"/>
      <c r="AG962" s="58"/>
      <c r="AH962" s="58"/>
      <c r="AI962" s="58"/>
      <c r="AJ962" s="58"/>
      <c r="AK962" s="58"/>
      <c r="AL962" s="58"/>
      <c r="AM962" s="58"/>
      <c r="AN962" s="58"/>
      <c r="AO962" s="58"/>
      <c r="AP962" s="58"/>
      <c r="AQ962" s="58"/>
      <c r="AR962" s="58"/>
      <c r="AS962" s="58"/>
      <c r="AT962" s="291"/>
      <c r="AU962" s="291"/>
      <c r="AV962" s="291"/>
      <c r="AW962" s="291"/>
      <c r="AX962" s="291"/>
      <c r="AY962" s="291"/>
      <c r="AZ962" s="291"/>
      <c r="BA962" s="291"/>
      <c r="BB962" s="291"/>
      <c r="BC962" s="291"/>
      <c r="BD962" s="291"/>
      <c r="BE962" s="291"/>
      <c r="BF962" s="291"/>
      <c r="BG962" s="291"/>
      <c r="BH962" s="291"/>
      <c r="BI962" s="291"/>
      <c r="BJ962" s="291"/>
      <c r="BK962" s="291"/>
      <c r="BL962" s="291"/>
      <c r="BM962" s="57"/>
      <c r="BN962" s="57"/>
      <c r="BO962" s="57"/>
      <c r="BP962" s="57"/>
      <c r="BQ962" s="57"/>
      <c r="BR962" s="57"/>
      <c r="BS962" s="57"/>
      <c r="BT962" s="57"/>
      <c r="BU962" s="57"/>
      <c r="BV962" s="57"/>
      <c r="BW962" s="57"/>
      <c r="BX962" s="57"/>
      <c r="BY962" s="57"/>
    </row>
    <row r="963" ht="15.75" customHeight="1">
      <c r="A963" s="8">
        <v>827.0</v>
      </c>
      <c r="B963" s="34" t="s">
        <v>3015</v>
      </c>
      <c r="C963" s="34" t="s">
        <v>57</v>
      </c>
      <c r="D963" s="34" t="s">
        <v>112</v>
      </c>
      <c r="E963" s="34" t="s">
        <v>112</v>
      </c>
      <c r="F963" s="48">
        <v>42870.0</v>
      </c>
      <c r="G963" s="36">
        <v>42856.0</v>
      </c>
      <c r="H963" s="20" t="str">
        <f t="shared" si="38"/>
        <v>2017</v>
      </c>
      <c r="I963" s="8" t="s">
        <v>774</v>
      </c>
      <c r="J963" s="34" t="s">
        <v>112</v>
      </c>
      <c r="K963" s="34" t="s">
        <v>112</v>
      </c>
      <c r="L963" s="34" t="s">
        <v>100</v>
      </c>
      <c r="M963" s="87" t="s">
        <v>513</v>
      </c>
      <c r="N963" s="34" t="s">
        <v>3016</v>
      </c>
      <c r="O963" s="8"/>
      <c r="P963" s="34" t="s">
        <v>106</v>
      </c>
      <c r="Q963" s="34" t="s">
        <v>112</v>
      </c>
      <c r="R963" s="34" t="s">
        <v>112</v>
      </c>
      <c r="S963" s="34" t="s">
        <v>112</v>
      </c>
      <c r="T963" s="34">
        <v>-75.51527</v>
      </c>
      <c r="U963" s="298">
        <v>-2.185</v>
      </c>
      <c r="V963" s="34" t="s">
        <v>631</v>
      </c>
      <c r="W963" s="34" t="s">
        <v>112</v>
      </c>
      <c r="X963" s="34" t="s">
        <v>112</v>
      </c>
      <c r="Y963" s="34" t="s">
        <v>112</v>
      </c>
      <c r="Z963" s="8" t="s">
        <v>148</v>
      </c>
      <c r="AA963" s="23" t="s">
        <v>144</v>
      </c>
      <c r="AB963" s="8"/>
      <c r="AC963" s="58"/>
      <c r="AD963" s="58"/>
      <c r="AE963" s="58"/>
      <c r="AF963" s="58"/>
      <c r="AG963" s="58"/>
      <c r="AH963" s="58"/>
      <c r="AI963" s="58"/>
      <c r="AJ963" s="58"/>
      <c r="AK963" s="58"/>
      <c r="AL963" s="58"/>
      <c r="AM963" s="58"/>
      <c r="AN963" s="58"/>
      <c r="AO963" s="58"/>
      <c r="AP963" s="58"/>
      <c r="AQ963" s="58"/>
      <c r="AR963" s="58"/>
      <c r="AS963" s="58"/>
      <c r="AT963" s="291"/>
      <c r="AU963" s="291"/>
      <c r="AV963" s="291"/>
      <c r="AW963" s="291"/>
      <c r="AX963" s="291"/>
      <c r="AY963" s="291"/>
      <c r="AZ963" s="291"/>
      <c r="BA963" s="291"/>
      <c r="BB963" s="291"/>
      <c r="BC963" s="291"/>
      <c r="BD963" s="291"/>
      <c r="BE963" s="291"/>
      <c r="BF963" s="291"/>
      <c r="BG963" s="291"/>
      <c r="BH963" s="291"/>
      <c r="BI963" s="291"/>
      <c r="BJ963" s="291"/>
      <c r="BK963" s="291"/>
      <c r="BL963" s="291"/>
      <c r="BM963" s="57"/>
      <c r="BN963" s="57"/>
      <c r="BO963" s="57"/>
      <c r="BP963" s="57"/>
      <c r="BQ963" s="57"/>
      <c r="BR963" s="57"/>
      <c r="BS963" s="57"/>
      <c r="BT963" s="57"/>
      <c r="BU963" s="57"/>
      <c r="BV963" s="57"/>
      <c r="BW963" s="57"/>
      <c r="BX963" s="57"/>
      <c r="BY963" s="57"/>
    </row>
    <row r="964" ht="15.75" customHeight="1">
      <c r="A964" s="8">
        <v>828.0</v>
      </c>
      <c r="B964" s="34" t="s">
        <v>3017</v>
      </c>
      <c r="C964" s="28" t="s">
        <v>49</v>
      </c>
      <c r="D964" s="68" t="s">
        <v>112</v>
      </c>
      <c r="E964" s="34" t="s">
        <v>112</v>
      </c>
      <c r="F964" s="107">
        <v>42871.0</v>
      </c>
      <c r="G964" s="95">
        <v>42856.0</v>
      </c>
      <c r="H964" s="20" t="str">
        <f t="shared" si="38"/>
        <v>2017</v>
      </c>
      <c r="I964" s="8" t="s">
        <v>63</v>
      </c>
      <c r="J964" s="68" t="s">
        <v>112</v>
      </c>
      <c r="K964" s="68" t="s">
        <v>112</v>
      </c>
      <c r="L964" s="28" t="s">
        <v>100</v>
      </c>
      <c r="M964" s="68" t="s">
        <v>187</v>
      </c>
      <c r="N964" s="34" t="s">
        <v>3018</v>
      </c>
      <c r="O964" s="8" t="s">
        <v>3019</v>
      </c>
      <c r="P964" s="34" t="s">
        <v>106</v>
      </c>
      <c r="Q964" s="68" t="s">
        <v>112</v>
      </c>
      <c r="R964" s="68" t="s">
        <v>112</v>
      </c>
      <c r="S964" s="68" t="s">
        <v>112</v>
      </c>
      <c r="T964" s="68">
        <v>-75.80263359</v>
      </c>
      <c r="U964" s="68">
        <v>-2.38846445</v>
      </c>
      <c r="V964" s="28" t="s">
        <v>1971</v>
      </c>
      <c r="W964" s="68" t="s">
        <v>112</v>
      </c>
      <c r="X964" s="68" t="s">
        <v>112</v>
      </c>
      <c r="Y964" s="68" t="s">
        <v>112</v>
      </c>
      <c r="Z964" s="8" t="s">
        <v>148</v>
      </c>
      <c r="AA964" s="23" t="s">
        <v>144</v>
      </c>
      <c r="AB964" s="8"/>
      <c r="AC964" s="58"/>
      <c r="AD964" s="58"/>
      <c r="AE964" s="58"/>
      <c r="AF964" s="58"/>
      <c r="AG964" s="58"/>
      <c r="AH964" s="58"/>
      <c r="AI964" s="58"/>
      <c r="AJ964" s="58"/>
      <c r="AK964" s="58"/>
      <c r="AL964" s="58"/>
      <c r="AM964" s="58"/>
      <c r="AN964" s="58"/>
      <c r="AO964" s="58"/>
      <c r="AP964" s="58"/>
      <c r="AQ964" s="58"/>
      <c r="AR964" s="58"/>
      <c r="AS964" s="58"/>
      <c r="AT964" s="291"/>
      <c r="AU964" s="291"/>
      <c r="AV964" s="291"/>
      <c r="AW964" s="291"/>
      <c r="AX964" s="291"/>
      <c r="AY964" s="291"/>
      <c r="AZ964" s="291"/>
      <c r="BA964" s="291"/>
      <c r="BB964" s="291"/>
      <c r="BC964" s="291"/>
      <c r="BD964" s="291"/>
      <c r="BE964" s="291"/>
      <c r="BF964" s="291"/>
      <c r="BG964" s="291"/>
      <c r="BH964" s="291"/>
      <c r="BI964" s="291"/>
      <c r="BJ964" s="291"/>
      <c r="BK964" s="291"/>
      <c r="BL964" s="291"/>
      <c r="BM964" s="57"/>
      <c r="BN964" s="57"/>
      <c r="BO964" s="57"/>
      <c r="BP964" s="57"/>
      <c r="BQ964" s="57"/>
      <c r="BR964" s="57"/>
      <c r="BS964" s="57"/>
      <c r="BT964" s="57"/>
      <c r="BU964" s="57"/>
      <c r="BV964" s="57"/>
      <c r="BW964" s="57"/>
      <c r="BX964" s="57"/>
      <c r="BY964" s="57"/>
    </row>
    <row r="965" ht="15.75" customHeight="1">
      <c r="A965" s="8">
        <v>835.0</v>
      </c>
      <c r="B965" s="34" t="s">
        <v>3020</v>
      </c>
      <c r="C965" s="28" t="s">
        <v>48</v>
      </c>
      <c r="D965" s="34" t="s">
        <v>112</v>
      </c>
      <c r="E965" s="34" t="s">
        <v>112</v>
      </c>
      <c r="F965" s="48">
        <v>42873.0</v>
      </c>
      <c r="G965" s="36">
        <v>42856.0</v>
      </c>
      <c r="H965" s="20" t="str">
        <f t="shared" si="38"/>
        <v>2017</v>
      </c>
      <c r="I965" s="8" t="s">
        <v>176</v>
      </c>
      <c r="J965" s="34" t="s">
        <v>112</v>
      </c>
      <c r="K965" s="34" t="s">
        <v>112</v>
      </c>
      <c r="L965" s="28" t="s">
        <v>100</v>
      </c>
      <c r="M965" s="87" t="s">
        <v>513</v>
      </c>
      <c r="N965" s="34" t="s">
        <v>112</v>
      </c>
      <c r="O965" s="8" t="s">
        <v>877</v>
      </c>
      <c r="P965" s="34" t="s">
        <v>106</v>
      </c>
      <c r="Q965" s="34" t="s">
        <v>112</v>
      </c>
      <c r="R965" s="28" t="s">
        <v>112</v>
      </c>
      <c r="S965" s="28" t="s">
        <v>112</v>
      </c>
      <c r="T965" s="28">
        <v>-76.19252381</v>
      </c>
      <c r="U965" s="28">
        <v>-2.56184066</v>
      </c>
      <c r="V965" s="28" t="s">
        <v>1339</v>
      </c>
      <c r="W965" s="34" t="s">
        <v>112</v>
      </c>
      <c r="X965" s="34" t="s">
        <v>112</v>
      </c>
      <c r="Y965" s="34" t="s">
        <v>112</v>
      </c>
      <c r="Z965" s="8" t="s">
        <v>148</v>
      </c>
      <c r="AA965" s="23" t="s">
        <v>144</v>
      </c>
      <c r="AB965" s="8"/>
      <c r="AC965" s="58"/>
      <c r="AD965" s="58"/>
      <c r="AE965" s="58"/>
      <c r="AF965" s="58"/>
      <c r="AG965" s="58"/>
      <c r="AH965" s="58"/>
      <c r="AI965" s="58"/>
      <c r="AJ965" s="58"/>
      <c r="AK965" s="58"/>
      <c r="AL965" s="58"/>
      <c r="AM965" s="58"/>
      <c r="AN965" s="58"/>
      <c r="AO965" s="58"/>
      <c r="AP965" s="58"/>
      <c r="AQ965" s="58"/>
      <c r="AR965" s="58"/>
      <c r="AS965" s="58"/>
      <c r="AT965" s="291"/>
      <c r="AU965" s="291"/>
      <c r="AV965" s="291"/>
      <c r="AW965" s="291"/>
      <c r="AX965" s="291"/>
      <c r="AY965" s="291"/>
      <c r="AZ965" s="291"/>
      <c r="BA965" s="291"/>
      <c r="BB965" s="291"/>
      <c r="BC965" s="291"/>
      <c r="BD965" s="291"/>
      <c r="BE965" s="291"/>
      <c r="BF965" s="291"/>
      <c r="BG965" s="291"/>
      <c r="BH965" s="291"/>
      <c r="BI965" s="291"/>
      <c r="BJ965" s="291"/>
      <c r="BK965" s="291"/>
      <c r="BL965" s="291"/>
      <c r="BM965" s="57"/>
      <c r="BN965" s="57"/>
      <c r="BO965" s="57"/>
      <c r="BP965" s="57"/>
      <c r="BQ965" s="57"/>
      <c r="BR965" s="57"/>
      <c r="BS965" s="57"/>
      <c r="BT965" s="57"/>
      <c r="BU965" s="57"/>
      <c r="BV965" s="57"/>
      <c r="BW965" s="57"/>
      <c r="BX965" s="57"/>
      <c r="BY965" s="57"/>
    </row>
    <row r="966" ht="15.75" customHeight="1">
      <c r="A966" s="8">
        <v>847.0</v>
      </c>
      <c r="B966" s="17" t="s">
        <v>3021</v>
      </c>
      <c r="C966" s="299" t="s">
        <v>48</v>
      </c>
      <c r="D966" s="17" t="s">
        <v>112</v>
      </c>
      <c r="E966" s="17" t="s">
        <v>112</v>
      </c>
      <c r="F966" s="48">
        <v>42881.0</v>
      </c>
      <c r="G966" s="19">
        <v>42856.0</v>
      </c>
      <c r="H966" s="300" t="str">
        <f t="shared" si="38"/>
        <v>2017</v>
      </c>
      <c r="I966" s="8" t="s">
        <v>176</v>
      </c>
      <c r="J966" s="17" t="s">
        <v>112</v>
      </c>
      <c r="K966" s="17" t="s">
        <v>112</v>
      </c>
      <c r="L966" s="299" t="s">
        <v>100</v>
      </c>
      <c r="M966" s="301" t="s">
        <v>513</v>
      </c>
      <c r="N966" s="17" t="s">
        <v>946</v>
      </c>
      <c r="O966" s="8" t="s">
        <v>3022</v>
      </c>
      <c r="P966" s="17" t="s">
        <v>106</v>
      </c>
      <c r="Q966" s="17" t="s">
        <v>112</v>
      </c>
      <c r="R966" s="299" t="s">
        <v>112</v>
      </c>
      <c r="S966" s="299" t="s">
        <v>112</v>
      </c>
      <c r="T966" s="299">
        <v>-76.19258939</v>
      </c>
      <c r="U966" s="299">
        <v>-2.56185839</v>
      </c>
      <c r="V966" s="299" t="s">
        <v>844</v>
      </c>
      <c r="W966" s="17" t="s">
        <v>112</v>
      </c>
      <c r="X966" s="17" t="s">
        <v>112</v>
      </c>
      <c r="Y966" s="17" t="s">
        <v>112</v>
      </c>
      <c r="Z966" s="8" t="s">
        <v>148</v>
      </c>
      <c r="AA966" s="8" t="s">
        <v>144</v>
      </c>
      <c r="AB966" s="8"/>
      <c r="AC966" s="58"/>
      <c r="AD966" s="58"/>
      <c r="AE966" s="58"/>
      <c r="AF966" s="58"/>
      <c r="AG966" s="58"/>
      <c r="AH966" s="58"/>
      <c r="AI966" s="58"/>
      <c r="AJ966" s="58"/>
      <c r="AK966" s="58"/>
      <c r="AL966" s="58"/>
      <c r="AM966" s="58"/>
      <c r="AN966" s="58"/>
      <c r="AO966" s="58"/>
      <c r="AP966" s="58"/>
      <c r="AQ966" s="58"/>
      <c r="AR966" s="58"/>
      <c r="AS966" s="58"/>
      <c r="AT966" s="291"/>
      <c r="AU966" s="291"/>
      <c r="AV966" s="291"/>
      <c r="AW966" s="291"/>
      <c r="AX966" s="291"/>
      <c r="AY966" s="291"/>
      <c r="AZ966" s="291"/>
      <c r="BA966" s="291"/>
      <c r="BB966" s="291"/>
      <c r="BC966" s="291"/>
      <c r="BD966" s="291"/>
      <c r="BE966" s="291"/>
      <c r="BF966" s="291"/>
      <c r="BG966" s="291"/>
      <c r="BH966" s="291"/>
      <c r="BI966" s="291"/>
      <c r="BJ966" s="291"/>
      <c r="BK966" s="291"/>
      <c r="BL966" s="291"/>
      <c r="BM966" s="57"/>
      <c r="BN966" s="57"/>
      <c r="BO966" s="57"/>
      <c r="BP966" s="57"/>
      <c r="BQ966" s="57"/>
      <c r="BR966" s="57"/>
      <c r="BS966" s="57"/>
      <c r="BT966" s="57"/>
      <c r="BU966" s="57"/>
      <c r="BV966" s="57"/>
      <c r="BW966" s="57"/>
      <c r="BX966" s="57"/>
      <c r="BY966" s="57"/>
    </row>
    <row r="967" ht="15.75" customHeight="1">
      <c r="A967" s="8">
        <v>851.0</v>
      </c>
      <c r="B967" s="80" t="s">
        <v>3023</v>
      </c>
      <c r="C967" s="28" t="s">
        <v>48</v>
      </c>
      <c r="D967" s="68" t="s">
        <v>112</v>
      </c>
      <c r="E967" s="34" t="s">
        <v>112</v>
      </c>
      <c r="F967" s="107">
        <v>42917.0</v>
      </c>
      <c r="G967" s="95">
        <v>42917.0</v>
      </c>
      <c r="H967" s="20" t="str">
        <f t="shared" si="38"/>
        <v>2017</v>
      </c>
      <c r="I967" s="8" t="s">
        <v>176</v>
      </c>
      <c r="J967" s="68" t="s">
        <v>112</v>
      </c>
      <c r="K967" s="68" t="s">
        <v>112</v>
      </c>
      <c r="L967" s="28" t="s">
        <v>100</v>
      </c>
      <c r="M967" s="87" t="s">
        <v>513</v>
      </c>
      <c r="N967" s="34" t="s">
        <v>3024</v>
      </c>
      <c r="O967" s="8" t="s">
        <v>3025</v>
      </c>
      <c r="P967" s="34" t="s">
        <v>106</v>
      </c>
      <c r="Q967" s="68" t="s">
        <v>112</v>
      </c>
      <c r="R967" s="28" t="s">
        <v>112</v>
      </c>
      <c r="S967" s="28" t="s">
        <v>112</v>
      </c>
      <c r="T967" s="28" t="s">
        <v>112</v>
      </c>
      <c r="U967" s="28" t="s">
        <v>112</v>
      </c>
      <c r="V967" s="28" t="s">
        <v>2066</v>
      </c>
      <c r="W967" s="68" t="s">
        <v>112</v>
      </c>
      <c r="X967" s="68" t="s">
        <v>112</v>
      </c>
      <c r="Y967" s="68" t="s">
        <v>112</v>
      </c>
      <c r="Z967" s="8" t="s">
        <v>148</v>
      </c>
      <c r="AA967" s="23" t="s">
        <v>144</v>
      </c>
      <c r="AB967" s="8"/>
      <c r="AC967" s="201"/>
      <c r="AD967" s="201"/>
      <c r="AE967" s="201"/>
      <c r="AF967" s="201"/>
      <c r="AG967" s="201"/>
      <c r="AH967" s="201"/>
      <c r="AI967" s="201"/>
      <c r="AJ967" s="201"/>
      <c r="AK967" s="201"/>
      <c r="AL967" s="201"/>
      <c r="AM967" s="201"/>
      <c r="AN967" s="201"/>
      <c r="AO967" s="201"/>
      <c r="AP967" s="201"/>
      <c r="AQ967" s="201"/>
      <c r="AR967" s="201"/>
      <c r="AS967" s="201"/>
      <c r="AT967" s="302"/>
      <c r="AU967" s="302"/>
      <c r="AV967" s="302"/>
      <c r="AW967" s="302"/>
      <c r="AX967" s="302"/>
      <c r="AY967" s="302"/>
      <c r="AZ967" s="302"/>
      <c r="BA967" s="302"/>
      <c r="BB967" s="302"/>
      <c r="BC967" s="302"/>
      <c r="BD967" s="302"/>
      <c r="BE967" s="302"/>
      <c r="BF967" s="302"/>
      <c r="BG967" s="302"/>
      <c r="BH967" s="302"/>
      <c r="BI967" s="302"/>
      <c r="BJ967" s="302"/>
      <c r="BK967" s="302"/>
      <c r="BL967" s="302"/>
      <c r="BM967" s="303"/>
      <c r="BN967" s="303"/>
      <c r="BO967" s="303"/>
      <c r="BP967" s="303"/>
      <c r="BQ967" s="303"/>
      <c r="BR967" s="303"/>
      <c r="BS967" s="303"/>
      <c r="BT967" s="303"/>
      <c r="BU967" s="303"/>
      <c r="BV967" s="303"/>
      <c r="BW967" s="303"/>
      <c r="BX967" s="303"/>
      <c r="BY967" s="57"/>
    </row>
    <row r="968" ht="15.75" customHeight="1">
      <c r="A968" s="8">
        <v>866.0</v>
      </c>
      <c r="B968" s="34" t="s">
        <v>3026</v>
      </c>
      <c r="C968" s="28" t="s">
        <v>48</v>
      </c>
      <c r="D968" s="34" t="s">
        <v>112</v>
      </c>
      <c r="E968" s="34" t="s">
        <v>112</v>
      </c>
      <c r="F968" s="107">
        <v>42999.0</v>
      </c>
      <c r="G968" s="36">
        <v>42979.0</v>
      </c>
      <c r="H968" s="20" t="str">
        <f t="shared" si="38"/>
        <v>2017</v>
      </c>
      <c r="I968" s="8" t="s">
        <v>3027</v>
      </c>
      <c r="J968" s="34" t="s">
        <v>112</v>
      </c>
      <c r="K968" s="34" t="s">
        <v>112</v>
      </c>
      <c r="L968" s="28" t="s">
        <v>1336</v>
      </c>
      <c r="M968" s="87" t="s">
        <v>177</v>
      </c>
      <c r="N968" s="28" t="s">
        <v>1880</v>
      </c>
      <c r="O968" s="8" t="s">
        <v>1810</v>
      </c>
      <c r="P968" s="34" t="s">
        <v>106</v>
      </c>
      <c r="Q968" s="34" t="s">
        <v>112</v>
      </c>
      <c r="R968" s="28" t="s">
        <v>112</v>
      </c>
      <c r="S968" s="28" t="s">
        <v>112</v>
      </c>
      <c r="T968" s="28">
        <v>-75.07201311</v>
      </c>
      <c r="U968" s="28">
        <v>-3.82088151</v>
      </c>
      <c r="V968" s="28" t="s">
        <v>1339</v>
      </c>
      <c r="W968" s="34" t="s">
        <v>112</v>
      </c>
      <c r="X968" s="34" t="s">
        <v>112</v>
      </c>
      <c r="Y968" s="34" t="s">
        <v>112</v>
      </c>
      <c r="Z968" s="8" t="s">
        <v>148</v>
      </c>
      <c r="AA968" s="23" t="s">
        <v>144</v>
      </c>
      <c r="AB968" s="8"/>
      <c r="AC968" s="58"/>
      <c r="AD968" s="58"/>
      <c r="AE968" s="58"/>
      <c r="AF968" s="58"/>
      <c r="AG968" s="58"/>
      <c r="AH968" s="58"/>
      <c r="AI968" s="58"/>
      <c r="AJ968" s="58"/>
      <c r="AK968" s="58"/>
      <c r="AL968" s="58"/>
      <c r="AM968" s="58"/>
      <c r="AN968" s="58"/>
      <c r="AO968" s="58"/>
      <c r="AP968" s="58"/>
      <c r="AQ968" s="58"/>
      <c r="AR968" s="58"/>
      <c r="AS968" s="58"/>
      <c r="AT968" s="291"/>
      <c r="AU968" s="291"/>
      <c r="AV968" s="291"/>
      <c r="AW968" s="291"/>
      <c r="AX968" s="291"/>
      <c r="AY968" s="291"/>
      <c r="AZ968" s="291"/>
      <c r="BA968" s="291"/>
      <c r="BB968" s="291"/>
      <c r="BC968" s="291"/>
      <c r="BD968" s="291"/>
      <c r="BE968" s="291"/>
      <c r="BF968" s="291"/>
      <c r="BG968" s="291"/>
      <c r="BH968" s="291"/>
      <c r="BI968" s="291"/>
      <c r="BJ968" s="291"/>
      <c r="BK968" s="291"/>
      <c r="BL968" s="291"/>
      <c r="BM968" s="57"/>
      <c r="BN968" s="57"/>
      <c r="BO968" s="57"/>
      <c r="BP968" s="57"/>
      <c r="BQ968" s="57"/>
      <c r="BR968" s="57"/>
      <c r="BS968" s="57"/>
      <c r="BT968" s="57"/>
      <c r="BU968" s="57"/>
      <c r="BV968" s="57"/>
      <c r="BW968" s="57"/>
      <c r="BX968" s="57"/>
      <c r="BY968" s="57"/>
    </row>
    <row r="969" ht="15.75" customHeight="1">
      <c r="A969" s="8">
        <v>874.0</v>
      </c>
      <c r="B969" s="34" t="s">
        <v>3028</v>
      </c>
      <c r="C969" s="34" t="s">
        <v>57</v>
      </c>
      <c r="D969" s="34" t="s">
        <v>213</v>
      </c>
      <c r="E969" s="34" t="s">
        <v>112</v>
      </c>
      <c r="F969" s="48">
        <v>43059.0</v>
      </c>
      <c r="G969" s="20">
        <v>43040.0</v>
      </c>
      <c r="H969" s="20" t="str">
        <f t="shared" si="38"/>
        <v>2017</v>
      </c>
      <c r="I969" s="8" t="s">
        <v>186</v>
      </c>
      <c r="J969" s="34" t="s">
        <v>112</v>
      </c>
      <c r="K969" s="34" t="s">
        <v>112</v>
      </c>
      <c r="L969" s="34" t="s">
        <v>100</v>
      </c>
      <c r="M969" s="297" t="s">
        <v>112</v>
      </c>
      <c r="N969" s="34" t="s">
        <v>3029</v>
      </c>
      <c r="O969" s="8" t="s">
        <v>3030</v>
      </c>
      <c r="P969" s="34" t="s">
        <v>106</v>
      </c>
      <c r="Q969" s="34" t="s">
        <v>112</v>
      </c>
      <c r="R969" s="34" t="s">
        <v>112</v>
      </c>
      <c r="S969" s="34" t="s">
        <v>112</v>
      </c>
      <c r="T969" s="34" t="s">
        <v>2143</v>
      </c>
      <c r="U969" s="34" t="s">
        <v>2144</v>
      </c>
      <c r="V969" s="34" t="s">
        <v>1454</v>
      </c>
      <c r="W969" s="34" t="s">
        <v>112</v>
      </c>
      <c r="X969" s="34" t="s">
        <v>112</v>
      </c>
      <c r="Y969" s="34" t="s">
        <v>112</v>
      </c>
      <c r="Z969" s="8" t="s">
        <v>148</v>
      </c>
      <c r="AA969" s="23" t="s">
        <v>144</v>
      </c>
      <c r="AB969" s="8"/>
      <c r="AC969" s="58"/>
      <c r="AD969" s="58"/>
      <c r="AE969" s="58"/>
      <c r="AF969" s="58"/>
      <c r="AG969" s="58"/>
      <c r="AH969" s="58"/>
      <c r="AI969" s="58"/>
      <c r="AJ969" s="58"/>
      <c r="AK969" s="58"/>
      <c r="AL969" s="58"/>
      <c r="AM969" s="58"/>
      <c r="AN969" s="58"/>
      <c r="AO969" s="58"/>
      <c r="AP969" s="58"/>
      <c r="AQ969" s="58"/>
      <c r="AR969" s="58"/>
      <c r="AS969" s="58"/>
      <c r="AT969" s="291"/>
      <c r="AU969" s="291"/>
      <c r="AV969" s="291"/>
      <c r="AW969" s="291"/>
      <c r="AX969" s="291"/>
      <c r="AY969" s="291"/>
      <c r="AZ969" s="291"/>
      <c r="BA969" s="291"/>
      <c r="BB969" s="291"/>
      <c r="BC969" s="291"/>
      <c r="BD969" s="291"/>
      <c r="BE969" s="291"/>
      <c r="BF969" s="291"/>
      <c r="BG969" s="291"/>
      <c r="BH969" s="291"/>
      <c r="BI969" s="291"/>
      <c r="BJ969" s="291"/>
      <c r="BK969" s="291"/>
      <c r="BL969" s="291"/>
      <c r="BM969" s="57"/>
      <c r="BN969" s="57"/>
      <c r="BO969" s="57"/>
      <c r="BP969" s="57"/>
      <c r="BQ969" s="57"/>
      <c r="BR969" s="57"/>
      <c r="BS969" s="57"/>
      <c r="BT969" s="57"/>
      <c r="BU969" s="57"/>
      <c r="BV969" s="57"/>
      <c r="BW969" s="57"/>
      <c r="BX969" s="57"/>
      <c r="BY969" s="57"/>
    </row>
    <row r="970" ht="15.75" customHeight="1">
      <c r="A970" s="8">
        <v>876.0</v>
      </c>
      <c r="B970" s="34" t="s">
        <v>3031</v>
      </c>
      <c r="C970" s="34" t="s">
        <v>57</v>
      </c>
      <c r="D970" s="34" t="s">
        <v>112</v>
      </c>
      <c r="E970" s="34" t="s">
        <v>112</v>
      </c>
      <c r="F970" s="48">
        <v>43065.0</v>
      </c>
      <c r="G970" s="20">
        <v>43040.0</v>
      </c>
      <c r="H970" s="20" t="str">
        <f t="shared" si="38"/>
        <v>2017</v>
      </c>
      <c r="I970" s="8" t="s">
        <v>176</v>
      </c>
      <c r="J970" s="34" t="s">
        <v>112</v>
      </c>
      <c r="K970" s="34" t="s">
        <v>112</v>
      </c>
      <c r="L970" s="34" t="s">
        <v>100</v>
      </c>
      <c r="M970" s="87" t="s">
        <v>513</v>
      </c>
      <c r="N970" s="34" t="s">
        <v>112</v>
      </c>
      <c r="O970" s="8" t="s">
        <v>1078</v>
      </c>
      <c r="P970" s="34" t="s">
        <v>106</v>
      </c>
      <c r="Q970" s="34" t="s">
        <v>112</v>
      </c>
      <c r="R970" s="34" t="s">
        <v>112</v>
      </c>
      <c r="S970" s="34" t="s">
        <v>112</v>
      </c>
      <c r="T970" s="67">
        <v>-75.51521108</v>
      </c>
      <c r="U970" s="67">
        <v>2.18464853</v>
      </c>
      <c r="V970" s="34" t="s">
        <v>1454</v>
      </c>
      <c r="W970" s="34" t="s">
        <v>112</v>
      </c>
      <c r="X970" s="67" t="s">
        <v>112</v>
      </c>
      <c r="Y970" s="67" t="s">
        <v>112</v>
      </c>
      <c r="Z970" s="8" t="s">
        <v>148</v>
      </c>
      <c r="AA970" s="23" t="s">
        <v>144</v>
      </c>
      <c r="AB970" s="8"/>
      <c r="AC970" s="58"/>
      <c r="AD970" s="58"/>
      <c r="AE970" s="58"/>
      <c r="AF970" s="58"/>
      <c r="AG970" s="58"/>
      <c r="AH970" s="58"/>
      <c r="AI970" s="58"/>
      <c r="AJ970" s="58"/>
      <c r="AK970" s="58"/>
      <c r="AL970" s="58"/>
      <c r="AM970" s="58"/>
      <c r="AN970" s="58"/>
      <c r="AO970" s="58"/>
      <c r="AP970" s="58"/>
      <c r="AQ970" s="58"/>
      <c r="AR970" s="58"/>
      <c r="AS970" s="58"/>
      <c r="AT970" s="291"/>
      <c r="AU970" s="291"/>
      <c r="AV970" s="291"/>
      <c r="AW970" s="291"/>
      <c r="AX970" s="291"/>
      <c r="AY970" s="291"/>
      <c r="AZ970" s="291"/>
      <c r="BA970" s="291"/>
      <c r="BB970" s="291"/>
      <c r="BC970" s="291"/>
      <c r="BD970" s="291"/>
      <c r="BE970" s="291"/>
      <c r="BF970" s="291"/>
      <c r="BG970" s="291"/>
      <c r="BH970" s="291"/>
      <c r="BI970" s="291"/>
      <c r="BJ970" s="291"/>
      <c r="BK970" s="291"/>
      <c r="BL970" s="291"/>
      <c r="BM970" s="57"/>
      <c r="BN970" s="57"/>
      <c r="BO970" s="57"/>
      <c r="BP970" s="57"/>
      <c r="BQ970" s="57"/>
      <c r="BR970" s="57"/>
      <c r="BS970" s="57"/>
      <c r="BT970" s="57"/>
      <c r="BU970" s="57"/>
      <c r="BV970" s="57"/>
      <c r="BW970" s="57"/>
      <c r="BX970" s="57"/>
      <c r="BY970" s="57"/>
    </row>
    <row r="971" ht="15.75" customHeight="1">
      <c r="A971" s="8">
        <v>878.0</v>
      </c>
      <c r="B971" s="34" t="s">
        <v>3032</v>
      </c>
      <c r="C971" s="34" t="s">
        <v>57</v>
      </c>
      <c r="D971" s="34" t="s">
        <v>213</v>
      </c>
      <c r="E971" s="34" t="s">
        <v>112</v>
      </c>
      <c r="F971" s="48">
        <v>43079.0</v>
      </c>
      <c r="G971" s="20">
        <v>43070.0</v>
      </c>
      <c r="H971" s="20" t="str">
        <f t="shared" si="38"/>
        <v>2017</v>
      </c>
      <c r="I971" s="8" t="s">
        <v>176</v>
      </c>
      <c r="J971" s="34" t="s">
        <v>112</v>
      </c>
      <c r="K971" s="34" t="s">
        <v>112</v>
      </c>
      <c r="L971" s="34" t="s">
        <v>100</v>
      </c>
      <c r="M971" s="87" t="s">
        <v>513</v>
      </c>
      <c r="N971" s="34" t="s">
        <v>3033</v>
      </c>
      <c r="O971" s="8" t="s">
        <v>3034</v>
      </c>
      <c r="P971" s="34" t="s">
        <v>106</v>
      </c>
      <c r="Q971" s="34" t="s">
        <v>112</v>
      </c>
      <c r="R971" s="34" t="s">
        <v>112</v>
      </c>
      <c r="S971" s="34" t="s">
        <v>112</v>
      </c>
      <c r="T971" s="34">
        <v>-75.86565936</v>
      </c>
      <c r="U971" s="34" t="s">
        <v>3035</v>
      </c>
      <c r="V971" s="34" t="s">
        <v>1454</v>
      </c>
      <c r="W971" s="34" t="s">
        <v>112</v>
      </c>
      <c r="X971" s="34" t="s">
        <v>112</v>
      </c>
      <c r="Y971" s="34" t="s">
        <v>112</v>
      </c>
      <c r="Z971" s="8" t="s">
        <v>148</v>
      </c>
      <c r="AA971" s="23" t="s">
        <v>144</v>
      </c>
      <c r="AB971" s="8"/>
      <c r="AC971" s="58"/>
      <c r="AD971" s="58"/>
      <c r="AE971" s="58"/>
      <c r="AF971" s="58"/>
      <c r="AG971" s="58"/>
      <c r="AH971" s="58"/>
      <c r="AI971" s="58"/>
      <c r="AJ971" s="58"/>
      <c r="AK971" s="58"/>
      <c r="AL971" s="58"/>
      <c r="AM971" s="58"/>
      <c r="AN971" s="58"/>
      <c r="AO971" s="58"/>
      <c r="AP971" s="58"/>
      <c r="AQ971" s="58"/>
      <c r="AR971" s="58"/>
      <c r="AS971" s="58"/>
      <c r="AT971" s="291"/>
      <c r="AU971" s="291"/>
      <c r="AV971" s="291"/>
      <c r="AW971" s="291"/>
      <c r="AX971" s="291"/>
      <c r="AY971" s="291"/>
      <c r="AZ971" s="291"/>
      <c r="BA971" s="291"/>
      <c r="BB971" s="291"/>
      <c r="BC971" s="291"/>
      <c r="BD971" s="291"/>
      <c r="BE971" s="291"/>
      <c r="BF971" s="291"/>
      <c r="BG971" s="291"/>
      <c r="BH971" s="291"/>
      <c r="BI971" s="291"/>
      <c r="BJ971" s="291"/>
      <c r="BK971" s="291"/>
      <c r="BL971" s="291"/>
      <c r="BM971" s="57"/>
      <c r="BN971" s="57"/>
      <c r="BO971" s="57"/>
      <c r="BP971" s="57"/>
      <c r="BQ971" s="57"/>
      <c r="BR971" s="57"/>
      <c r="BS971" s="57"/>
      <c r="BT971" s="57"/>
      <c r="BU971" s="57"/>
      <c r="BV971" s="57"/>
      <c r="BW971" s="57"/>
      <c r="BX971" s="57"/>
      <c r="BY971" s="57"/>
    </row>
    <row r="972" ht="15.75" customHeight="1">
      <c r="A972" s="8">
        <v>894.0</v>
      </c>
      <c r="B972" s="34" t="s">
        <v>3036</v>
      </c>
      <c r="C972" s="28" t="s">
        <v>48</v>
      </c>
      <c r="D972" s="34" t="s">
        <v>112</v>
      </c>
      <c r="E972" s="34" t="s">
        <v>112</v>
      </c>
      <c r="F972" s="48">
        <v>43160.0</v>
      </c>
      <c r="G972" s="36">
        <v>43160.0</v>
      </c>
      <c r="H972" s="20" t="str">
        <f t="shared" si="38"/>
        <v>2018</v>
      </c>
      <c r="I972" s="8" t="s">
        <v>186</v>
      </c>
      <c r="J972" s="34" t="s">
        <v>112</v>
      </c>
      <c r="K972" s="34" t="s">
        <v>112</v>
      </c>
      <c r="L972" s="28" t="s">
        <v>1336</v>
      </c>
      <c r="M972" s="87" t="s">
        <v>1420</v>
      </c>
      <c r="N972" s="34" t="s">
        <v>3037</v>
      </c>
      <c r="O972" s="8" t="s">
        <v>3038</v>
      </c>
      <c r="P972" s="34" t="s">
        <v>106</v>
      </c>
      <c r="Q972" s="34" t="s">
        <v>112</v>
      </c>
      <c r="R972" s="34" t="s">
        <v>112</v>
      </c>
      <c r="S972" s="34" t="s">
        <v>112</v>
      </c>
      <c r="T972" s="34">
        <v>-75.6533156</v>
      </c>
      <c r="U972" s="34">
        <v>-3.2440097</v>
      </c>
      <c r="V972" s="28" t="s">
        <v>1423</v>
      </c>
      <c r="W972" s="34" t="s">
        <v>112</v>
      </c>
      <c r="X972" s="34" t="s">
        <v>112</v>
      </c>
      <c r="Y972" s="34" t="s">
        <v>112</v>
      </c>
      <c r="Z972" s="8" t="s">
        <v>148</v>
      </c>
      <c r="AA972" s="23" t="s">
        <v>144</v>
      </c>
      <c r="AB972" s="8"/>
      <c r="AC972" s="58"/>
      <c r="AD972" s="58"/>
      <c r="AE972" s="58"/>
      <c r="AF972" s="58"/>
      <c r="AG972" s="58"/>
      <c r="AH972" s="58"/>
      <c r="AI972" s="58"/>
      <c r="AJ972" s="58"/>
      <c r="AK972" s="58"/>
      <c r="AL972" s="58"/>
      <c r="AM972" s="58"/>
      <c r="AN972" s="58"/>
      <c r="AO972" s="58"/>
      <c r="AP972" s="58"/>
      <c r="AQ972" s="58"/>
      <c r="AR972" s="58"/>
      <c r="AS972" s="58"/>
      <c r="AT972" s="291"/>
      <c r="AU972" s="291"/>
      <c r="AV972" s="291"/>
      <c r="AW972" s="291"/>
      <c r="AX972" s="291"/>
      <c r="AY972" s="291"/>
      <c r="AZ972" s="291"/>
      <c r="BA972" s="291"/>
      <c r="BB972" s="291"/>
      <c r="BC972" s="291"/>
      <c r="BD972" s="291"/>
      <c r="BE972" s="291"/>
      <c r="BF972" s="291"/>
      <c r="BG972" s="291"/>
      <c r="BH972" s="291"/>
      <c r="BI972" s="291"/>
      <c r="BJ972" s="291"/>
      <c r="BK972" s="291"/>
      <c r="BL972" s="291"/>
      <c r="BM972" s="57"/>
      <c r="BN972" s="57"/>
      <c r="BO972" s="57"/>
      <c r="BP972" s="57"/>
      <c r="BQ972" s="57"/>
      <c r="BR972" s="57"/>
      <c r="BS972" s="57"/>
      <c r="BT972" s="57"/>
      <c r="BU972" s="57"/>
      <c r="BV972" s="57"/>
      <c r="BW972" s="57"/>
      <c r="BX972" s="57"/>
      <c r="BY972" s="57"/>
    </row>
    <row r="973" ht="15.75" customHeight="1">
      <c r="A973" s="52">
        <v>938.0</v>
      </c>
      <c r="B973" s="53" t="s">
        <v>3039</v>
      </c>
      <c r="C973" s="53" t="s">
        <v>57</v>
      </c>
      <c r="D973" s="53" t="s">
        <v>694</v>
      </c>
      <c r="E973" s="53" t="s">
        <v>964</v>
      </c>
      <c r="F973" s="54">
        <v>44018.0</v>
      </c>
      <c r="G973" s="54">
        <v>43989.0</v>
      </c>
      <c r="H973" s="53">
        <v>2020.0</v>
      </c>
      <c r="I973" s="53" t="s">
        <v>97</v>
      </c>
      <c r="J973" s="53" t="s">
        <v>98</v>
      </c>
      <c r="K973" s="53" t="s">
        <v>164</v>
      </c>
      <c r="L973" s="53" t="s">
        <v>100</v>
      </c>
      <c r="M973" s="53" t="s">
        <v>150</v>
      </c>
      <c r="N973" s="56" t="s">
        <v>3040</v>
      </c>
      <c r="O973" s="56" t="s">
        <v>1164</v>
      </c>
      <c r="P973" s="53" t="s">
        <v>106</v>
      </c>
      <c r="Q973" s="53" t="s">
        <v>112</v>
      </c>
      <c r="R973" s="53" t="s">
        <v>112</v>
      </c>
      <c r="S973" s="53" t="s">
        <v>112</v>
      </c>
      <c r="T973" s="57"/>
      <c r="U973" s="58"/>
      <c r="V973" s="53" t="s">
        <v>153</v>
      </c>
      <c r="W973" s="58"/>
      <c r="X973" s="58"/>
      <c r="Y973" s="58"/>
      <c r="Z973" s="58"/>
      <c r="AA973" s="58"/>
      <c r="AB973" s="58"/>
      <c r="AC973" s="58"/>
      <c r="AD973" s="58"/>
      <c r="AE973" s="58"/>
      <c r="AF973" s="58"/>
      <c r="AG973" s="58"/>
      <c r="AH973" s="58"/>
      <c r="AI973" s="58"/>
      <c r="AJ973" s="58"/>
      <c r="AK973" s="58"/>
      <c r="AL973" s="58"/>
      <c r="AM973" s="58"/>
      <c r="AN973" s="58"/>
      <c r="AO973" s="58"/>
      <c r="AP973" s="58"/>
      <c r="AQ973" s="58"/>
      <c r="AR973" s="58"/>
      <c r="AS973" s="58"/>
      <c r="AT973" s="291"/>
      <c r="AU973" s="291"/>
      <c r="AV973" s="291"/>
      <c r="AW973" s="291"/>
      <c r="AX973" s="291"/>
      <c r="AY973" s="291"/>
      <c r="AZ973" s="291"/>
      <c r="BA973" s="291"/>
      <c r="BB973" s="291"/>
      <c r="BC973" s="291"/>
      <c r="BD973" s="291"/>
      <c r="BE973" s="291"/>
      <c r="BF973" s="291"/>
      <c r="BG973" s="291"/>
      <c r="BH973" s="291"/>
      <c r="BI973" s="291"/>
      <c r="BJ973" s="291"/>
      <c r="BK973" s="291"/>
      <c r="BL973" s="291"/>
      <c r="BM973" s="57"/>
      <c r="BN973" s="57"/>
      <c r="BO973" s="57"/>
      <c r="BP973" s="57"/>
      <c r="BQ973" s="57"/>
      <c r="BR973" s="57"/>
      <c r="BS973" s="57"/>
      <c r="BT973" s="57"/>
      <c r="BU973" s="57"/>
      <c r="BV973" s="57"/>
      <c r="BW973" s="57"/>
      <c r="BX973" s="57"/>
      <c r="BY973" s="57"/>
    </row>
    <row r="974" ht="15.75" customHeight="1">
      <c r="A974" s="8">
        <v>445.0</v>
      </c>
      <c r="B974" s="39" t="s">
        <v>3041</v>
      </c>
      <c r="C974" s="59" t="s">
        <v>58</v>
      </c>
      <c r="D974" s="51" t="s">
        <v>511</v>
      </c>
      <c r="E974" s="39" t="s">
        <v>112</v>
      </c>
      <c r="F974" s="40">
        <v>40325.0</v>
      </c>
      <c r="G974" s="106">
        <v>40299.0</v>
      </c>
      <c r="H974" s="290" t="str">
        <f t="shared" ref="H974:H975" si="39">TEXT(G974, "yyyy")</f>
        <v>2010</v>
      </c>
      <c r="I974" s="8" t="s">
        <v>176</v>
      </c>
      <c r="J974" s="51" t="s">
        <v>112</v>
      </c>
      <c r="K974" s="29" t="s">
        <v>99</v>
      </c>
      <c r="L974" s="34" t="s">
        <v>100</v>
      </c>
      <c r="M974" s="34" t="s">
        <v>177</v>
      </c>
      <c r="N974" s="88" t="s">
        <v>3042</v>
      </c>
      <c r="O974" s="45" t="s">
        <v>3043</v>
      </c>
      <c r="P974" s="39" t="s">
        <v>106</v>
      </c>
      <c r="Q974" s="51" t="s">
        <v>112</v>
      </c>
      <c r="R974" s="104" t="s">
        <v>3044</v>
      </c>
      <c r="S974" s="59" t="s">
        <v>3045</v>
      </c>
      <c r="T974" s="39" t="s">
        <v>112</v>
      </c>
      <c r="U974" s="39" t="s">
        <v>112</v>
      </c>
      <c r="V974" s="59" t="s">
        <v>779</v>
      </c>
      <c r="W974" s="51" t="s">
        <v>112</v>
      </c>
      <c r="X974" s="51" t="s">
        <v>112</v>
      </c>
      <c r="Y974" s="51" t="s">
        <v>112</v>
      </c>
      <c r="Z974" s="47" t="s">
        <v>37</v>
      </c>
      <c r="AA974" s="23" t="s">
        <v>115</v>
      </c>
      <c r="AB974" s="304" t="s">
        <v>3046</v>
      </c>
      <c r="AC974" s="58"/>
      <c r="AD974" s="58"/>
      <c r="AE974" s="58"/>
      <c r="AF974" s="58"/>
      <c r="AG974" s="58"/>
      <c r="AH974" s="58"/>
      <c r="AI974" s="58"/>
      <c r="AJ974" s="58"/>
      <c r="AK974" s="58"/>
      <c r="AL974" s="58"/>
      <c r="AM974" s="58"/>
      <c r="AN974" s="58"/>
      <c r="AO974" s="58"/>
      <c r="AP974" s="58"/>
      <c r="AQ974" s="58"/>
      <c r="AR974" s="58"/>
      <c r="AS974" s="58"/>
      <c r="AT974" s="291"/>
      <c r="AU974" s="291"/>
      <c r="AV974" s="291"/>
      <c r="AW974" s="291"/>
      <c r="AX974" s="291"/>
      <c r="AY974" s="291"/>
      <c r="AZ974" s="291"/>
      <c r="BA974" s="291"/>
      <c r="BB974" s="291"/>
      <c r="BC974" s="291"/>
      <c r="BD974" s="291"/>
      <c r="BE974" s="291"/>
      <c r="BF974" s="291"/>
      <c r="BG974" s="291"/>
      <c r="BH974" s="291"/>
      <c r="BI974" s="291"/>
      <c r="BJ974" s="291"/>
      <c r="BK974" s="291"/>
      <c r="BL974" s="291"/>
      <c r="BM974" s="57"/>
      <c r="BN974" s="57"/>
      <c r="BO974" s="57"/>
      <c r="BP974" s="57"/>
      <c r="BQ974" s="57"/>
      <c r="BR974" s="57"/>
      <c r="BS974" s="57"/>
      <c r="BT974" s="57"/>
      <c r="BU974" s="57"/>
      <c r="BV974" s="57"/>
      <c r="BW974" s="57"/>
      <c r="BX974" s="57"/>
      <c r="BY974" s="57"/>
    </row>
    <row r="975" ht="15.75" customHeight="1">
      <c r="A975" s="8">
        <v>459.0</v>
      </c>
      <c r="B975" s="39" t="s">
        <v>3047</v>
      </c>
      <c r="C975" s="59" t="s">
        <v>58</v>
      </c>
      <c r="D975" s="39" t="s">
        <v>511</v>
      </c>
      <c r="E975" s="39" t="s">
        <v>112</v>
      </c>
      <c r="F975" s="43" t="s">
        <v>3048</v>
      </c>
      <c r="G975" s="41">
        <v>40452.0</v>
      </c>
      <c r="H975" s="74" t="str">
        <f t="shared" si="39"/>
        <v>2010</v>
      </c>
      <c r="I975" s="8" t="s">
        <v>176</v>
      </c>
      <c r="J975" s="39" t="s">
        <v>112</v>
      </c>
      <c r="K975" s="29" t="s">
        <v>99</v>
      </c>
      <c r="L975" s="34" t="s">
        <v>100</v>
      </c>
      <c r="M975" s="34" t="s">
        <v>177</v>
      </c>
      <c r="N975" s="88" t="s">
        <v>3049</v>
      </c>
      <c r="O975" s="45" t="s">
        <v>3050</v>
      </c>
      <c r="P975" s="39" t="s">
        <v>106</v>
      </c>
      <c r="Q975" s="39" t="s">
        <v>112</v>
      </c>
      <c r="R975" s="104" t="s">
        <v>3051</v>
      </c>
      <c r="S975" s="59" t="s">
        <v>3052</v>
      </c>
      <c r="T975" s="39" t="s">
        <v>112</v>
      </c>
      <c r="U975" s="39" t="s">
        <v>112</v>
      </c>
      <c r="V975" s="59" t="s">
        <v>3053</v>
      </c>
      <c r="W975" s="39" t="s">
        <v>112</v>
      </c>
      <c r="X975" s="39" t="s">
        <v>112</v>
      </c>
      <c r="Y975" s="39" t="s">
        <v>112</v>
      </c>
      <c r="Z975" s="47" t="s">
        <v>37</v>
      </c>
      <c r="AA975" s="23" t="s">
        <v>115</v>
      </c>
      <c r="AB975" s="304" t="s">
        <v>3054</v>
      </c>
      <c r="AC975" s="58"/>
      <c r="AD975" s="58"/>
      <c r="AE975" s="58"/>
      <c r="AF975" s="58"/>
      <c r="AG975" s="58"/>
      <c r="AH975" s="58"/>
      <c r="AI975" s="58"/>
      <c r="AJ975" s="58"/>
      <c r="AK975" s="58"/>
      <c r="AL975" s="58"/>
      <c r="AM975" s="58"/>
      <c r="AN975" s="58"/>
      <c r="AO975" s="58"/>
      <c r="AP975" s="58"/>
      <c r="AQ975" s="58"/>
      <c r="AR975" s="58"/>
      <c r="AS975" s="58"/>
      <c r="AT975" s="291"/>
      <c r="AU975" s="291"/>
      <c r="AV975" s="291"/>
      <c r="AW975" s="291"/>
      <c r="AX975" s="291"/>
      <c r="AY975" s="291"/>
      <c r="AZ975" s="291"/>
      <c r="BA975" s="291"/>
      <c r="BB975" s="291"/>
      <c r="BC975" s="291"/>
      <c r="BD975" s="291"/>
      <c r="BE975" s="291"/>
      <c r="BF975" s="291"/>
      <c r="BG975" s="291"/>
      <c r="BH975" s="291"/>
      <c r="BI975" s="291"/>
      <c r="BJ975" s="291"/>
      <c r="BK975" s="291"/>
      <c r="BL975" s="291"/>
      <c r="BM975" s="57"/>
      <c r="BN975" s="57"/>
      <c r="BO975" s="57"/>
      <c r="BP975" s="57"/>
      <c r="BQ975" s="57"/>
      <c r="BR975" s="57"/>
      <c r="BS975" s="57"/>
      <c r="BT975" s="57"/>
      <c r="BU975" s="57"/>
      <c r="BV975" s="57"/>
      <c r="BW975" s="57"/>
      <c r="BX975" s="57"/>
      <c r="BY975" s="57"/>
    </row>
    <row r="976" ht="15.75" customHeight="1">
      <c r="A976" s="52">
        <v>935.0</v>
      </c>
      <c r="B976" s="58" t="s">
        <v>3055</v>
      </c>
      <c r="C976" s="58" t="s">
        <v>50</v>
      </c>
      <c r="D976" s="58" t="s">
        <v>694</v>
      </c>
      <c r="E976" s="58" t="s">
        <v>1005</v>
      </c>
      <c r="F976" s="58">
        <v>2022.0</v>
      </c>
      <c r="G976" s="58" t="s">
        <v>3056</v>
      </c>
      <c r="H976" s="53" t="s">
        <v>3056</v>
      </c>
      <c r="I976" s="53" t="s">
        <v>63</v>
      </c>
      <c r="J976" s="58" t="s">
        <v>63</v>
      </c>
      <c r="K976" s="58" t="s">
        <v>99</v>
      </c>
      <c r="L976" s="58" t="s">
        <v>100</v>
      </c>
      <c r="M976" s="58" t="s">
        <v>187</v>
      </c>
      <c r="N976" s="58" t="s">
        <v>3057</v>
      </c>
      <c r="O976" s="58"/>
      <c r="P976" s="58"/>
      <c r="Q976" s="58"/>
      <c r="R976" s="58"/>
      <c r="S976" s="58"/>
      <c r="T976" s="58" t="s">
        <v>1009</v>
      </c>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c r="AR976" s="58"/>
      <c r="AS976" s="58"/>
      <c r="AT976" s="291"/>
      <c r="AU976" s="291"/>
      <c r="AV976" s="291"/>
      <c r="AW976" s="291"/>
      <c r="AX976" s="291"/>
      <c r="AY976" s="291"/>
      <c r="AZ976" s="291"/>
      <c r="BA976" s="291"/>
      <c r="BB976" s="291"/>
      <c r="BC976" s="291"/>
      <c r="BD976" s="291"/>
      <c r="BE976" s="291"/>
      <c r="BF976" s="291"/>
      <c r="BG976" s="291"/>
      <c r="BH976" s="291"/>
      <c r="BI976" s="291"/>
      <c r="BJ976" s="291"/>
      <c r="BK976" s="291"/>
      <c r="BL976" s="291"/>
      <c r="BM976" s="57"/>
      <c r="BN976" s="57"/>
      <c r="BO976" s="57"/>
      <c r="BP976" s="57"/>
      <c r="BQ976" s="57"/>
      <c r="BR976" s="57"/>
      <c r="BS976" s="57"/>
      <c r="BT976" s="57"/>
      <c r="BU976" s="57"/>
      <c r="BV976" s="57"/>
      <c r="BW976" s="57"/>
      <c r="BX976" s="57"/>
      <c r="BY976" s="57"/>
    </row>
    <row r="977" ht="15.75" customHeight="1">
      <c r="A977" s="52">
        <v>937.0</v>
      </c>
      <c r="B977" s="53" t="s">
        <v>3058</v>
      </c>
      <c r="C977" s="53" t="s">
        <v>57</v>
      </c>
      <c r="D977" s="53" t="s">
        <v>694</v>
      </c>
      <c r="E977" s="53" t="s">
        <v>964</v>
      </c>
      <c r="F977" s="54">
        <v>43961.0</v>
      </c>
      <c r="G977" s="54">
        <v>43840.0</v>
      </c>
      <c r="H977" s="53">
        <v>2020.0</v>
      </c>
      <c r="I977" s="53" t="s">
        <v>97</v>
      </c>
      <c r="J977" s="53" t="s">
        <v>230</v>
      </c>
      <c r="K977" s="53" t="s">
        <v>164</v>
      </c>
      <c r="L977" s="53" t="s">
        <v>100</v>
      </c>
      <c r="M977" s="53" t="s">
        <v>150</v>
      </c>
      <c r="N977" s="53" t="s">
        <v>97</v>
      </c>
      <c r="O977" s="53" t="s">
        <v>967</v>
      </c>
      <c r="P977" s="53" t="s">
        <v>106</v>
      </c>
      <c r="Q977" s="53"/>
      <c r="R977" s="53"/>
      <c r="S977" s="56"/>
      <c r="T977" s="57"/>
      <c r="U977" s="57"/>
      <c r="V977" s="56" t="s">
        <v>3059</v>
      </c>
      <c r="W977" s="57"/>
      <c r="X977" s="57"/>
      <c r="Y977" s="57"/>
      <c r="Z977" s="57"/>
      <c r="AA977" s="57"/>
      <c r="AB977" s="57"/>
      <c r="AC977" s="58"/>
      <c r="AD977" s="58"/>
      <c r="AE977" s="58"/>
      <c r="AF977" s="58"/>
      <c r="AG977" s="58"/>
      <c r="AH977" s="58"/>
      <c r="AI977" s="58"/>
      <c r="AJ977" s="58"/>
      <c r="AK977" s="58"/>
      <c r="AL977" s="58"/>
      <c r="AM977" s="58"/>
      <c r="AN977" s="58"/>
      <c r="AO977" s="58"/>
      <c r="AP977" s="58"/>
      <c r="AQ977" s="58"/>
      <c r="AR977" s="58"/>
      <c r="AS977" s="58"/>
      <c r="AT977" s="291"/>
      <c r="AU977" s="291"/>
      <c r="AV977" s="291"/>
      <c r="AW977" s="291"/>
      <c r="AX977" s="291"/>
      <c r="AY977" s="291"/>
      <c r="AZ977" s="291"/>
      <c r="BA977" s="291"/>
      <c r="BB977" s="291"/>
      <c r="BC977" s="291"/>
      <c r="BD977" s="291"/>
      <c r="BE977" s="291"/>
      <c r="BF977" s="291"/>
      <c r="BG977" s="291"/>
      <c r="BH977" s="291"/>
      <c r="BI977" s="291"/>
      <c r="BJ977" s="291"/>
      <c r="BK977" s="291"/>
      <c r="BL977" s="291"/>
      <c r="BM977" s="57"/>
      <c r="BN977" s="57"/>
      <c r="BO977" s="57"/>
      <c r="BP977" s="57"/>
      <c r="BQ977" s="57"/>
      <c r="BR977" s="57"/>
      <c r="BS977" s="57"/>
      <c r="BT977" s="57"/>
      <c r="BU977" s="57"/>
      <c r="BV977" s="57"/>
      <c r="BW977" s="57"/>
      <c r="BX977" s="57"/>
      <c r="BY977" s="57"/>
    </row>
    <row r="978" ht="15.75" customHeight="1">
      <c r="A978" s="52">
        <v>940.0</v>
      </c>
      <c r="B978" s="53" t="s">
        <v>3060</v>
      </c>
      <c r="C978" s="53" t="s">
        <v>50</v>
      </c>
      <c r="D978" s="53" t="s">
        <v>694</v>
      </c>
      <c r="E978" s="53" t="s">
        <v>695</v>
      </c>
      <c r="F978" s="53" t="s">
        <v>3061</v>
      </c>
      <c r="G978" s="53" t="s">
        <v>3061</v>
      </c>
      <c r="H978" s="53">
        <v>2020.0</v>
      </c>
      <c r="I978" s="53" t="s">
        <v>97</v>
      </c>
      <c r="J978" s="53" t="s">
        <v>98</v>
      </c>
      <c r="K978" s="53" t="s">
        <v>164</v>
      </c>
      <c r="L978" s="53" t="s">
        <v>100</v>
      </c>
      <c r="M978" s="53" t="s">
        <v>150</v>
      </c>
      <c r="N978" s="53" t="s">
        <v>3062</v>
      </c>
      <c r="O978" s="53" t="s">
        <v>2377</v>
      </c>
      <c r="P978" s="53" t="s">
        <v>106</v>
      </c>
      <c r="Q978" s="53"/>
      <c r="R978" s="53"/>
      <c r="S978" s="53"/>
      <c r="T978" s="57"/>
      <c r="U978" s="58"/>
      <c r="V978" s="53" t="s">
        <v>700</v>
      </c>
      <c r="W978" s="58"/>
      <c r="X978" s="58"/>
      <c r="Y978" s="58"/>
      <c r="Z978" s="58"/>
      <c r="AA978" s="58"/>
      <c r="AB978" s="58"/>
      <c r="AC978" s="58"/>
      <c r="AD978" s="58"/>
      <c r="AE978" s="58"/>
      <c r="AF978" s="58"/>
      <c r="AG978" s="58"/>
      <c r="AH978" s="58"/>
      <c r="AI978" s="58"/>
      <c r="AJ978" s="58"/>
      <c r="AK978" s="58"/>
      <c r="AL978" s="58"/>
      <c r="AM978" s="58"/>
      <c r="AN978" s="58"/>
      <c r="AO978" s="58"/>
      <c r="AP978" s="58"/>
      <c r="AQ978" s="58"/>
      <c r="AR978" s="58"/>
      <c r="AS978" s="58"/>
      <c r="AT978" s="291"/>
      <c r="AU978" s="291"/>
      <c r="AV978" s="291"/>
      <c r="AW978" s="291"/>
      <c r="AX978" s="291"/>
      <c r="AY978" s="291"/>
      <c r="AZ978" s="291"/>
      <c r="BA978" s="291"/>
      <c r="BB978" s="291"/>
      <c r="BC978" s="291"/>
      <c r="BD978" s="291"/>
      <c r="BE978" s="291"/>
      <c r="BF978" s="291"/>
      <c r="BG978" s="291"/>
      <c r="BH978" s="291"/>
      <c r="BI978" s="291"/>
      <c r="BJ978" s="291"/>
      <c r="BK978" s="291"/>
      <c r="BL978" s="291"/>
      <c r="BM978" s="57"/>
      <c r="BN978" s="57"/>
      <c r="BO978" s="57"/>
      <c r="BP978" s="57"/>
      <c r="BQ978" s="57"/>
      <c r="BR978" s="57"/>
      <c r="BS978" s="57"/>
      <c r="BT978" s="57"/>
      <c r="BU978" s="57"/>
      <c r="BV978" s="57"/>
      <c r="BW978" s="57"/>
      <c r="BX978" s="57"/>
      <c r="BY978" s="57"/>
    </row>
    <row r="979" ht="15.75" customHeight="1">
      <c r="A979" s="52">
        <v>941.0</v>
      </c>
      <c r="B979" s="53" t="s">
        <v>3063</v>
      </c>
      <c r="C979" s="53" t="s">
        <v>51</v>
      </c>
      <c r="D979" s="53" t="s">
        <v>694</v>
      </c>
      <c r="E979" s="75" t="s">
        <v>90</v>
      </c>
      <c r="F979" s="53" t="s">
        <v>3064</v>
      </c>
      <c r="G979" s="53" t="s">
        <v>3064</v>
      </c>
      <c r="H979" s="53">
        <v>2020.0</v>
      </c>
      <c r="I979" s="53" t="s">
        <v>63</v>
      </c>
      <c r="J979" s="53" t="s">
        <v>3065</v>
      </c>
      <c r="K979" s="53" t="s">
        <v>164</v>
      </c>
      <c r="L979" s="53" t="s">
        <v>100</v>
      </c>
      <c r="M979" s="53" t="s">
        <v>150</v>
      </c>
      <c r="N979" s="53" t="s">
        <v>3066</v>
      </c>
      <c r="O979" s="53" t="s">
        <v>3067</v>
      </c>
      <c r="P979" s="53" t="s">
        <v>106</v>
      </c>
      <c r="Q979" s="53"/>
      <c r="R979" s="53"/>
      <c r="S979" s="53"/>
      <c r="T979" s="57"/>
      <c r="U979" s="58"/>
      <c r="V979" s="53" t="s">
        <v>3068</v>
      </c>
      <c r="W979" s="58"/>
      <c r="X979" s="58"/>
      <c r="Y979" s="58"/>
      <c r="Z979" s="58"/>
      <c r="AA979" s="58"/>
      <c r="AB979" s="58"/>
      <c r="AC979" s="58"/>
      <c r="AD979" s="58"/>
      <c r="AE979" s="58"/>
      <c r="AF979" s="58"/>
      <c r="AG979" s="58"/>
      <c r="AH979" s="58"/>
      <c r="AI979" s="58"/>
      <c r="AJ979" s="58"/>
      <c r="AK979" s="58"/>
      <c r="AL979" s="58"/>
      <c r="AM979" s="58"/>
      <c r="AN979" s="58"/>
      <c r="AO979" s="58"/>
      <c r="AP979" s="58"/>
      <c r="AQ979" s="58"/>
      <c r="AR979" s="58"/>
      <c r="AS979" s="58"/>
      <c r="AT979" s="291"/>
      <c r="AU979" s="291"/>
      <c r="AV979" s="291"/>
      <c r="AW979" s="291"/>
      <c r="AX979" s="291"/>
      <c r="AY979" s="291"/>
      <c r="AZ979" s="291"/>
      <c r="BA979" s="291"/>
      <c r="BB979" s="291"/>
      <c r="BC979" s="291"/>
      <c r="BD979" s="291"/>
      <c r="BE979" s="291"/>
      <c r="BF979" s="291"/>
      <c r="BG979" s="291"/>
      <c r="BH979" s="291"/>
      <c r="BI979" s="291"/>
      <c r="BJ979" s="291"/>
      <c r="BK979" s="291"/>
      <c r="BL979" s="291"/>
      <c r="BM979" s="57"/>
      <c r="BN979" s="57"/>
      <c r="BO979" s="57"/>
      <c r="BP979" s="57"/>
      <c r="BQ979" s="57"/>
      <c r="BR979" s="57"/>
      <c r="BS979" s="57"/>
      <c r="BT979" s="57"/>
      <c r="BU979" s="57"/>
      <c r="BV979" s="57"/>
      <c r="BW979" s="57"/>
      <c r="BX979" s="57"/>
      <c r="BY979" s="57"/>
    </row>
    <row r="980" ht="15.75" customHeight="1">
      <c r="A980" s="52">
        <v>945.0</v>
      </c>
      <c r="B980" s="53" t="s">
        <v>3069</v>
      </c>
      <c r="C980" s="53" t="s">
        <v>50</v>
      </c>
      <c r="D980" s="53" t="s">
        <v>694</v>
      </c>
      <c r="E980" s="53" t="s">
        <v>695</v>
      </c>
      <c r="F980" s="53" t="s">
        <v>3070</v>
      </c>
      <c r="G980" s="53" t="s">
        <v>3070</v>
      </c>
      <c r="H980" s="53">
        <v>2020.0</v>
      </c>
      <c r="I980" s="53" t="s">
        <v>97</v>
      </c>
      <c r="J980" s="53" t="s">
        <v>230</v>
      </c>
      <c r="K980" s="53" t="s">
        <v>164</v>
      </c>
      <c r="L980" s="53" t="s">
        <v>100</v>
      </c>
      <c r="M980" s="53" t="s">
        <v>150</v>
      </c>
      <c r="N980" s="53" t="s">
        <v>3071</v>
      </c>
      <c r="O980" s="53" t="s">
        <v>3072</v>
      </c>
      <c r="P980" s="53" t="s">
        <v>106</v>
      </c>
      <c r="Q980" s="53"/>
      <c r="R980" s="53"/>
      <c r="S980" s="53"/>
      <c r="T980" s="57"/>
      <c r="U980" s="58"/>
      <c r="V980" s="53" t="s">
        <v>700</v>
      </c>
      <c r="W980" s="58"/>
      <c r="X980" s="58"/>
      <c r="Y980" s="58"/>
      <c r="Z980" s="58"/>
      <c r="AA980" s="58"/>
      <c r="AB980" s="58"/>
      <c r="AC980" s="58"/>
      <c r="AD980" s="58"/>
      <c r="AE980" s="58"/>
      <c r="AF980" s="58"/>
      <c r="AG980" s="58"/>
      <c r="AH980" s="58"/>
      <c r="AI980" s="58"/>
      <c r="AJ980" s="58"/>
      <c r="AK980" s="58"/>
      <c r="AL980" s="58"/>
      <c r="AM980" s="58"/>
      <c r="AN980" s="58"/>
      <c r="AO980" s="58"/>
      <c r="AP980" s="58"/>
      <c r="AQ980" s="58"/>
      <c r="AR980" s="58"/>
      <c r="AS980" s="58"/>
      <c r="AT980" s="291"/>
      <c r="AU980" s="291"/>
      <c r="AV980" s="291"/>
      <c r="AW980" s="291"/>
      <c r="AX980" s="291"/>
      <c r="AY980" s="291"/>
      <c r="AZ980" s="291"/>
      <c r="BA980" s="291"/>
      <c r="BB980" s="291"/>
      <c r="BC980" s="291"/>
      <c r="BD980" s="291"/>
      <c r="BE980" s="291"/>
      <c r="BF980" s="291"/>
      <c r="BG980" s="291"/>
      <c r="BH980" s="291"/>
      <c r="BI980" s="291"/>
      <c r="BJ980" s="291"/>
      <c r="BK980" s="291"/>
      <c r="BL980" s="291"/>
      <c r="BM980" s="57"/>
      <c r="BN980" s="57"/>
      <c r="BO980" s="57"/>
      <c r="BP980" s="57"/>
      <c r="BQ980" s="57"/>
      <c r="BR980" s="57"/>
      <c r="BS980" s="57"/>
      <c r="BT980" s="57"/>
      <c r="BU980" s="57"/>
      <c r="BV980" s="57"/>
      <c r="BW980" s="57"/>
      <c r="BX980" s="57"/>
      <c r="BY980" s="57"/>
    </row>
    <row r="981" ht="15.75" customHeight="1">
      <c r="A981" s="52">
        <v>950.0</v>
      </c>
      <c r="B981" s="53" t="s">
        <v>3073</v>
      </c>
      <c r="C981" s="53" t="s">
        <v>50</v>
      </c>
      <c r="D981" s="53" t="s">
        <v>694</v>
      </c>
      <c r="E981" s="53" t="s">
        <v>695</v>
      </c>
      <c r="F981" s="53"/>
      <c r="G981" s="54">
        <v>43839.0</v>
      </c>
      <c r="H981" s="53">
        <v>2020.0</v>
      </c>
      <c r="I981" s="53" t="s">
        <v>97</v>
      </c>
      <c r="J981" s="53" t="s">
        <v>230</v>
      </c>
      <c r="K981" s="53" t="s">
        <v>164</v>
      </c>
      <c r="L981" s="53" t="s">
        <v>100</v>
      </c>
      <c r="M981" s="53" t="s">
        <v>150</v>
      </c>
      <c r="N981" s="53" t="s">
        <v>3074</v>
      </c>
      <c r="O981" s="53" t="s">
        <v>2377</v>
      </c>
      <c r="P981" s="53" t="s">
        <v>106</v>
      </c>
      <c r="Q981" s="53"/>
      <c r="R981" s="53"/>
      <c r="S981" s="53"/>
      <c r="T981" s="57"/>
      <c r="U981" s="58"/>
      <c r="V981" s="53" t="s">
        <v>700</v>
      </c>
      <c r="W981" s="58"/>
      <c r="X981" s="58"/>
      <c r="Y981" s="58"/>
      <c r="Z981" s="58"/>
      <c r="AA981" s="58"/>
      <c r="AB981" s="58"/>
      <c r="AC981" s="58"/>
      <c r="AD981" s="58"/>
      <c r="AE981" s="58"/>
      <c r="AF981" s="58"/>
      <c r="AG981" s="58"/>
      <c r="AH981" s="58"/>
      <c r="AI981" s="58"/>
      <c r="AJ981" s="58"/>
      <c r="AK981" s="58"/>
      <c r="AL981" s="58"/>
      <c r="AM981" s="58"/>
      <c r="AN981" s="58"/>
      <c r="AO981" s="58"/>
      <c r="AP981" s="58"/>
      <c r="AQ981" s="58"/>
      <c r="AR981" s="58"/>
      <c r="AS981" s="58"/>
      <c r="AT981" s="291"/>
      <c r="AU981" s="291"/>
      <c r="AV981" s="291"/>
      <c r="AW981" s="291"/>
      <c r="AX981" s="291"/>
      <c r="AY981" s="291"/>
      <c r="AZ981" s="291"/>
      <c r="BA981" s="291"/>
      <c r="BB981" s="291"/>
      <c r="BC981" s="291"/>
      <c r="BD981" s="291"/>
      <c r="BE981" s="291"/>
      <c r="BF981" s="291"/>
      <c r="BG981" s="291"/>
      <c r="BH981" s="291"/>
      <c r="BI981" s="291"/>
      <c r="BJ981" s="291"/>
      <c r="BK981" s="291"/>
      <c r="BL981" s="291"/>
      <c r="BM981" s="305"/>
      <c r="BN981" s="305"/>
      <c r="BO981" s="305"/>
      <c r="BP981" s="305"/>
      <c r="BQ981" s="305"/>
      <c r="BR981" s="305"/>
      <c r="BS981" s="305"/>
      <c r="BT981" s="305"/>
      <c r="BU981" s="305"/>
      <c r="BV981" s="305"/>
      <c r="BW981" s="305"/>
      <c r="BX981" s="305"/>
      <c r="BY981" s="57"/>
    </row>
    <row r="982" ht="15.75" customHeight="1">
      <c r="A982" s="52">
        <v>951.0</v>
      </c>
      <c r="B982" s="53" t="s">
        <v>3075</v>
      </c>
      <c r="C982" s="53" t="s">
        <v>57</v>
      </c>
      <c r="D982" s="53" t="s">
        <v>3076</v>
      </c>
      <c r="E982" s="53" t="s">
        <v>1379</v>
      </c>
      <c r="F982" s="306">
        <v>44287.0</v>
      </c>
      <c r="G982" s="54">
        <v>44200.0</v>
      </c>
      <c r="H982" s="53">
        <v>2021.0</v>
      </c>
      <c r="I982" s="53" t="s">
        <v>97</v>
      </c>
      <c r="J982" s="53" t="s">
        <v>163</v>
      </c>
      <c r="K982" s="53" t="s">
        <v>164</v>
      </c>
      <c r="L982" s="53" t="s">
        <v>100</v>
      </c>
      <c r="M982" s="53" t="s">
        <v>485</v>
      </c>
      <c r="N982" s="53" t="s">
        <v>3077</v>
      </c>
      <c r="O982" s="53" t="s">
        <v>3078</v>
      </c>
      <c r="P982" s="53"/>
      <c r="Q982" s="53"/>
      <c r="R982" s="53"/>
      <c r="S982" s="53"/>
      <c r="T982" s="57"/>
      <c r="U982" s="58"/>
      <c r="V982" s="53" t="s">
        <v>1454</v>
      </c>
      <c r="W982" s="58"/>
      <c r="X982" s="58"/>
      <c r="Y982" s="58"/>
      <c r="Z982" s="58"/>
      <c r="AA982" s="58"/>
      <c r="AB982" s="58"/>
      <c r="AC982" s="58"/>
      <c r="AD982" s="58"/>
      <c r="AE982" s="58"/>
      <c r="AF982" s="58"/>
      <c r="AG982" s="58"/>
      <c r="AH982" s="58"/>
      <c r="AI982" s="58"/>
      <c r="AJ982" s="58"/>
      <c r="AK982" s="58"/>
      <c r="AL982" s="58"/>
      <c r="AM982" s="58"/>
      <c r="AN982" s="58"/>
      <c r="AO982" s="58"/>
      <c r="AP982" s="58"/>
      <c r="AQ982" s="58"/>
      <c r="AR982" s="58"/>
      <c r="AS982" s="58"/>
      <c r="AT982" s="291"/>
      <c r="AU982" s="291"/>
      <c r="AV982" s="291"/>
      <c r="AW982" s="291"/>
      <c r="AX982" s="291"/>
      <c r="AY982" s="291"/>
      <c r="AZ982" s="291"/>
      <c r="BA982" s="291"/>
      <c r="BB982" s="291"/>
      <c r="BC982" s="291"/>
      <c r="BD982" s="291"/>
      <c r="BE982" s="291"/>
      <c r="BF982" s="291"/>
      <c r="BG982" s="291"/>
      <c r="BH982" s="291"/>
      <c r="BI982" s="291"/>
      <c r="BJ982" s="291"/>
      <c r="BK982" s="291"/>
      <c r="BL982" s="291"/>
      <c r="BM982" s="57"/>
      <c r="BN982" s="57"/>
      <c r="BO982" s="57"/>
      <c r="BP982" s="57"/>
      <c r="BQ982" s="57"/>
      <c r="BR982" s="57"/>
      <c r="BS982" s="57"/>
      <c r="BT982" s="57"/>
      <c r="BU982" s="57"/>
      <c r="BV982" s="57"/>
      <c r="BW982" s="57"/>
      <c r="BX982" s="57"/>
      <c r="BY982" s="57"/>
    </row>
    <row r="983" ht="15.75" customHeight="1">
      <c r="A983" s="52">
        <v>957.0</v>
      </c>
      <c r="B983" s="53" t="s">
        <v>3079</v>
      </c>
      <c r="C983" s="53" t="s">
        <v>50</v>
      </c>
      <c r="D983" s="53" t="s">
        <v>694</v>
      </c>
      <c r="E983" s="53" t="s">
        <v>1005</v>
      </c>
      <c r="F983" s="54">
        <v>44349.0</v>
      </c>
      <c r="G983" s="54">
        <v>44233.0</v>
      </c>
      <c r="H983" s="53">
        <v>2021.0</v>
      </c>
      <c r="I983" s="53" t="s">
        <v>97</v>
      </c>
      <c r="J983" s="53" t="s">
        <v>3080</v>
      </c>
      <c r="K983" s="53" t="s">
        <v>164</v>
      </c>
      <c r="L983" s="53" t="s">
        <v>100</v>
      </c>
      <c r="M983" s="53" t="s">
        <v>150</v>
      </c>
      <c r="N983" s="53" t="s">
        <v>1005</v>
      </c>
      <c r="O983" s="53" t="s">
        <v>3081</v>
      </c>
      <c r="P983" s="53"/>
      <c r="Q983" s="53"/>
      <c r="R983" s="53"/>
      <c r="S983" s="53"/>
      <c r="T983" s="57"/>
      <c r="U983" s="58"/>
      <c r="V983" s="53" t="s">
        <v>1009</v>
      </c>
      <c r="W983" s="58"/>
      <c r="X983" s="58"/>
      <c r="Y983" s="58"/>
      <c r="Z983" s="58"/>
      <c r="AA983" s="58"/>
      <c r="AB983" s="58"/>
      <c r="AC983" s="58"/>
      <c r="AD983" s="58"/>
      <c r="AE983" s="58"/>
      <c r="AF983" s="58"/>
      <c r="AG983" s="58"/>
      <c r="AH983" s="58"/>
      <c r="AI983" s="58"/>
      <c r="AJ983" s="58"/>
      <c r="AK983" s="58"/>
      <c r="AL983" s="58"/>
      <c r="AM983" s="58"/>
      <c r="AN983" s="58"/>
      <c r="AO983" s="58"/>
      <c r="AP983" s="58"/>
      <c r="AQ983" s="58"/>
      <c r="AR983" s="58"/>
      <c r="AS983" s="58"/>
      <c r="AT983" s="291"/>
      <c r="AU983" s="291"/>
      <c r="AV983" s="291"/>
      <c r="AW983" s="291"/>
      <c r="AX983" s="291"/>
      <c r="AY983" s="291"/>
      <c r="AZ983" s="291"/>
      <c r="BA983" s="291"/>
      <c r="BB983" s="291"/>
      <c r="BC983" s="291"/>
      <c r="BD983" s="291"/>
      <c r="BE983" s="291"/>
      <c r="BF983" s="291"/>
      <c r="BG983" s="291"/>
      <c r="BH983" s="291"/>
      <c r="BI983" s="291"/>
      <c r="BJ983" s="291"/>
      <c r="BK983" s="291"/>
      <c r="BL983" s="291"/>
      <c r="BM983" s="57"/>
      <c r="BN983" s="57"/>
      <c r="BO983" s="57"/>
      <c r="BP983" s="57"/>
      <c r="BQ983" s="57"/>
      <c r="BR983" s="57"/>
      <c r="BS983" s="57"/>
      <c r="BT983" s="57"/>
      <c r="BU983" s="57"/>
      <c r="BV983" s="57"/>
      <c r="BW983" s="57"/>
      <c r="BX983" s="57"/>
      <c r="BY983" s="57"/>
    </row>
    <row r="984" ht="15.75" customHeight="1">
      <c r="A984" s="52">
        <v>962.0</v>
      </c>
      <c r="B984" s="53" t="s">
        <v>3082</v>
      </c>
      <c r="C984" s="53" t="s">
        <v>50</v>
      </c>
      <c r="D984" s="53" t="s">
        <v>694</v>
      </c>
      <c r="E984" s="53" t="s">
        <v>3083</v>
      </c>
      <c r="F984" s="307">
        <v>44300.0</v>
      </c>
      <c r="G984" s="54">
        <v>44296.0</v>
      </c>
      <c r="H984" s="53">
        <v>2021.0</v>
      </c>
      <c r="I984" s="53" t="s">
        <v>97</v>
      </c>
      <c r="J984" s="53" t="s">
        <v>98</v>
      </c>
      <c r="K984" s="53" t="s">
        <v>164</v>
      </c>
      <c r="L984" s="53" t="s">
        <v>1336</v>
      </c>
      <c r="M984" s="53" t="s">
        <v>101</v>
      </c>
      <c r="N984" s="56" t="s">
        <v>3084</v>
      </c>
      <c r="O984" s="56" t="s">
        <v>3085</v>
      </c>
      <c r="P984" s="53"/>
      <c r="Q984" s="53"/>
      <c r="R984" s="56"/>
      <c r="S984" s="53"/>
      <c r="T984" s="57"/>
      <c r="U984" s="58"/>
      <c r="V984" s="53" t="s">
        <v>3086</v>
      </c>
      <c r="W984" s="58"/>
      <c r="X984" s="58"/>
      <c r="Y984" s="58"/>
      <c r="Z984" s="58"/>
      <c r="AA984" s="58"/>
      <c r="AB984" s="58"/>
      <c r="AC984" s="58"/>
      <c r="AD984" s="58"/>
      <c r="AE984" s="58"/>
      <c r="AF984" s="58"/>
      <c r="AG984" s="58"/>
      <c r="AH984" s="58"/>
      <c r="AI984" s="58"/>
      <c r="AJ984" s="58"/>
      <c r="AK984" s="58"/>
      <c r="AL984" s="58"/>
      <c r="AM984" s="58"/>
      <c r="AN984" s="58"/>
      <c r="AO984" s="58"/>
      <c r="AP984" s="58"/>
      <c r="AQ984" s="58"/>
      <c r="AR984" s="58"/>
      <c r="AS984" s="58"/>
      <c r="AT984" s="291"/>
      <c r="AU984" s="291"/>
      <c r="AV984" s="291"/>
      <c r="AW984" s="291"/>
      <c r="AX984" s="291"/>
      <c r="AY984" s="291"/>
      <c r="AZ984" s="291"/>
      <c r="BA984" s="291"/>
      <c r="BB984" s="291"/>
      <c r="BC984" s="291"/>
      <c r="BD984" s="291"/>
      <c r="BE984" s="291"/>
      <c r="BF984" s="291"/>
      <c r="BG984" s="291"/>
      <c r="BH984" s="291"/>
      <c r="BI984" s="291"/>
      <c r="BJ984" s="291"/>
      <c r="BK984" s="291"/>
      <c r="BL984" s="291"/>
      <c r="BM984" s="57"/>
      <c r="BN984" s="57"/>
      <c r="BO984" s="57"/>
      <c r="BP984" s="57"/>
      <c r="BQ984" s="57"/>
      <c r="BR984" s="57"/>
      <c r="BS984" s="57"/>
      <c r="BT984" s="57"/>
      <c r="BU984" s="57"/>
      <c r="BV984" s="57"/>
      <c r="BW984" s="57"/>
      <c r="BX984" s="57"/>
      <c r="BY984" s="57"/>
    </row>
    <row r="985" ht="15.75" customHeight="1">
      <c r="A985" s="52">
        <v>968.0</v>
      </c>
      <c r="B985" s="58" t="s">
        <v>3087</v>
      </c>
      <c r="C985" s="58" t="s">
        <v>47</v>
      </c>
      <c r="D985" s="58" t="s">
        <v>694</v>
      </c>
      <c r="E985" s="58" t="s">
        <v>1901</v>
      </c>
      <c r="F985" s="93">
        <v>44718.0</v>
      </c>
      <c r="G985" s="93">
        <v>44716.0</v>
      </c>
      <c r="H985" s="53">
        <v>2022.0</v>
      </c>
      <c r="I985" s="53" t="s">
        <v>97</v>
      </c>
      <c r="J985" s="58" t="s">
        <v>230</v>
      </c>
      <c r="K985" s="58" t="s">
        <v>164</v>
      </c>
      <c r="L985" s="58" t="s">
        <v>1336</v>
      </c>
      <c r="M985" s="58" t="s">
        <v>101</v>
      </c>
      <c r="N985" s="58" t="s">
        <v>3088</v>
      </c>
      <c r="O985" s="58"/>
      <c r="P985" s="58" t="s">
        <v>3089</v>
      </c>
      <c r="Q985" s="58"/>
      <c r="R985" s="58"/>
      <c r="S985" s="58"/>
      <c r="T985" s="57"/>
      <c r="U985" s="57"/>
      <c r="V985" s="58" t="s">
        <v>3090</v>
      </c>
      <c r="W985" s="58"/>
      <c r="X985" s="58"/>
      <c r="Y985" s="58"/>
      <c r="Z985" s="58"/>
      <c r="AA985" s="58"/>
      <c r="AB985" s="58"/>
      <c r="AC985" s="58"/>
      <c r="AD985" s="58"/>
      <c r="AE985" s="58"/>
      <c r="AF985" s="58"/>
      <c r="AG985" s="58"/>
      <c r="AH985" s="58"/>
      <c r="AI985" s="58"/>
      <c r="AJ985" s="58"/>
      <c r="AK985" s="58"/>
      <c r="AL985" s="58"/>
      <c r="AM985" s="58"/>
      <c r="AN985" s="58"/>
      <c r="AO985" s="58"/>
      <c r="AP985" s="58"/>
      <c r="AQ985" s="58"/>
      <c r="AR985" s="58"/>
      <c r="AS985" s="58"/>
      <c r="AT985" s="291"/>
      <c r="AU985" s="291"/>
      <c r="AV985" s="291"/>
      <c r="AW985" s="291"/>
      <c r="AX985" s="291"/>
      <c r="AY985" s="291"/>
      <c r="AZ985" s="291"/>
      <c r="BA985" s="291"/>
      <c r="BB985" s="291"/>
      <c r="BC985" s="291"/>
      <c r="BD985" s="291"/>
      <c r="BE985" s="291"/>
      <c r="BF985" s="291"/>
      <c r="BG985" s="291"/>
      <c r="BH985" s="291"/>
      <c r="BI985" s="291"/>
      <c r="BJ985" s="291"/>
      <c r="BK985" s="291"/>
      <c r="BL985" s="291"/>
      <c r="BM985" s="57"/>
      <c r="BN985" s="57"/>
      <c r="BO985" s="57"/>
      <c r="BP985" s="57"/>
      <c r="BQ985" s="57"/>
      <c r="BR985" s="57"/>
      <c r="BS985" s="57"/>
      <c r="BT985" s="57"/>
      <c r="BU985" s="57"/>
      <c r="BV985" s="57"/>
      <c r="BW985" s="57"/>
      <c r="BX985" s="57"/>
      <c r="BY985" s="57"/>
    </row>
    <row r="986" ht="15.75" customHeight="1">
      <c r="A986" s="52">
        <v>969.0</v>
      </c>
      <c r="B986" s="58" t="s">
        <v>3091</v>
      </c>
      <c r="C986" s="58" t="s">
        <v>50</v>
      </c>
      <c r="D986" s="58" t="s">
        <v>753</v>
      </c>
      <c r="E986" s="58" t="s">
        <v>1005</v>
      </c>
      <c r="F986" s="93">
        <v>44719.0</v>
      </c>
      <c r="G986" s="93">
        <v>44748.0</v>
      </c>
      <c r="H986" s="53">
        <v>2022.0</v>
      </c>
      <c r="I986" s="53" t="s">
        <v>97</v>
      </c>
      <c r="J986" s="58" t="s">
        <v>163</v>
      </c>
      <c r="K986" s="58" t="s">
        <v>164</v>
      </c>
      <c r="L986" s="58" t="s">
        <v>100</v>
      </c>
      <c r="M986" s="58" t="s">
        <v>485</v>
      </c>
      <c r="N986" s="58" t="s">
        <v>3092</v>
      </c>
      <c r="O986" s="58" t="s">
        <v>3093</v>
      </c>
      <c r="P986" s="58" t="s">
        <v>3094</v>
      </c>
      <c r="Q986" s="58"/>
      <c r="R986" s="58"/>
      <c r="S986" s="58"/>
      <c r="T986" s="57"/>
      <c r="U986" s="57"/>
      <c r="V986" s="53" t="s">
        <v>3095</v>
      </c>
      <c r="W986" s="58"/>
      <c r="X986" s="58"/>
      <c r="Y986" s="58"/>
      <c r="Z986" s="58"/>
      <c r="AA986" s="58"/>
      <c r="AB986" s="58"/>
      <c r="AC986" s="58"/>
      <c r="AD986" s="58"/>
      <c r="AE986" s="58"/>
      <c r="AF986" s="58"/>
      <c r="AG986" s="58"/>
      <c r="AH986" s="58"/>
      <c r="AI986" s="58"/>
      <c r="AJ986" s="58"/>
      <c r="AK986" s="58"/>
      <c r="AL986" s="58"/>
      <c r="AM986" s="58"/>
      <c r="AN986" s="58"/>
      <c r="AO986" s="58"/>
      <c r="AP986" s="58"/>
      <c r="AQ986" s="58"/>
      <c r="AR986" s="58"/>
      <c r="AS986" s="58"/>
      <c r="AT986" s="291"/>
      <c r="AU986" s="291"/>
      <c r="AV986" s="291"/>
      <c r="AW986" s="291"/>
      <c r="AX986" s="291"/>
      <c r="AY986" s="291"/>
      <c r="AZ986" s="291"/>
      <c r="BA986" s="291"/>
      <c r="BB986" s="291"/>
      <c r="BC986" s="291"/>
      <c r="BD986" s="291"/>
      <c r="BE986" s="291"/>
      <c r="BF986" s="291"/>
      <c r="BG986" s="291"/>
      <c r="BH986" s="291"/>
      <c r="BI986" s="291"/>
      <c r="BJ986" s="291"/>
      <c r="BK986" s="291"/>
      <c r="BL986" s="291"/>
      <c r="BM986" s="57"/>
      <c r="BN986" s="57"/>
      <c r="BO986" s="57"/>
      <c r="BP986" s="57"/>
      <c r="BQ986" s="57"/>
      <c r="BR986" s="57"/>
      <c r="BS986" s="57"/>
      <c r="BT986" s="57"/>
      <c r="BU986" s="57"/>
      <c r="BV986" s="57"/>
      <c r="BW986" s="57"/>
      <c r="BX986" s="57"/>
      <c r="BY986" s="57"/>
    </row>
    <row r="987" ht="15.75" customHeight="1">
      <c r="A987" s="52">
        <v>970.0</v>
      </c>
      <c r="B987" s="58" t="s">
        <v>3096</v>
      </c>
      <c r="C987" s="58" t="s">
        <v>47</v>
      </c>
      <c r="D987" s="58" t="s">
        <v>694</v>
      </c>
      <c r="E987" s="58" t="s">
        <v>1921</v>
      </c>
      <c r="F987" s="93">
        <v>44722.0</v>
      </c>
      <c r="G987" s="93">
        <v>44840.0</v>
      </c>
      <c r="H987" s="53">
        <v>2022.0</v>
      </c>
      <c r="I987" s="53" t="s">
        <v>97</v>
      </c>
      <c r="J987" s="58" t="s">
        <v>230</v>
      </c>
      <c r="K987" s="58" t="s">
        <v>164</v>
      </c>
      <c r="L987" s="58" t="s">
        <v>1336</v>
      </c>
      <c r="M987" s="58" t="s">
        <v>101</v>
      </c>
      <c r="N987" s="58" t="s">
        <v>3097</v>
      </c>
      <c r="O987" s="58" t="s">
        <v>3098</v>
      </c>
      <c r="P987" s="58"/>
      <c r="Q987" s="58"/>
      <c r="R987" s="58"/>
      <c r="S987" s="58"/>
      <c r="T987" s="57"/>
      <c r="U987" s="57"/>
      <c r="V987" s="58" t="s">
        <v>3099</v>
      </c>
      <c r="W987" s="58"/>
      <c r="X987" s="58"/>
      <c r="Y987" s="58"/>
      <c r="Z987" s="58"/>
      <c r="AA987" s="58"/>
      <c r="AB987" s="58"/>
      <c r="AC987" s="58"/>
      <c r="AD987" s="58"/>
      <c r="AE987" s="58"/>
      <c r="AF987" s="58"/>
      <c r="AG987" s="58"/>
      <c r="AH987" s="58"/>
      <c r="AI987" s="58"/>
      <c r="AJ987" s="58"/>
      <c r="AK987" s="58"/>
      <c r="AL987" s="58"/>
      <c r="AM987" s="58"/>
      <c r="AN987" s="58"/>
      <c r="AO987" s="58"/>
      <c r="AP987" s="58"/>
      <c r="AQ987" s="58"/>
      <c r="AR987" s="58"/>
      <c r="AS987" s="58"/>
      <c r="AT987" s="291"/>
      <c r="AU987" s="291"/>
      <c r="AV987" s="291"/>
      <c r="AW987" s="291"/>
      <c r="AX987" s="291"/>
      <c r="AY987" s="291"/>
      <c r="AZ987" s="291"/>
      <c r="BA987" s="291"/>
      <c r="BB987" s="291"/>
      <c r="BC987" s="291"/>
      <c r="BD987" s="291"/>
      <c r="BE987" s="291"/>
      <c r="BF987" s="291"/>
      <c r="BG987" s="291"/>
      <c r="BH987" s="291"/>
      <c r="BI987" s="291"/>
      <c r="BJ987" s="291"/>
      <c r="BK987" s="291"/>
      <c r="BL987" s="291"/>
      <c r="BM987" s="57"/>
      <c r="BN987" s="57"/>
      <c r="BO987" s="57"/>
      <c r="BP987" s="57"/>
      <c r="BQ987" s="57"/>
      <c r="BR987" s="57"/>
      <c r="BS987" s="57"/>
      <c r="BT987" s="57"/>
      <c r="BU987" s="57"/>
      <c r="BV987" s="57"/>
      <c r="BW987" s="57"/>
      <c r="BX987" s="57"/>
      <c r="BY987" s="57"/>
    </row>
    <row r="988" ht="15.75" customHeight="1">
      <c r="A988" s="52">
        <v>973.0</v>
      </c>
      <c r="B988" s="53" t="s">
        <v>3100</v>
      </c>
      <c r="C988" s="58" t="s">
        <v>47</v>
      </c>
      <c r="D988" s="58" t="s">
        <v>694</v>
      </c>
      <c r="E988" s="58" t="s">
        <v>1921</v>
      </c>
      <c r="F988" s="58" t="s">
        <v>3101</v>
      </c>
      <c r="G988" s="58" t="s">
        <v>1922</v>
      </c>
      <c r="H988" s="53">
        <v>2022.0</v>
      </c>
      <c r="I988" s="53" t="s">
        <v>97</v>
      </c>
      <c r="J988" s="58" t="s">
        <v>230</v>
      </c>
      <c r="K988" s="58" t="s">
        <v>164</v>
      </c>
      <c r="L988" s="58" t="s">
        <v>1921</v>
      </c>
      <c r="M988" s="58" t="s">
        <v>1923</v>
      </c>
      <c r="N988" s="58" t="s">
        <v>1924</v>
      </c>
      <c r="O988" s="58" t="s">
        <v>1925</v>
      </c>
      <c r="P988" s="58"/>
      <c r="Q988" s="58"/>
      <c r="R988" s="58"/>
      <c r="S988" s="58"/>
      <c r="T988" s="57"/>
      <c r="U988" s="57"/>
      <c r="V988" s="58" t="s">
        <v>3102</v>
      </c>
      <c r="W988" s="58"/>
      <c r="X988" s="58"/>
      <c r="Y988" s="58"/>
      <c r="Z988" s="58"/>
      <c r="AA988" s="58"/>
      <c r="AB988" s="58"/>
      <c r="AC988" s="58"/>
      <c r="AD988" s="58"/>
      <c r="AE988" s="58"/>
      <c r="AF988" s="58"/>
      <c r="AG988" s="58"/>
      <c r="AH988" s="58"/>
      <c r="AI988" s="58"/>
      <c r="AJ988" s="58"/>
      <c r="AK988" s="58"/>
      <c r="AL988" s="58"/>
      <c r="AM988" s="58"/>
      <c r="AN988" s="58"/>
      <c r="AO988" s="58"/>
      <c r="AP988" s="58"/>
      <c r="AQ988" s="58"/>
      <c r="AR988" s="58"/>
      <c r="AS988" s="58"/>
      <c r="AT988" s="291"/>
      <c r="AU988" s="291"/>
      <c r="AV988" s="291"/>
      <c r="AW988" s="291"/>
      <c r="AX988" s="291"/>
      <c r="AY988" s="291"/>
      <c r="AZ988" s="291"/>
      <c r="BA988" s="291"/>
      <c r="BB988" s="291"/>
      <c r="BC988" s="291"/>
      <c r="BD988" s="291"/>
      <c r="BE988" s="291"/>
      <c r="BF988" s="291"/>
      <c r="BG988" s="291"/>
      <c r="BH988" s="291"/>
      <c r="BI988" s="291"/>
      <c r="BJ988" s="291"/>
      <c r="BK988" s="291"/>
      <c r="BL988" s="291"/>
      <c r="BM988" s="57"/>
      <c r="BN988" s="57"/>
      <c r="BO988" s="57"/>
      <c r="BP988" s="57"/>
      <c r="BQ988" s="57"/>
      <c r="BR988" s="57"/>
      <c r="BS988" s="57"/>
      <c r="BT988" s="57"/>
      <c r="BU988" s="57"/>
      <c r="BV988" s="57"/>
      <c r="BW988" s="57"/>
      <c r="BX988" s="57"/>
      <c r="BY988" s="57"/>
    </row>
    <row r="989" ht="15.75" customHeight="1">
      <c r="A989" s="52">
        <v>975.0</v>
      </c>
      <c r="B989" s="58" t="s">
        <v>3103</v>
      </c>
      <c r="C989" s="58" t="s">
        <v>47</v>
      </c>
      <c r="D989" s="58" t="s">
        <v>2033</v>
      </c>
      <c r="E989" s="58" t="s">
        <v>1921</v>
      </c>
      <c r="F989" s="58" t="s">
        <v>3104</v>
      </c>
      <c r="G989" s="58" t="s">
        <v>3104</v>
      </c>
      <c r="H989" s="53">
        <v>2022.0</v>
      </c>
      <c r="I989" s="53" t="s">
        <v>97</v>
      </c>
      <c r="J989" s="58" t="s">
        <v>230</v>
      </c>
      <c r="K989" s="58" t="s">
        <v>164</v>
      </c>
      <c r="L989" s="58" t="s">
        <v>1336</v>
      </c>
      <c r="M989" s="58" t="s">
        <v>485</v>
      </c>
      <c r="N989" s="58" t="s">
        <v>3105</v>
      </c>
      <c r="O989" s="308" t="s">
        <v>3106</v>
      </c>
      <c r="P989" s="58"/>
      <c r="Q989" s="58"/>
      <c r="R989" s="58"/>
      <c r="S989" s="58"/>
      <c r="T989" s="57"/>
      <c r="U989" s="57"/>
      <c r="V989" s="58" t="s">
        <v>1927</v>
      </c>
      <c r="W989" s="58"/>
      <c r="X989" s="58"/>
      <c r="Y989" s="58"/>
      <c r="Z989" s="58"/>
      <c r="AA989" s="58"/>
      <c r="AB989" s="58"/>
      <c r="AC989" s="58"/>
      <c r="AD989" s="58"/>
      <c r="AE989" s="58"/>
      <c r="AF989" s="58"/>
      <c r="AG989" s="58"/>
      <c r="AH989" s="58"/>
      <c r="AI989" s="58"/>
      <c r="AJ989" s="58"/>
      <c r="AK989" s="58"/>
      <c r="AL989" s="58"/>
      <c r="AM989" s="58"/>
      <c r="AN989" s="58"/>
      <c r="AO989" s="58"/>
      <c r="AP989" s="58"/>
      <c r="AQ989" s="58"/>
      <c r="AR989" s="58"/>
      <c r="AS989" s="58"/>
      <c r="AT989" s="291"/>
      <c r="AU989" s="291"/>
      <c r="AV989" s="291"/>
      <c r="AW989" s="291"/>
      <c r="AX989" s="291"/>
      <c r="AY989" s="291"/>
      <c r="AZ989" s="291"/>
      <c r="BA989" s="291"/>
      <c r="BB989" s="291"/>
      <c r="BC989" s="291"/>
      <c r="BD989" s="291"/>
      <c r="BE989" s="291"/>
      <c r="BF989" s="291"/>
      <c r="BG989" s="291"/>
      <c r="BH989" s="291"/>
      <c r="BI989" s="291"/>
      <c r="BJ989" s="291"/>
      <c r="BK989" s="291"/>
      <c r="BL989" s="291"/>
      <c r="BM989" s="57"/>
      <c r="BN989" s="57"/>
      <c r="BO989" s="57"/>
      <c r="BP989" s="57"/>
      <c r="BQ989" s="57"/>
      <c r="BR989" s="57"/>
      <c r="BS989" s="57"/>
      <c r="BT989" s="57"/>
      <c r="BU989" s="57"/>
      <c r="BV989" s="57"/>
      <c r="BW989" s="57"/>
      <c r="BX989" s="57"/>
      <c r="BY989" s="57"/>
    </row>
    <row r="990" ht="15.75" customHeight="1">
      <c r="A990" s="52">
        <v>977.0</v>
      </c>
      <c r="B990" s="58" t="s">
        <v>3107</v>
      </c>
      <c r="C990" s="58" t="s">
        <v>47</v>
      </c>
      <c r="D990" s="58" t="s">
        <v>694</v>
      </c>
      <c r="E990" s="58" t="s">
        <v>1901</v>
      </c>
      <c r="F990" s="58" t="s">
        <v>3108</v>
      </c>
      <c r="G990" s="58" t="s">
        <v>3108</v>
      </c>
      <c r="H990" s="53">
        <v>2022.0</v>
      </c>
      <c r="I990" s="53" t="s">
        <v>97</v>
      </c>
      <c r="J990" s="58" t="s">
        <v>230</v>
      </c>
      <c r="K990" s="58" t="s">
        <v>164</v>
      </c>
      <c r="L990" s="58" t="s">
        <v>1336</v>
      </c>
      <c r="M990" s="58" t="s">
        <v>1923</v>
      </c>
      <c r="N990" s="58" t="s">
        <v>3109</v>
      </c>
      <c r="O990" s="58" t="s">
        <v>3110</v>
      </c>
      <c r="P990" s="58"/>
      <c r="Q990" s="58"/>
      <c r="R990" s="58"/>
      <c r="S990" s="58"/>
      <c r="T990" s="57"/>
      <c r="U990" s="57"/>
      <c r="V990" s="58" t="s">
        <v>2040</v>
      </c>
      <c r="W990" s="58"/>
      <c r="X990" s="58"/>
      <c r="Y990" s="58"/>
      <c r="Z990" s="58"/>
      <c r="AA990" s="58"/>
      <c r="AB990" s="58"/>
      <c r="AC990" s="58"/>
      <c r="AD990" s="58"/>
      <c r="AE990" s="58"/>
      <c r="AF990" s="58"/>
      <c r="AG990" s="58"/>
      <c r="AH990" s="58"/>
      <c r="AI990" s="58"/>
      <c r="AJ990" s="58"/>
      <c r="AK990" s="58"/>
      <c r="AL990" s="58"/>
      <c r="AM990" s="58"/>
      <c r="AN990" s="58"/>
      <c r="AO990" s="58"/>
      <c r="AP990" s="58"/>
      <c r="AQ990" s="58"/>
      <c r="AR990" s="58"/>
      <c r="AS990" s="58"/>
      <c r="AT990" s="291"/>
      <c r="AU990" s="291"/>
      <c r="AV990" s="291"/>
      <c r="AW990" s="291"/>
      <c r="AX990" s="291"/>
      <c r="AY990" s="291"/>
      <c r="AZ990" s="291"/>
      <c r="BA990" s="291"/>
      <c r="BB990" s="291"/>
      <c r="BC990" s="291"/>
      <c r="BD990" s="291"/>
      <c r="BE990" s="291"/>
      <c r="BF990" s="291"/>
      <c r="BG990" s="291"/>
      <c r="BH990" s="291"/>
      <c r="BI990" s="291"/>
      <c r="BJ990" s="291"/>
      <c r="BK990" s="291"/>
      <c r="BL990" s="291"/>
      <c r="BM990" s="57"/>
      <c r="BN990" s="57"/>
      <c r="BO990" s="57"/>
      <c r="BP990" s="57"/>
      <c r="BQ990" s="57"/>
      <c r="BR990" s="57"/>
      <c r="BS990" s="57"/>
      <c r="BT990" s="57"/>
      <c r="BU990" s="57"/>
      <c r="BV990" s="57"/>
      <c r="BW990" s="57"/>
      <c r="BX990" s="57"/>
      <c r="BY990" s="57"/>
    </row>
    <row r="991" ht="15.75" customHeight="1">
      <c r="A991" s="52">
        <v>979.0</v>
      </c>
      <c r="B991" s="58" t="s">
        <v>3111</v>
      </c>
      <c r="C991" s="58" t="s">
        <v>47</v>
      </c>
      <c r="D991" s="58" t="s">
        <v>694</v>
      </c>
      <c r="E991" s="58" t="s">
        <v>1901</v>
      </c>
      <c r="F991" s="58" t="s">
        <v>745</v>
      </c>
      <c r="G991" s="58" t="s">
        <v>3112</v>
      </c>
      <c r="H991" s="53">
        <v>2022.0</v>
      </c>
      <c r="I991" s="53" t="s">
        <v>97</v>
      </c>
      <c r="J991" s="58" t="s">
        <v>230</v>
      </c>
      <c r="K991" s="58" t="s">
        <v>164</v>
      </c>
      <c r="L991" s="58" t="s">
        <v>1336</v>
      </c>
      <c r="M991" s="58" t="s">
        <v>1923</v>
      </c>
      <c r="N991" s="58" t="s">
        <v>3113</v>
      </c>
      <c r="O991" s="58"/>
      <c r="P991" s="58"/>
      <c r="Q991" s="58"/>
      <c r="R991" s="58"/>
      <c r="S991" s="58"/>
      <c r="T991" s="57"/>
      <c r="U991" s="57"/>
      <c r="V991" s="58"/>
      <c r="W991" s="309" t="s">
        <v>3114</v>
      </c>
      <c r="X991" s="58"/>
      <c r="Y991" s="58"/>
      <c r="Z991" s="58"/>
      <c r="AA991" s="58"/>
      <c r="AB991" s="58"/>
      <c r="AC991" s="58"/>
      <c r="AD991" s="58"/>
      <c r="AE991" s="58"/>
      <c r="AF991" s="58"/>
      <c r="AG991" s="58"/>
      <c r="AH991" s="58"/>
      <c r="AI991" s="58"/>
      <c r="AJ991" s="58"/>
      <c r="AK991" s="58"/>
      <c r="AL991" s="58"/>
      <c r="AM991" s="58"/>
      <c r="AN991" s="58"/>
      <c r="AO991" s="58"/>
      <c r="AP991" s="58"/>
      <c r="AQ991" s="58"/>
      <c r="AR991" s="58"/>
      <c r="AS991" s="58"/>
      <c r="AT991" s="291"/>
      <c r="AU991" s="291"/>
      <c r="AV991" s="291"/>
      <c r="AW991" s="291"/>
      <c r="AX991" s="291"/>
      <c r="AY991" s="291"/>
      <c r="AZ991" s="291"/>
      <c r="BA991" s="291"/>
      <c r="BB991" s="291"/>
      <c r="BC991" s="291"/>
      <c r="BD991" s="291"/>
      <c r="BE991" s="291"/>
      <c r="BF991" s="291"/>
      <c r="BG991" s="291"/>
      <c r="BH991" s="291"/>
      <c r="BI991" s="291"/>
      <c r="BJ991" s="291"/>
      <c r="BK991" s="291"/>
      <c r="BL991" s="291"/>
      <c r="BM991" s="57"/>
      <c r="BN991" s="57"/>
      <c r="BO991" s="57"/>
      <c r="BP991" s="57"/>
      <c r="BQ991" s="57"/>
      <c r="BR991" s="57"/>
      <c r="BS991" s="57"/>
      <c r="BT991" s="57"/>
      <c r="BU991" s="57"/>
      <c r="BV991" s="57"/>
      <c r="BW991" s="57"/>
      <c r="BX991" s="57"/>
      <c r="BY991" s="57"/>
    </row>
    <row r="992" ht="15.75" customHeight="1">
      <c r="A992" s="52">
        <v>981.0</v>
      </c>
      <c r="B992" s="58" t="s">
        <v>3115</v>
      </c>
      <c r="C992" s="58" t="s">
        <v>50</v>
      </c>
      <c r="D992" s="58" t="s">
        <v>753</v>
      </c>
      <c r="E992" s="58" t="s">
        <v>675</v>
      </c>
      <c r="F992" s="58" t="s">
        <v>1254</v>
      </c>
      <c r="G992" s="58" t="s">
        <v>1254</v>
      </c>
      <c r="H992" s="53">
        <v>2022.0</v>
      </c>
      <c r="I992" s="58" t="s">
        <v>97</v>
      </c>
      <c r="J992" s="58" t="s">
        <v>230</v>
      </c>
      <c r="K992" s="58" t="s">
        <v>164</v>
      </c>
      <c r="L992" s="58" t="s">
        <v>100</v>
      </c>
      <c r="M992" s="58" t="s">
        <v>485</v>
      </c>
      <c r="N992" s="58" t="s">
        <v>3116</v>
      </c>
      <c r="O992" s="58" t="s">
        <v>3117</v>
      </c>
      <c r="P992" s="58" t="s">
        <v>112</v>
      </c>
      <c r="Q992" s="58"/>
      <c r="R992" s="58"/>
      <c r="S992" s="58"/>
      <c r="T992" s="57"/>
      <c r="U992" s="57"/>
      <c r="V992" s="58" t="s">
        <v>680</v>
      </c>
      <c r="W992" s="58" t="s">
        <v>3118</v>
      </c>
      <c r="X992" s="58"/>
      <c r="Y992" s="58"/>
      <c r="Z992" s="58"/>
      <c r="AA992" s="58"/>
      <c r="AB992" s="58"/>
      <c r="AC992" s="58"/>
      <c r="AD992" s="58"/>
      <c r="AE992" s="58"/>
      <c r="AF992" s="58"/>
      <c r="AG992" s="58"/>
      <c r="AH992" s="58"/>
      <c r="AI992" s="58"/>
      <c r="AJ992" s="58"/>
      <c r="AK992" s="58"/>
      <c r="AL992" s="58"/>
      <c r="AM992" s="58"/>
      <c r="AN992" s="58"/>
      <c r="AO992" s="58"/>
      <c r="AP992" s="58"/>
      <c r="AQ992" s="58"/>
      <c r="AR992" s="58"/>
      <c r="AS992" s="58"/>
      <c r="AT992" s="291"/>
      <c r="AU992" s="291"/>
      <c r="AV992" s="291"/>
      <c r="AW992" s="291"/>
      <c r="AX992" s="291"/>
      <c r="AY992" s="291"/>
      <c r="AZ992" s="291"/>
      <c r="BA992" s="291"/>
      <c r="BB992" s="291"/>
      <c r="BC992" s="291"/>
      <c r="BD992" s="291"/>
      <c r="BE992" s="291"/>
      <c r="BF992" s="291"/>
      <c r="BG992" s="291"/>
      <c r="BH992" s="291"/>
      <c r="BI992" s="291"/>
      <c r="BJ992" s="291"/>
      <c r="BK992" s="291"/>
      <c r="BL992" s="291"/>
      <c r="BM992" s="57"/>
      <c r="BN992" s="57"/>
      <c r="BO992" s="57"/>
      <c r="BP992" s="57"/>
      <c r="BQ992" s="57"/>
      <c r="BR992" s="57"/>
      <c r="BS992" s="57"/>
      <c r="BT992" s="57"/>
      <c r="BU992" s="57"/>
      <c r="BV992" s="57"/>
      <c r="BW992" s="57"/>
      <c r="BX992" s="57"/>
      <c r="BY992" s="57"/>
    </row>
    <row r="993" ht="15.75" customHeight="1">
      <c r="A993" s="52">
        <v>985.0</v>
      </c>
      <c r="B993" s="58" t="s">
        <v>3119</v>
      </c>
      <c r="C993" s="58" t="s">
        <v>47</v>
      </c>
      <c r="D993" s="58" t="s">
        <v>694</v>
      </c>
      <c r="E993" s="58" t="s">
        <v>1921</v>
      </c>
      <c r="F993" s="58" t="s">
        <v>3120</v>
      </c>
      <c r="G993" s="58" t="s">
        <v>3120</v>
      </c>
      <c r="H993" s="53">
        <v>2022.0</v>
      </c>
      <c r="I993" s="58" t="s">
        <v>97</v>
      </c>
      <c r="J993" s="58" t="s">
        <v>230</v>
      </c>
      <c r="K993" s="58" t="s">
        <v>164</v>
      </c>
      <c r="L993" s="58" t="s">
        <v>1921</v>
      </c>
      <c r="M993" s="58" t="s">
        <v>1923</v>
      </c>
      <c r="N993" s="58" t="s">
        <v>3121</v>
      </c>
      <c r="O993" s="58"/>
      <c r="P993" s="58"/>
      <c r="Q993" s="58"/>
      <c r="R993" s="58"/>
      <c r="S993" s="58"/>
      <c r="T993" s="57"/>
      <c r="U993" s="57"/>
      <c r="V993" s="58" t="s">
        <v>3122</v>
      </c>
      <c r="W993" s="58"/>
      <c r="X993" s="58"/>
      <c r="Y993" s="58"/>
      <c r="Z993" s="58"/>
      <c r="AA993" s="58"/>
      <c r="AB993" s="58"/>
      <c r="AC993" s="58"/>
      <c r="AD993" s="58"/>
      <c r="AE993" s="58"/>
      <c r="AF993" s="58"/>
      <c r="AG993" s="58"/>
      <c r="AH993" s="58"/>
      <c r="AI993" s="58"/>
      <c r="AJ993" s="58"/>
      <c r="AK993" s="58"/>
      <c r="AL993" s="58"/>
      <c r="AM993" s="58"/>
      <c r="AN993" s="58"/>
      <c r="AO993" s="58"/>
      <c r="AP993" s="58"/>
      <c r="AQ993" s="58"/>
      <c r="AR993" s="58"/>
      <c r="AS993" s="58"/>
      <c r="AT993" s="291"/>
      <c r="AU993" s="291"/>
      <c r="AV993" s="291"/>
      <c r="AW993" s="291"/>
      <c r="AX993" s="291"/>
      <c r="AY993" s="291"/>
      <c r="AZ993" s="291"/>
      <c r="BA993" s="291"/>
      <c r="BB993" s="291"/>
      <c r="BC993" s="291"/>
      <c r="BD993" s="291"/>
      <c r="BE993" s="291"/>
      <c r="BF993" s="291"/>
      <c r="BG993" s="291"/>
      <c r="BH993" s="291"/>
      <c r="BI993" s="291"/>
      <c r="BJ993" s="291"/>
      <c r="BK993" s="291"/>
      <c r="BL993" s="291"/>
      <c r="BM993" s="57"/>
      <c r="BN993" s="57"/>
      <c r="BO993" s="57"/>
      <c r="BP993" s="57"/>
      <c r="BQ993" s="57"/>
      <c r="BR993" s="57"/>
      <c r="BS993" s="57"/>
      <c r="BT993" s="57"/>
      <c r="BU993" s="57"/>
      <c r="BV993" s="57"/>
      <c r="BW993" s="57"/>
      <c r="BX993" s="57"/>
      <c r="BY993" s="57"/>
    </row>
    <row r="994" ht="15.75" customHeight="1">
      <c r="A994" s="52">
        <v>990.0</v>
      </c>
      <c r="B994" s="58" t="s">
        <v>3123</v>
      </c>
      <c r="C994" s="58" t="s">
        <v>50</v>
      </c>
      <c r="D994" s="58" t="s">
        <v>694</v>
      </c>
      <c r="E994" s="58" t="s">
        <v>675</v>
      </c>
      <c r="F994" s="53" t="s">
        <v>3124</v>
      </c>
      <c r="G994" s="58" t="s">
        <v>3125</v>
      </c>
      <c r="H994" s="53">
        <v>2023.0</v>
      </c>
      <c r="I994" s="53" t="s">
        <v>97</v>
      </c>
      <c r="J994" s="58" t="s">
        <v>230</v>
      </c>
      <c r="K994" s="58" t="s">
        <v>164</v>
      </c>
      <c r="L994" s="58" t="s">
        <v>100</v>
      </c>
      <c r="M994" s="58" t="s">
        <v>1923</v>
      </c>
      <c r="N994" s="58" t="s">
        <v>3126</v>
      </c>
      <c r="O994" s="58" t="s">
        <v>3127</v>
      </c>
      <c r="P994" s="58"/>
      <c r="Q994" s="58"/>
      <c r="R994" s="58"/>
      <c r="S994" s="58"/>
      <c r="T994" s="57"/>
      <c r="U994" s="57"/>
      <c r="V994" s="58" t="s">
        <v>3128</v>
      </c>
      <c r="W994" s="58" t="s">
        <v>3129</v>
      </c>
      <c r="X994" s="58"/>
      <c r="Y994" s="58"/>
      <c r="Z994" s="58"/>
      <c r="AA994" s="58"/>
      <c r="AB994" s="58"/>
      <c r="AC994" s="58"/>
      <c r="AD994" s="58"/>
      <c r="AE994" s="58"/>
      <c r="AF994" s="58"/>
      <c r="AG994" s="58"/>
      <c r="AH994" s="58"/>
      <c r="AI994" s="58"/>
      <c r="AJ994" s="58"/>
      <c r="AK994" s="58"/>
      <c r="AL994" s="58"/>
      <c r="AM994" s="58"/>
      <c r="AN994" s="58"/>
      <c r="AO994" s="58"/>
      <c r="AP994" s="58"/>
      <c r="AQ994" s="58"/>
      <c r="AR994" s="58"/>
      <c r="AS994" s="58"/>
      <c r="AT994" s="291"/>
      <c r="AU994" s="291"/>
      <c r="AV994" s="291"/>
      <c r="AW994" s="291"/>
      <c r="AX994" s="291"/>
      <c r="AY994" s="291"/>
      <c r="AZ994" s="291"/>
      <c r="BA994" s="291"/>
      <c r="BB994" s="291"/>
      <c r="BC994" s="291"/>
      <c r="BD994" s="291"/>
      <c r="BE994" s="291"/>
      <c r="BF994" s="291"/>
      <c r="BG994" s="291"/>
      <c r="BH994" s="291"/>
      <c r="BI994" s="291"/>
      <c r="BJ994" s="291"/>
      <c r="BK994" s="291"/>
      <c r="BL994" s="291"/>
      <c r="BM994" s="57"/>
      <c r="BN994" s="57"/>
      <c r="BO994" s="57"/>
      <c r="BP994" s="57"/>
      <c r="BQ994" s="57"/>
      <c r="BR994" s="57"/>
      <c r="BS994" s="57"/>
      <c r="BT994" s="57"/>
      <c r="BU994" s="57"/>
      <c r="BV994" s="57"/>
      <c r="BW994" s="57"/>
      <c r="BX994" s="57"/>
      <c r="BY994" s="57"/>
    </row>
    <row r="995" ht="15.75" customHeight="1">
      <c r="A995" s="52">
        <v>994.0</v>
      </c>
      <c r="B995" s="58" t="s">
        <v>3130</v>
      </c>
      <c r="C995" s="58" t="s">
        <v>50</v>
      </c>
      <c r="D995" s="58" t="s">
        <v>753</v>
      </c>
      <c r="E995" s="58" t="s">
        <v>1005</v>
      </c>
      <c r="F995" s="93">
        <v>45109.0</v>
      </c>
      <c r="G995" s="58" t="s">
        <v>3131</v>
      </c>
      <c r="H995" s="53" t="s">
        <v>3131</v>
      </c>
      <c r="I995" s="53" t="s">
        <v>97</v>
      </c>
      <c r="J995" s="58" t="s">
        <v>230</v>
      </c>
      <c r="K995" s="58" t="s">
        <v>164</v>
      </c>
      <c r="L995" s="58" t="s">
        <v>100</v>
      </c>
      <c r="M995" s="58" t="s">
        <v>485</v>
      </c>
      <c r="N995" s="58"/>
      <c r="O995" s="58"/>
      <c r="P995" s="58"/>
      <c r="Q995" s="58"/>
      <c r="R995" s="58"/>
      <c r="S995" s="58"/>
      <c r="T995" s="58"/>
      <c r="U995" s="58" t="s">
        <v>3132</v>
      </c>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c r="AR995" s="58"/>
      <c r="AS995" s="58"/>
      <c r="AT995" s="291"/>
      <c r="AU995" s="291"/>
      <c r="AV995" s="291"/>
      <c r="AW995" s="291"/>
      <c r="AX995" s="291"/>
      <c r="AY995" s="291"/>
      <c r="AZ995" s="291"/>
      <c r="BA995" s="291"/>
      <c r="BB995" s="291"/>
      <c r="BC995" s="291"/>
      <c r="BD995" s="291"/>
      <c r="BE995" s="291"/>
      <c r="BF995" s="291"/>
      <c r="BG995" s="291"/>
      <c r="BH995" s="291"/>
      <c r="BI995" s="291"/>
      <c r="BJ995" s="291"/>
      <c r="BK995" s="291"/>
      <c r="BL995" s="291"/>
      <c r="BM995" s="57"/>
      <c r="BN995" s="57"/>
      <c r="BO995" s="57"/>
      <c r="BP995" s="57"/>
      <c r="BQ995" s="57"/>
      <c r="BR995" s="57"/>
      <c r="BS995" s="57"/>
      <c r="BT995" s="57"/>
      <c r="BU995" s="57"/>
      <c r="BV995" s="57"/>
      <c r="BW995" s="57"/>
      <c r="BX995" s="57"/>
      <c r="BY995" s="57"/>
    </row>
    <row r="996" ht="15.75" customHeight="1">
      <c r="B996" s="310"/>
      <c r="F996" s="310"/>
      <c r="G996" s="311"/>
      <c r="H996" s="311"/>
      <c r="L996" s="310"/>
      <c r="N996" s="312"/>
      <c r="O996" s="313"/>
      <c r="Z996" s="24"/>
    </row>
    <row r="997" ht="15.75" customHeight="1">
      <c r="B997" s="310"/>
      <c r="F997" s="310"/>
      <c r="G997" s="311"/>
      <c r="H997" s="311"/>
      <c r="L997" s="310"/>
      <c r="N997" s="312"/>
      <c r="O997" s="313"/>
      <c r="Z997" s="24"/>
    </row>
    <row r="998" ht="15.75" customHeight="1">
      <c r="B998" s="310"/>
      <c r="F998" s="310"/>
      <c r="G998" s="311"/>
      <c r="H998" s="311"/>
      <c r="L998" s="310"/>
      <c r="N998" s="312"/>
      <c r="O998" s="313"/>
      <c r="Z998" s="24"/>
    </row>
    <row r="999" ht="15.75" customHeight="1">
      <c r="B999" s="310"/>
      <c r="F999" s="310"/>
      <c r="G999" s="311"/>
      <c r="H999" s="311"/>
      <c r="L999" s="310"/>
      <c r="N999" s="312"/>
      <c r="O999" s="313"/>
      <c r="Z999" s="24"/>
    </row>
    <row r="1000" ht="15.75" customHeight="1">
      <c r="B1000" s="310"/>
      <c r="F1000" s="310"/>
      <c r="G1000" s="311"/>
      <c r="H1000" s="311"/>
      <c r="L1000" s="310"/>
      <c r="N1000" s="312"/>
      <c r="O1000" s="313"/>
      <c r="Z1000" s="24"/>
    </row>
  </sheetData>
  <autoFilter ref="$A$1:$AB$995">
    <sortState ref="A1:AB995">
      <sortCondition ref="R1:R995"/>
    </sortState>
  </autoFilter>
  <customSheetViews>
    <customSheetView guid="{2CD00BCC-80B9-49DB-AE54-5DEE464BEC3A}" filter="1" showAutoFilter="1">
      <autoFilter ref="$A$1:$AA$937"/>
      <extLst>
        <ext uri="GoogleSheetsCustomDataVersion1">
          <go:sheetsCustomData xmlns:go="http://customooxmlschemas.google.com/" filterViewId="1628913179"/>
        </ext>
      </extLst>
    </customSheetView>
    <customSheetView guid="{614D2B46-B56F-43D6-ABD8-81E51209EC1A}" filter="1" showAutoFilter="1">
      <autoFilter ref="$A$1:$AB$937">
        <filterColumn colId="0">
          <filters>
            <filter val="279"/>
            <filter val="939"/>
            <filter val="942"/>
            <filter val="943"/>
            <filter val="944"/>
            <filter val="946"/>
            <filter val="947"/>
            <filter val="948"/>
            <filter val="949"/>
            <filter val="952"/>
            <filter val="953"/>
            <filter val="954"/>
            <filter val="955"/>
            <filter val="956"/>
            <filter val="958"/>
            <filter val="959"/>
            <filter val="960"/>
            <filter val="961"/>
            <filter val="963"/>
            <filter val="964"/>
            <filter val="965"/>
            <filter val="966"/>
            <filter val="967"/>
            <filter val="971"/>
            <filter val="972"/>
            <filter val="974"/>
            <filter val="976"/>
            <filter val="978"/>
            <filter val="980"/>
            <filter val="982"/>
            <filter val="983"/>
            <filter val="984"/>
            <filter val="986"/>
            <filter val="987"/>
            <filter val="988"/>
            <filter val="989"/>
            <filter val="991"/>
            <filter val="992"/>
            <filter val="993"/>
            <filter val="143"/>
          </filters>
        </filterColumn>
        <sortState ref="A1:AB937">
          <sortCondition ref="A1:A937"/>
          <sortCondition ref="Z1:Z937"/>
          <sortCondition ref="AA1:AA937"/>
          <sortCondition ref="B1:B937"/>
          <sortCondition ref="V1:V937"/>
          <sortCondition ref="G1:G937"/>
          <sortCondition ref="C1:C937"/>
          <sortCondition ref="F1:F937"/>
        </sortState>
      </autoFilter>
      <extLst>
        <ext uri="GoogleSheetsCustomDataVersion1">
          <go:sheetsCustomData xmlns:go="http://customooxmlschemas.google.com/" filterViewId="838329690"/>
        </ext>
      </extLst>
    </customSheetView>
  </customSheetViews>
  <conditionalFormatting sqref="L361:L363 L366:L368 L370 L372:L373 L375:L377 L918 O355 O359 O361:O368 R173:S173 R178:S179 R183:S184 R188:S189 R218:S218 R359:S360 R593:S593">
    <cfRule type="cellIs" dxfId="1" priority="1" stopIfTrue="1" operator="equal">
      <formula>"POR DETERMINAR"</formula>
    </cfRule>
  </conditionalFormatting>
  <conditionalFormatting sqref="F470:F626">
    <cfRule type="notContainsBlanks" dxfId="0" priority="2">
      <formula>LEN(TRIM(F470))&gt;0</formula>
    </cfRule>
  </conditionalFormatting>
  <conditionalFormatting sqref="B1:B1000">
    <cfRule type="expression" dxfId="0" priority="3">
      <formula>COUNTIF ($B$2:$B$936, B2)&gt;1</formula>
    </cfRule>
  </conditionalFormatting>
  <conditionalFormatting sqref="AE1">
    <cfRule type="notContainsBlanks" dxfId="0" priority="4">
      <formula>LEN(TRIM(AE1))&gt;0</formula>
    </cfRule>
  </conditionalFormatting>
  <dataValidations>
    <dataValidation type="list" allowBlank="1" showErrorMessage="1" sqref="AA2:AA14 AA16:AA38 AA40:AA67 AA69:AA99 AA104:AA105 AA108 AA111 AA113:AA125 AA128:AA129 AA131:AA133 AA135:AA147 AA153:AA154 AA157:AA172 AA174:AA199 AA201:AA216 AA218:AA227 AA229:AA239 AA242:AA255 AA257:AA263 AA265 AA267:AA268 AA270:AA275 AA277:AA280 AA282:AA469 AA471:AA495 AA497:AA506 AA508:AA972 AA974:AA976">
      <formula1>"0. Por validar,1. Validado parcial,2. Validado final"</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8.75"/>
    <col customWidth="1" min="2" max="2" width="22.75"/>
  </cols>
  <sheetData>
    <row r="1"/>
    <row r="2"/>
    <row r="3"/>
    <row r="4"/>
    <row r="5"/>
    <row r="6"/>
    <row r="7"/>
    <row r="8"/>
    <row r="9"/>
    <row r="10"/>
    <row r="11"/>
    <row r="12"/>
    <row r="13"/>
    <row r="14"/>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outlinePr summaryBelow="0" summaryRight="0"/>
  </sheetPr>
  <sheetViews>
    <sheetView workbookViewId="0"/>
  </sheetViews>
  <sheetFormatPr customHeight="1" defaultColWidth="12.63" defaultRowHeight="15.0"/>
  <cols>
    <col customWidth="1" min="1" max="1" width="2.88"/>
    <col customWidth="1" min="2" max="2" width="26.63"/>
    <col customWidth="1" min="3" max="3" width="39.13"/>
    <col customWidth="1" min="4" max="4" width="43.5"/>
    <col customWidth="1" min="5" max="6" width="21.38"/>
    <col customWidth="1" min="7" max="7" width="23.88"/>
    <col customWidth="1" min="8" max="8" width="5.0"/>
    <col customWidth="1" min="9" max="9" width="7.0"/>
    <col customWidth="1" min="10" max="10" width="5.5"/>
    <col customWidth="1" min="11" max="11" width="6.5"/>
    <col customWidth="1" min="12" max="12" width="4.5"/>
  </cols>
  <sheetData>
    <row r="1">
      <c r="A1" s="7" t="s">
        <v>28</v>
      </c>
      <c r="B1" s="7" t="s">
        <v>29</v>
      </c>
      <c r="C1" s="9" t="s">
        <v>30</v>
      </c>
      <c r="D1" s="10" t="s">
        <v>32</v>
      </c>
      <c r="E1" s="7"/>
      <c r="F1" s="7" t="s">
        <v>33</v>
      </c>
      <c r="G1" s="7" t="s">
        <v>34</v>
      </c>
      <c r="H1" s="7" t="s">
        <v>35</v>
      </c>
      <c r="I1" s="7" t="s">
        <v>36</v>
      </c>
      <c r="J1" s="7" t="s">
        <v>37</v>
      </c>
      <c r="K1" s="7" t="s">
        <v>38</v>
      </c>
      <c r="L1" s="7" t="s">
        <v>39</v>
      </c>
    </row>
    <row r="2">
      <c r="A2" s="11">
        <v>1.0</v>
      </c>
      <c r="B2" s="11" t="s">
        <v>40</v>
      </c>
      <c r="C2" s="11" t="s">
        <v>41</v>
      </c>
      <c r="E2" s="11"/>
      <c r="F2" s="11" t="s">
        <v>42</v>
      </c>
      <c r="G2" s="11" t="s">
        <v>43</v>
      </c>
    </row>
    <row r="3">
      <c r="A3" s="11">
        <f t="shared" ref="A3:A57" si="1">A2+1</f>
        <v>2</v>
      </c>
      <c r="B3" s="11" t="s">
        <v>44</v>
      </c>
      <c r="C3" s="11" t="s">
        <v>45</v>
      </c>
      <c r="D3" s="12"/>
      <c r="G3" s="11"/>
    </row>
    <row r="4">
      <c r="A4" s="11">
        <f t="shared" si="1"/>
        <v>3</v>
      </c>
      <c r="B4" s="11" t="s">
        <v>60</v>
      </c>
      <c r="C4" s="14" t="s">
        <v>61</v>
      </c>
      <c r="G4" s="11"/>
    </row>
    <row r="5">
      <c r="A5" s="11">
        <f t="shared" si="1"/>
        <v>4</v>
      </c>
      <c r="B5" s="11" t="s">
        <v>62</v>
      </c>
      <c r="C5" s="11" t="s">
        <v>63</v>
      </c>
      <c r="G5" s="11"/>
    </row>
    <row r="6">
      <c r="A6" s="11">
        <f t="shared" si="1"/>
        <v>5</v>
      </c>
      <c r="B6" s="11" t="s">
        <v>64</v>
      </c>
      <c r="C6" s="15" t="s">
        <v>65</v>
      </c>
      <c r="D6" s="15" t="s">
        <v>66</v>
      </c>
      <c r="G6" s="11"/>
    </row>
    <row r="7">
      <c r="A7" s="11">
        <f t="shared" si="1"/>
        <v>6</v>
      </c>
      <c r="B7" s="11" t="s">
        <v>67</v>
      </c>
      <c r="C7" s="15" t="s">
        <v>68</v>
      </c>
      <c r="E7" s="11"/>
      <c r="F7" s="11" t="s">
        <v>69</v>
      </c>
      <c r="G7" s="11" t="s">
        <v>43</v>
      </c>
    </row>
    <row r="8">
      <c r="A8" s="11">
        <f t="shared" si="1"/>
        <v>7</v>
      </c>
      <c r="B8" s="11" t="s">
        <v>70</v>
      </c>
      <c r="C8" s="11" t="s">
        <v>71</v>
      </c>
      <c r="G8" s="11"/>
    </row>
    <row r="9">
      <c r="A9" s="11">
        <f t="shared" si="1"/>
        <v>8</v>
      </c>
      <c r="B9" s="11" t="s">
        <v>72</v>
      </c>
      <c r="C9" s="11" t="s">
        <v>73</v>
      </c>
      <c r="G9" s="11"/>
    </row>
    <row r="10">
      <c r="A10" s="11">
        <f t="shared" si="1"/>
        <v>9</v>
      </c>
      <c r="B10" s="11" t="s">
        <v>74</v>
      </c>
      <c r="C10" s="11" t="s">
        <v>75</v>
      </c>
      <c r="G10" s="11"/>
    </row>
    <row r="11">
      <c r="A11" s="11">
        <f t="shared" si="1"/>
        <v>10</v>
      </c>
      <c r="B11" s="11" t="s">
        <v>76</v>
      </c>
      <c r="C11" s="11" t="s">
        <v>77</v>
      </c>
      <c r="G11" s="11"/>
    </row>
    <row r="12">
      <c r="A12" s="11">
        <f t="shared" si="1"/>
        <v>11</v>
      </c>
      <c r="B12" s="11" t="s">
        <v>78</v>
      </c>
      <c r="C12" s="11" t="s">
        <v>79</v>
      </c>
      <c r="G12" s="11"/>
    </row>
    <row r="13">
      <c r="A13" s="11">
        <f t="shared" si="1"/>
        <v>12</v>
      </c>
      <c r="B13" s="11" t="s">
        <v>80</v>
      </c>
      <c r="C13" s="11" t="s">
        <v>81</v>
      </c>
      <c r="G13" s="11"/>
    </row>
    <row r="14">
      <c r="A14" s="11">
        <f t="shared" si="1"/>
        <v>13</v>
      </c>
      <c r="B14" s="11" t="s">
        <v>82</v>
      </c>
      <c r="C14" s="11" t="s">
        <v>83</v>
      </c>
      <c r="G14" s="11"/>
    </row>
    <row r="15">
      <c r="A15" s="11">
        <f t="shared" si="1"/>
        <v>14</v>
      </c>
      <c r="B15" s="11" t="s">
        <v>84</v>
      </c>
      <c r="C15" s="16" t="s">
        <v>85</v>
      </c>
      <c r="G15" s="11"/>
    </row>
    <row r="16">
      <c r="A16" s="11">
        <f t="shared" si="1"/>
        <v>15</v>
      </c>
      <c r="B16" s="11" t="s">
        <v>86</v>
      </c>
      <c r="C16" s="16" t="s">
        <v>87</v>
      </c>
      <c r="D16" s="16" t="s">
        <v>88</v>
      </c>
      <c r="G16" s="11"/>
    </row>
    <row r="17">
      <c r="A17" s="11">
        <f t="shared" si="1"/>
        <v>16</v>
      </c>
      <c r="B17" s="11" t="s">
        <v>91</v>
      </c>
      <c r="D17" s="11" t="s">
        <v>92</v>
      </c>
      <c r="G17" s="11"/>
    </row>
    <row r="18">
      <c r="A18" s="11">
        <f t="shared" si="1"/>
        <v>17</v>
      </c>
      <c r="B18" s="11" t="s">
        <v>93</v>
      </c>
      <c r="D18" s="11" t="s">
        <v>94</v>
      </c>
      <c r="G18" s="11"/>
    </row>
    <row r="19">
      <c r="A19" s="11">
        <f t="shared" si="1"/>
        <v>18</v>
      </c>
      <c r="B19" s="11" t="s">
        <v>95</v>
      </c>
      <c r="D19" s="11" t="s">
        <v>96</v>
      </c>
      <c r="G19" s="11"/>
    </row>
    <row r="20">
      <c r="A20" s="11">
        <f t="shared" si="1"/>
        <v>19</v>
      </c>
      <c r="B20" s="11" t="s">
        <v>102</v>
      </c>
      <c r="C20" s="14" t="s">
        <v>104</v>
      </c>
      <c r="G20" s="11"/>
    </row>
    <row r="21">
      <c r="A21" s="11">
        <f t="shared" si="1"/>
        <v>20</v>
      </c>
      <c r="B21" s="11" t="s">
        <v>107</v>
      </c>
      <c r="C21" s="11" t="s">
        <v>108</v>
      </c>
      <c r="D21" s="12"/>
      <c r="G21" s="11"/>
    </row>
    <row r="22">
      <c r="A22" s="11">
        <f t="shared" si="1"/>
        <v>21</v>
      </c>
      <c r="B22" s="11" t="s">
        <v>110</v>
      </c>
      <c r="C22" s="11" t="s">
        <v>111</v>
      </c>
      <c r="G22" s="11"/>
    </row>
    <row r="23">
      <c r="A23" s="11">
        <f t="shared" si="1"/>
        <v>22</v>
      </c>
      <c r="B23" s="11" t="s">
        <v>113</v>
      </c>
      <c r="C23" s="11" t="s">
        <v>114</v>
      </c>
      <c r="G23" s="11"/>
    </row>
    <row r="24">
      <c r="A24" s="11">
        <f t="shared" si="1"/>
        <v>23</v>
      </c>
      <c r="B24" s="11" t="s">
        <v>117</v>
      </c>
      <c r="C24" s="11" t="s">
        <v>118</v>
      </c>
      <c r="G24" s="11"/>
    </row>
    <row r="25">
      <c r="A25" s="11">
        <f t="shared" si="1"/>
        <v>24</v>
      </c>
      <c r="B25" s="11" t="s">
        <v>119</v>
      </c>
      <c r="C25" s="15" t="s">
        <v>120</v>
      </c>
      <c r="D25" s="15" t="s">
        <v>121</v>
      </c>
      <c r="G25" s="11"/>
    </row>
    <row r="26">
      <c r="A26" s="11">
        <f t="shared" si="1"/>
        <v>25</v>
      </c>
      <c r="B26" s="11" t="s">
        <v>122</v>
      </c>
      <c r="C26" s="11" t="s">
        <v>123</v>
      </c>
      <c r="D26" s="12" t="s">
        <v>124</v>
      </c>
      <c r="G26" s="11"/>
    </row>
    <row r="27">
      <c r="A27" s="11">
        <f t="shared" si="1"/>
        <v>26</v>
      </c>
      <c r="B27" s="11" t="s">
        <v>125</v>
      </c>
      <c r="C27" s="11" t="s">
        <v>126</v>
      </c>
      <c r="G27" s="11"/>
    </row>
    <row r="28">
      <c r="A28" s="11">
        <f t="shared" si="1"/>
        <v>27</v>
      </c>
      <c r="B28" s="11" t="s">
        <v>127</v>
      </c>
      <c r="C28" s="11" t="s">
        <v>128</v>
      </c>
      <c r="G28" s="11"/>
    </row>
    <row r="29">
      <c r="A29" s="11">
        <f t="shared" si="1"/>
        <v>28</v>
      </c>
      <c r="B29" s="11" t="s">
        <v>129</v>
      </c>
      <c r="C29" s="11" t="s">
        <v>130</v>
      </c>
      <c r="G29" s="11"/>
    </row>
    <row r="30">
      <c r="A30" s="11">
        <f t="shared" si="1"/>
        <v>29</v>
      </c>
      <c r="B30" s="11" t="s">
        <v>131</v>
      </c>
      <c r="C30" s="25" t="s">
        <v>132</v>
      </c>
      <c r="G30" s="11"/>
    </row>
    <row r="31">
      <c r="A31" s="11">
        <f t="shared" si="1"/>
        <v>30</v>
      </c>
      <c r="B31" s="11" t="s">
        <v>133</v>
      </c>
      <c r="C31" s="25" t="s">
        <v>134</v>
      </c>
      <c r="D31" s="25" t="s">
        <v>135</v>
      </c>
      <c r="G31" s="11"/>
    </row>
    <row r="32">
      <c r="A32" s="11">
        <f t="shared" si="1"/>
        <v>31</v>
      </c>
      <c r="B32" s="11" t="s">
        <v>136</v>
      </c>
      <c r="C32" s="11" t="s">
        <v>137</v>
      </c>
      <c r="G32" s="11"/>
    </row>
    <row r="33">
      <c r="A33" s="11">
        <f t="shared" si="1"/>
        <v>32</v>
      </c>
      <c r="B33" s="11" t="s">
        <v>138</v>
      </c>
      <c r="C33" s="26" t="s">
        <v>139</v>
      </c>
      <c r="D33" s="26"/>
      <c r="G33" s="11"/>
    </row>
    <row r="34">
      <c r="A34" s="11">
        <f t="shared" si="1"/>
        <v>33</v>
      </c>
      <c r="B34" s="11" t="s">
        <v>141</v>
      </c>
      <c r="C34" s="26" t="s">
        <v>142</v>
      </c>
      <c r="D34" s="26"/>
      <c r="G34" s="11"/>
    </row>
    <row r="35">
      <c r="A35" s="11">
        <f t="shared" si="1"/>
        <v>34</v>
      </c>
      <c r="B35" s="11" t="s">
        <v>182</v>
      </c>
      <c r="C35" s="11" t="s">
        <v>184</v>
      </c>
      <c r="G35" s="11"/>
    </row>
    <row r="36">
      <c r="A36" s="11">
        <f t="shared" si="1"/>
        <v>35</v>
      </c>
      <c r="B36" s="11" t="s">
        <v>185</v>
      </c>
      <c r="C36" s="61" t="s">
        <v>223</v>
      </c>
      <c r="G36" s="11"/>
    </row>
    <row r="37">
      <c r="A37" s="11">
        <f t="shared" si="1"/>
        <v>36</v>
      </c>
      <c r="B37" s="11" t="s">
        <v>228</v>
      </c>
      <c r="C37" s="11" t="s">
        <v>229</v>
      </c>
      <c r="G37" s="11"/>
    </row>
    <row r="38">
      <c r="A38" s="11">
        <f t="shared" si="1"/>
        <v>37</v>
      </c>
      <c r="B38" s="11" t="s">
        <v>234</v>
      </c>
      <c r="C38" s="11" t="s">
        <v>236</v>
      </c>
      <c r="G38" s="11"/>
    </row>
    <row r="39">
      <c r="A39" s="11">
        <f t="shared" si="1"/>
        <v>38</v>
      </c>
      <c r="B39" s="11" t="s">
        <v>239</v>
      </c>
      <c r="C39" s="11" t="s">
        <v>241</v>
      </c>
      <c r="G39" s="11"/>
    </row>
    <row r="40">
      <c r="A40" s="11">
        <f t="shared" si="1"/>
        <v>39</v>
      </c>
      <c r="B40" s="11" t="s">
        <v>244</v>
      </c>
      <c r="C40" s="11" t="s">
        <v>246</v>
      </c>
      <c r="G40" s="11"/>
    </row>
    <row r="41">
      <c r="A41" s="11">
        <f t="shared" si="1"/>
        <v>40</v>
      </c>
      <c r="B41" s="11" t="s">
        <v>247</v>
      </c>
      <c r="C41" s="11" t="s">
        <v>248</v>
      </c>
      <c r="G41" s="11"/>
    </row>
    <row r="42">
      <c r="A42" s="11">
        <f t="shared" si="1"/>
        <v>41</v>
      </c>
      <c r="B42" s="11" t="s">
        <v>252</v>
      </c>
      <c r="C42" s="11" t="s">
        <v>253</v>
      </c>
      <c r="E42" s="11"/>
      <c r="F42" s="11" t="s">
        <v>36</v>
      </c>
      <c r="G42" s="11" t="s">
        <v>43</v>
      </c>
    </row>
    <row r="43">
      <c r="A43" s="11">
        <f t="shared" si="1"/>
        <v>42</v>
      </c>
      <c r="B43" s="11" t="s">
        <v>255</v>
      </c>
      <c r="C43" s="61" t="s">
        <v>223</v>
      </c>
      <c r="D43" s="61" t="s">
        <v>257</v>
      </c>
      <c r="E43" s="11"/>
      <c r="F43" s="11" t="s">
        <v>36</v>
      </c>
      <c r="G43" s="11" t="s">
        <v>43</v>
      </c>
    </row>
    <row r="44">
      <c r="A44" s="11">
        <f t="shared" si="1"/>
        <v>43</v>
      </c>
      <c r="B44" s="11" t="s">
        <v>260</v>
      </c>
      <c r="C44" s="11" t="s">
        <v>261</v>
      </c>
      <c r="E44" s="11"/>
      <c r="F44" s="11" t="s">
        <v>36</v>
      </c>
      <c r="G44" s="11" t="s">
        <v>43</v>
      </c>
    </row>
    <row r="45">
      <c r="A45" s="11">
        <f t="shared" si="1"/>
        <v>44</v>
      </c>
      <c r="B45" s="11" t="s">
        <v>265</v>
      </c>
      <c r="C45" s="11" t="s">
        <v>267</v>
      </c>
      <c r="D45" s="11" t="s">
        <v>268</v>
      </c>
      <c r="E45" s="11"/>
      <c r="F45" s="11" t="s">
        <v>36</v>
      </c>
      <c r="G45" s="11" t="s">
        <v>43</v>
      </c>
    </row>
    <row r="46">
      <c r="A46" s="11">
        <f t="shared" si="1"/>
        <v>45</v>
      </c>
      <c r="B46" s="11" t="s">
        <v>271</v>
      </c>
      <c r="C46" s="11" t="s">
        <v>272</v>
      </c>
      <c r="E46" s="11"/>
      <c r="F46" s="11" t="s">
        <v>36</v>
      </c>
      <c r="G46" s="11" t="s">
        <v>43</v>
      </c>
    </row>
    <row r="47">
      <c r="A47" s="11">
        <f t="shared" si="1"/>
        <v>46</v>
      </c>
      <c r="B47" s="11" t="s">
        <v>275</v>
      </c>
      <c r="C47" s="14" t="s">
        <v>276</v>
      </c>
      <c r="E47" s="11"/>
      <c r="F47" s="11" t="s">
        <v>36</v>
      </c>
      <c r="G47" s="11" t="s">
        <v>43</v>
      </c>
    </row>
    <row r="48">
      <c r="A48" s="11">
        <f t="shared" si="1"/>
        <v>47</v>
      </c>
      <c r="B48" s="11" t="s">
        <v>279</v>
      </c>
      <c r="C48" s="14" t="s">
        <v>281</v>
      </c>
      <c r="E48" s="11"/>
      <c r="F48" s="11" t="s">
        <v>36</v>
      </c>
      <c r="G48" s="11" t="s">
        <v>43</v>
      </c>
    </row>
    <row r="49">
      <c r="A49" s="11">
        <f t="shared" si="1"/>
        <v>48</v>
      </c>
      <c r="B49" s="11" t="s">
        <v>283</v>
      </c>
      <c r="C49" s="11" t="s">
        <v>284</v>
      </c>
      <c r="E49" s="11"/>
      <c r="F49" s="11" t="s">
        <v>36</v>
      </c>
      <c r="G49" s="11" t="s">
        <v>43</v>
      </c>
    </row>
    <row r="50">
      <c r="A50" s="11">
        <f t="shared" si="1"/>
        <v>49</v>
      </c>
      <c r="B50" s="11" t="s">
        <v>287</v>
      </c>
      <c r="C50" s="62" t="s">
        <v>288</v>
      </c>
      <c r="D50" s="62" t="s">
        <v>290</v>
      </c>
      <c r="E50" s="11"/>
      <c r="F50" s="11" t="s">
        <v>36</v>
      </c>
      <c r="G50" s="11" t="s">
        <v>43</v>
      </c>
    </row>
    <row r="51">
      <c r="A51" s="11">
        <f t="shared" si="1"/>
        <v>50</v>
      </c>
      <c r="B51" s="11" t="s">
        <v>294</v>
      </c>
      <c r="C51" s="62" t="s">
        <v>288</v>
      </c>
      <c r="D51" s="63"/>
      <c r="E51" s="11"/>
      <c r="F51" s="11" t="s">
        <v>36</v>
      </c>
      <c r="G51" s="11" t="s">
        <v>43</v>
      </c>
    </row>
    <row r="52">
      <c r="A52" s="11">
        <f t="shared" si="1"/>
        <v>51</v>
      </c>
      <c r="B52" s="11" t="s">
        <v>298</v>
      </c>
      <c r="C52" s="11" t="s">
        <v>299</v>
      </c>
      <c r="D52" s="11" t="s">
        <v>300</v>
      </c>
      <c r="E52" s="11"/>
      <c r="F52" s="11" t="s">
        <v>36</v>
      </c>
      <c r="G52" s="11" t="s">
        <v>43</v>
      </c>
    </row>
    <row r="53">
      <c r="A53" s="11">
        <f t="shared" si="1"/>
        <v>52</v>
      </c>
      <c r="B53" s="11" t="s">
        <v>303</v>
      </c>
      <c r="C53" s="11" t="s">
        <v>304</v>
      </c>
      <c r="E53" s="11"/>
      <c r="F53" s="11" t="s">
        <v>36</v>
      </c>
      <c r="G53" s="11" t="s">
        <v>43</v>
      </c>
    </row>
    <row r="54">
      <c r="A54" s="11">
        <f t="shared" si="1"/>
        <v>53</v>
      </c>
      <c r="B54" s="11" t="s">
        <v>306</v>
      </c>
      <c r="C54" s="62" t="s">
        <v>307</v>
      </c>
      <c r="D54" s="62" t="s">
        <v>290</v>
      </c>
      <c r="G54" s="11"/>
    </row>
    <row r="55">
      <c r="A55" s="11">
        <f t="shared" si="1"/>
        <v>54</v>
      </c>
      <c r="B55" s="11" t="s">
        <v>308</v>
      </c>
      <c r="C55" s="11" t="s">
        <v>310</v>
      </c>
      <c r="D55" s="11" t="s">
        <v>311</v>
      </c>
      <c r="G55" s="11"/>
    </row>
    <row r="56">
      <c r="A56" s="11">
        <f t="shared" si="1"/>
        <v>55</v>
      </c>
      <c r="B56" s="11" t="s">
        <v>313</v>
      </c>
      <c r="D56" s="11" t="s">
        <v>315</v>
      </c>
      <c r="G56" s="11"/>
    </row>
    <row r="57">
      <c r="A57" s="11">
        <f t="shared" si="1"/>
        <v>56</v>
      </c>
      <c r="B57" s="64" t="s">
        <v>317</v>
      </c>
      <c r="C57" s="11" t="s">
        <v>319</v>
      </c>
      <c r="E57" s="11"/>
      <c r="F57" s="11" t="s">
        <v>69</v>
      </c>
      <c r="G57" s="11" t="s">
        <v>43</v>
      </c>
    </row>
    <row r="58">
      <c r="B58" s="11"/>
      <c r="C58" s="11"/>
      <c r="G58" s="11"/>
    </row>
    <row r="59">
      <c r="B59" s="11" t="s">
        <v>322</v>
      </c>
      <c r="G59" s="11"/>
    </row>
    <row r="60">
      <c r="B60" s="63" t="s">
        <v>324</v>
      </c>
      <c r="C60" s="11" t="s">
        <v>325</v>
      </c>
      <c r="G60" s="11"/>
    </row>
    <row r="61">
      <c r="B61" s="11" t="s">
        <v>327</v>
      </c>
      <c r="C61" s="11" t="s">
        <v>328</v>
      </c>
      <c r="G61" s="11"/>
    </row>
    <row r="62">
      <c r="G62" s="11"/>
    </row>
    <row r="63">
      <c r="G63" s="11"/>
    </row>
    <row r="64">
      <c r="G64" s="11"/>
    </row>
    <row r="65">
      <c r="G65" s="11"/>
    </row>
    <row r="66">
      <c r="G66" s="11"/>
    </row>
    <row r="67">
      <c r="G67" s="11"/>
    </row>
    <row r="68">
      <c r="G68" s="11"/>
    </row>
    <row r="69">
      <c r="G69" s="11"/>
    </row>
  </sheetData>
  <dataValidations>
    <dataValidation type="list" allowBlank="1" showErrorMessage="1" sqref="G2:G69">
      <formula1>"Por validar,Validado"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2.0"/>
    <col customWidth="1" min="2" max="2" width="26.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c r="A132" s="66"/>
    </row>
    <row r="133">
      <c r="A133" s="66"/>
    </row>
    <row r="134">
      <c r="A134" s="66"/>
    </row>
    <row r="135">
      <c r="A135" s="66"/>
    </row>
    <row r="136">
      <c r="A136" s="66"/>
    </row>
    <row r="137">
      <c r="A137" s="66"/>
    </row>
    <row r="138">
      <c r="A138" s="66"/>
    </row>
    <row r="139">
      <c r="A139" s="66"/>
    </row>
    <row r="140">
      <c r="A140" s="66"/>
    </row>
    <row r="141">
      <c r="A141" s="66"/>
    </row>
    <row r="142">
      <c r="A142" s="66"/>
    </row>
    <row r="143">
      <c r="A143" s="66"/>
    </row>
    <row r="144">
      <c r="A144" s="66"/>
    </row>
    <row r="145">
      <c r="A145" s="66"/>
    </row>
    <row r="146">
      <c r="A146" s="66"/>
    </row>
    <row r="147">
      <c r="A147" s="66"/>
    </row>
    <row r="148">
      <c r="A148" s="66"/>
    </row>
    <row r="149">
      <c r="A149" s="66"/>
    </row>
    <row r="150">
      <c r="A150" s="66"/>
    </row>
    <row r="151">
      <c r="A151" s="66"/>
    </row>
    <row r="152">
      <c r="A152" s="66"/>
    </row>
    <row r="153">
      <c r="A153" s="66"/>
    </row>
    <row r="154">
      <c r="A154" s="66"/>
    </row>
    <row r="155">
      <c r="A155" s="66"/>
    </row>
    <row r="156">
      <c r="A156" s="66"/>
    </row>
    <row r="157">
      <c r="A157" s="66"/>
    </row>
    <row r="158">
      <c r="A158" s="66"/>
    </row>
    <row r="159">
      <c r="A159" s="66"/>
    </row>
    <row r="160">
      <c r="A160" s="66"/>
    </row>
    <row r="161">
      <c r="A161" s="66"/>
    </row>
    <row r="162">
      <c r="A162" s="66"/>
    </row>
    <row r="163">
      <c r="A163" s="66"/>
    </row>
    <row r="164">
      <c r="A164" s="66"/>
    </row>
    <row r="165">
      <c r="A165" s="66"/>
    </row>
    <row r="166">
      <c r="A166" s="66"/>
    </row>
    <row r="167">
      <c r="A167" s="66"/>
    </row>
    <row r="168">
      <c r="A168" s="66"/>
    </row>
    <row r="169">
      <c r="A169" s="66"/>
    </row>
    <row r="170">
      <c r="A170" s="66"/>
    </row>
    <row r="171">
      <c r="A171" s="66"/>
    </row>
    <row r="172">
      <c r="A172" s="66"/>
    </row>
    <row r="173">
      <c r="A173" s="66"/>
    </row>
    <row r="174">
      <c r="A174" s="66"/>
    </row>
    <row r="175">
      <c r="A175" s="66"/>
    </row>
    <row r="176">
      <c r="A176" s="66"/>
    </row>
    <row r="177">
      <c r="A177" s="66"/>
    </row>
    <row r="178">
      <c r="A178" s="66"/>
    </row>
    <row r="179">
      <c r="A179" s="66"/>
    </row>
    <row r="180">
      <c r="A180" s="66"/>
    </row>
    <row r="181">
      <c r="A181" s="66"/>
    </row>
    <row r="182">
      <c r="A182" s="66"/>
    </row>
    <row r="183">
      <c r="A183" s="66"/>
    </row>
    <row r="184">
      <c r="A184" s="66"/>
    </row>
    <row r="185">
      <c r="A185" s="66"/>
    </row>
    <row r="186">
      <c r="A186" s="66"/>
    </row>
    <row r="187">
      <c r="A187" s="66"/>
    </row>
    <row r="188">
      <c r="A188" s="66"/>
    </row>
    <row r="189">
      <c r="A189" s="66"/>
    </row>
    <row r="190">
      <c r="A190" s="66"/>
    </row>
    <row r="191">
      <c r="A191" s="66"/>
    </row>
    <row r="192">
      <c r="A192" s="66"/>
    </row>
    <row r="193">
      <c r="A193" s="66"/>
    </row>
    <row r="194">
      <c r="A194" s="66"/>
    </row>
    <row r="195">
      <c r="A195" s="66"/>
    </row>
    <row r="196">
      <c r="A196" s="66"/>
    </row>
    <row r="197">
      <c r="A197" s="66"/>
    </row>
    <row r="198">
      <c r="A198" s="66"/>
    </row>
    <row r="199">
      <c r="A199" s="66"/>
    </row>
    <row r="200">
      <c r="A200" s="66"/>
    </row>
    <row r="201">
      <c r="A201" s="66"/>
    </row>
    <row r="202">
      <c r="A202" s="66"/>
    </row>
    <row r="203">
      <c r="A203" s="66"/>
    </row>
    <row r="204">
      <c r="A204" s="66"/>
    </row>
    <row r="205">
      <c r="A205" s="66"/>
    </row>
    <row r="206">
      <c r="A206" s="66"/>
    </row>
    <row r="207">
      <c r="A207" s="66"/>
    </row>
    <row r="208">
      <c r="A208" s="66"/>
    </row>
    <row r="209">
      <c r="A209" s="66"/>
    </row>
    <row r="210">
      <c r="A210" s="66"/>
    </row>
    <row r="211">
      <c r="A211" s="66"/>
    </row>
    <row r="212">
      <c r="A212" s="66"/>
    </row>
    <row r="213">
      <c r="A213" s="66"/>
    </row>
    <row r="214">
      <c r="A214" s="66"/>
    </row>
    <row r="215">
      <c r="A215" s="66"/>
    </row>
    <row r="216">
      <c r="A216" s="66"/>
    </row>
    <row r="217">
      <c r="A217" s="66"/>
    </row>
    <row r="218">
      <c r="A218" s="66"/>
    </row>
    <row r="219">
      <c r="A219" s="66"/>
    </row>
    <row r="220">
      <c r="A220" s="66"/>
    </row>
    <row r="221">
      <c r="A221" s="66"/>
    </row>
    <row r="222">
      <c r="A222" s="66"/>
    </row>
    <row r="223">
      <c r="A223" s="66"/>
    </row>
    <row r="224">
      <c r="A224" s="66"/>
    </row>
    <row r="225">
      <c r="A225" s="66"/>
    </row>
    <row r="226">
      <c r="A226" s="66"/>
    </row>
    <row r="227">
      <c r="A227" s="66"/>
    </row>
    <row r="228">
      <c r="A228" s="66"/>
    </row>
    <row r="229">
      <c r="A229" s="66"/>
    </row>
    <row r="230">
      <c r="A230" s="66"/>
    </row>
    <row r="231">
      <c r="A231" s="66"/>
    </row>
    <row r="232">
      <c r="A232" s="66"/>
    </row>
    <row r="233">
      <c r="A233" s="66"/>
    </row>
    <row r="234">
      <c r="A234" s="66"/>
    </row>
    <row r="235">
      <c r="A235" s="66"/>
    </row>
    <row r="236">
      <c r="A236" s="66"/>
    </row>
    <row r="237">
      <c r="A237" s="66"/>
    </row>
    <row r="238">
      <c r="A238" s="66"/>
    </row>
    <row r="239">
      <c r="A239" s="66"/>
    </row>
    <row r="240">
      <c r="A240" s="66"/>
    </row>
    <row r="241">
      <c r="A241" s="66"/>
    </row>
    <row r="242">
      <c r="A242" s="66"/>
    </row>
    <row r="243">
      <c r="A243" s="66"/>
    </row>
    <row r="244">
      <c r="A244" s="66"/>
    </row>
    <row r="245">
      <c r="A245" s="66"/>
    </row>
    <row r="246">
      <c r="A246" s="66"/>
    </row>
    <row r="247">
      <c r="A247" s="66"/>
    </row>
    <row r="248">
      <c r="A248" s="66"/>
    </row>
    <row r="249">
      <c r="A249" s="66"/>
    </row>
    <row r="250">
      <c r="A250" s="66"/>
    </row>
    <row r="251">
      <c r="A251" s="66"/>
    </row>
    <row r="252">
      <c r="A252" s="66"/>
    </row>
    <row r="253">
      <c r="A253" s="66"/>
    </row>
    <row r="254">
      <c r="A254" s="66"/>
    </row>
    <row r="255">
      <c r="A255" s="66"/>
    </row>
    <row r="256">
      <c r="A256" s="66"/>
    </row>
    <row r="257">
      <c r="A257" s="66"/>
    </row>
    <row r="258">
      <c r="A258" s="66"/>
    </row>
    <row r="259">
      <c r="A259" s="66"/>
    </row>
    <row r="260">
      <c r="A260" s="66"/>
    </row>
    <row r="261">
      <c r="A261" s="66"/>
    </row>
    <row r="262">
      <c r="A262" s="66"/>
    </row>
    <row r="263">
      <c r="A263" s="66"/>
    </row>
    <row r="264">
      <c r="A264" s="66"/>
    </row>
    <row r="265">
      <c r="A265" s="66"/>
    </row>
    <row r="266">
      <c r="A266" s="66"/>
    </row>
    <row r="267">
      <c r="A267" s="66"/>
    </row>
    <row r="268">
      <c r="A268" s="66"/>
    </row>
    <row r="269">
      <c r="A269" s="66"/>
    </row>
    <row r="270">
      <c r="A270" s="66"/>
    </row>
    <row r="271">
      <c r="A271" s="66"/>
    </row>
    <row r="272">
      <c r="A272" s="66"/>
    </row>
    <row r="273">
      <c r="A273" s="66"/>
    </row>
    <row r="274">
      <c r="A274" s="66"/>
    </row>
    <row r="275">
      <c r="A275" s="66"/>
    </row>
    <row r="276">
      <c r="A276" s="66"/>
    </row>
    <row r="277">
      <c r="A277" s="66"/>
    </row>
    <row r="278">
      <c r="A278" s="66"/>
    </row>
    <row r="279">
      <c r="A279" s="66"/>
    </row>
    <row r="280">
      <c r="A280" s="66"/>
    </row>
    <row r="281">
      <c r="A281" s="66"/>
    </row>
    <row r="282">
      <c r="A282" s="66"/>
    </row>
    <row r="283">
      <c r="A283" s="66"/>
    </row>
    <row r="284">
      <c r="A284" s="66"/>
    </row>
    <row r="285">
      <c r="A285" s="66"/>
    </row>
    <row r="286">
      <c r="A286" s="66"/>
    </row>
    <row r="287">
      <c r="A287" s="66"/>
    </row>
    <row r="288">
      <c r="A288" s="66"/>
    </row>
    <row r="289">
      <c r="A289" s="66"/>
    </row>
    <row r="290">
      <c r="A290" s="66"/>
    </row>
    <row r="291">
      <c r="A291" s="66"/>
    </row>
    <row r="292">
      <c r="A292" s="66"/>
    </row>
    <row r="293">
      <c r="A293" s="66"/>
    </row>
    <row r="294">
      <c r="A294" s="66"/>
    </row>
    <row r="295">
      <c r="A295" s="66"/>
    </row>
    <row r="296">
      <c r="A296" s="66"/>
    </row>
    <row r="297">
      <c r="A297" s="66"/>
    </row>
    <row r="298">
      <c r="A298" s="66"/>
    </row>
    <row r="299">
      <c r="A299" s="66"/>
    </row>
    <row r="300">
      <c r="A300" s="66"/>
    </row>
    <row r="301">
      <c r="A301" s="66"/>
    </row>
    <row r="302">
      <c r="A302" s="66"/>
    </row>
    <row r="303">
      <c r="A303" s="66"/>
    </row>
    <row r="304">
      <c r="A304" s="66"/>
    </row>
    <row r="305">
      <c r="A305" s="66"/>
    </row>
    <row r="306">
      <c r="A306" s="66"/>
    </row>
    <row r="307">
      <c r="A307" s="66"/>
    </row>
    <row r="308">
      <c r="A308" s="66"/>
    </row>
    <row r="309">
      <c r="A309" s="66"/>
    </row>
    <row r="310">
      <c r="A310" s="66"/>
    </row>
    <row r="311">
      <c r="A311" s="66"/>
    </row>
    <row r="312">
      <c r="A312" s="66"/>
    </row>
    <row r="313">
      <c r="A313" s="66"/>
    </row>
    <row r="314">
      <c r="A314" s="66"/>
    </row>
    <row r="315">
      <c r="A315" s="66"/>
    </row>
    <row r="316">
      <c r="A316" s="66"/>
    </row>
    <row r="317">
      <c r="A317" s="66"/>
    </row>
    <row r="318">
      <c r="A318" s="66"/>
    </row>
    <row r="319">
      <c r="A319" s="66"/>
    </row>
    <row r="320">
      <c r="A320" s="66"/>
    </row>
    <row r="321">
      <c r="A321" s="66"/>
    </row>
    <row r="322">
      <c r="A322" s="66"/>
    </row>
    <row r="323">
      <c r="A323" s="66"/>
    </row>
    <row r="324">
      <c r="A324" s="66"/>
    </row>
    <row r="325">
      <c r="A325" s="66"/>
    </row>
    <row r="326">
      <c r="A326" s="66"/>
    </row>
    <row r="327">
      <c r="A327" s="66"/>
    </row>
    <row r="328">
      <c r="A328" s="66"/>
    </row>
    <row r="329">
      <c r="A329" s="66"/>
    </row>
    <row r="330">
      <c r="A330" s="66"/>
    </row>
    <row r="331">
      <c r="A331" s="66"/>
    </row>
    <row r="332">
      <c r="A332" s="66"/>
    </row>
    <row r="333">
      <c r="A333" s="66"/>
    </row>
    <row r="334">
      <c r="A334" s="66"/>
    </row>
    <row r="335">
      <c r="A335" s="66"/>
    </row>
    <row r="336">
      <c r="A336" s="66"/>
    </row>
    <row r="337">
      <c r="A337" s="66"/>
    </row>
    <row r="338">
      <c r="A338" s="66"/>
    </row>
    <row r="339">
      <c r="A339" s="66"/>
    </row>
    <row r="340">
      <c r="A340" s="66"/>
    </row>
    <row r="341">
      <c r="A341" s="66"/>
    </row>
    <row r="342">
      <c r="A342" s="66"/>
    </row>
    <row r="343">
      <c r="A343" s="66"/>
    </row>
    <row r="344">
      <c r="A344" s="66"/>
    </row>
    <row r="345">
      <c r="A345" s="66"/>
    </row>
    <row r="346">
      <c r="A346" s="66"/>
    </row>
    <row r="347">
      <c r="A347" s="66"/>
    </row>
    <row r="348">
      <c r="A348" s="66"/>
    </row>
    <row r="349">
      <c r="A349" s="66"/>
    </row>
    <row r="350">
      <c r="A350" s="66"/>
    </row>
    <row r="351">
      <c r="A351" s="66"/>
    </row>
    <row r="352">
      <c r="A352" s="66"/>
    </row>
    <row r="353">
      <c r="A353" s="66"/>
    </row>
    <row r="354">
      <c r="A354" s="66"/>
    </row>
    <row r="355">
      <c r="A355" s="66"/>
    </row>
    <row r="356">
      <c r="A356" s="66"/>
    </row>
    <row r="357">
      <c r="A357" s="66"/>
    </row>
    <row r="358">
      <c r="A358" s="66"/>
    </row>
    <row r="359">
      <c r="A359" s="66"/>
    </row>
    <row r="360">
      <c r="A360" s="66"/>
    </row>
    <row r="361">
      <c r="A361" s="66"/>
    </row>
    <row r="362">
      <c r="A362" s="66"/>
    </row>
    <row r="363">
      <c r="A363" s="66"/>
    </row>
    <row r="364">
      <c r="A364" s="66"/>
    </row>
    <row r="365">
      <c r="A365" s="66"/>
    </row>
    <row r="366">
      <c r="A366" s="66"/>
    </row>
    <row r="367">
      <c r="A367" s="66"/>
    </row>
    <row r="368">
      <c r="A368" s="66"/>
    </row>
    <row r="369">
      <c r="A369" s="66"/>
    </row>
    <row r="370">
      <c r="A370" s="66"/>
    </row>
    <row r="371">
      <c r="A371" s="66"/>
    </row>
    <row r="372">
      <c r="A372" s="66"/>
    </row>
    <row r="373">
      <c r="A373" s="66"/>
    </row>
    <row r="374">
      <c r="A374" s="66"/>
    </row>
    <row r="375">
      <c r="A375" s="66"/>
    </row>
    <row r="376">
      <c r="A376" s="66"/>
    </row>
    <row r="377">
      <c r="A377" s="66"/>
    </row>
    <row r="378">
      <c r="A378" s="66"/>
    </row>
    <row r="379">
      <c r="A379" s="66"/>
    </row>
    <row r="380">
      <c r="A380" s="66"/>
    </row>
    <row r="381">
      <c r="A381" s="66"/>
    </row>
    <row r="382">
      <c r="A382" s="66"/>
    </row>
    <row r="383">
      <c r="A383" s="66"/>
    </row>
    <row r="384">
      <c r="A384" s="66"/>
    </row>
    <row r="385">
      <c r="A385" s="66"/>
    </row>
    <row r="386">
      <c r="A386" s="66"/>
    </row>
    <row r="387">
      <c r="A387" s="66"/>
    </row>
    <row r="388">
      <c r="A388" s="66"/>
    </row>
    <row r="389">
      <c r="A389" s="66"/>
    </row>
    <row r="390">
      <c r="A390" s="66"/>
    </row>
    <row r="391">
      <c r="A391" s="66"/>
    </row>
    <row r="392">
      <c r="A392" s="66"/>
    </row>
    <row r="393">
      <c r="A393" s="66"/>
    </row>
    <row r="394">
      <c r="A394" s="66"/>
    </row>
    <row r="395">
      <c r="A395" s="66"/>
    </row>
    <row r="396">
      <c r="A396" s="66"/>
    </row>
    <row r="397">
      <c r="A397" s="66"/>
    </row>
    <row r="398">
      <c r="A398" s="66"/>
    </row>
    <row r="399">
      <c r="A399" s="66"/>
    </row>
    <row r="400">
      <c r="A400" s="66"/>
    </row>
    <row r="401">
      <c r="A401" s="66"/>
    </row>
    <row r="402">
      <c r="A402" s="66"/>
    </row>
    <row r="403">
      <c r="A403" s="66"/>
    </row>
    <row r="404">
      <c r="A404" s="66"/>
    </row>
    <row r="405">
      <c r="A405" s="66"/>
    </row>
    <row r="406">
      <c r="A406" s="66"/>
    </row>
    <row r="407">
      <c r="A407" s="66"/>
    </row>
    <row r="408">
      <c r="A408" s="66"/>
    </row>
    <row r="409">
      <c r="A409" s="66"/>
    </row>
    <row r="410">
      <c r="A410" s="66"/>
    </row>
    <row r="411">
      <c r="A411" s="66"/>
    </row>
    <row r="412">
      <c r="A412" s="66"/>
    </row>
    <row r="413">
      <c r="A413" s="66"/>
    </row>
    <row r="414">
      <c r="A414" s="66"/>
    </row>
    <row r="415">
      <c r="A415" s="66"/>
    </row>
    <row r="416">
      <c r="A416" s="66"/>
    </row>
    <row r="417">
      <c r="A417" s="66"/>
    </row>
    <row r="418">
      <c r="A418" s="66"/>
    </row>
    <row r="419">
      <c r="A419" s="66"/>
    </row>
    <row r="420">
      <c r="A420" s="66"/>
    </row>
    <row r="421">
      <c r="A421" s="66"/>
    </row>
    <row r="422">
      <c r="A422" s="66"/>
    </row>
    <row r="423">
      <c r="A423" s="66"/>
    </row>
    <row r="424">
      <c r="A424" s="66"/>
    </row>
    <row r="425">
      <c r="A425" s="66"/>
    </row>
    <row r="426">
      <c r="A426" s="66"/>
    </row>
    <row r="427">
      <c r="A427" s="66"/>
    </row>
    <row r="428">
      <c r="A428" s="66"/>
    </row>
    <row r="429">
      <c r="A429" s="66"/>
    </row>
    <row r="430">
      <c r="A430" s="66"/>
    </row>
    <row r="431">
      <c r="A431" s="66"/>
    </row>
    <row r="432">
      <c r="A432" s="66"/>
    </row>
    <row r="433">
      <c r="A433" s="66"/>
    </row>
    <row r="434">
      <c r="A434" s="66"/>
    </row>
    <row r="435">
      <c r="A435" s="66"/>
    </row>
    <row r="436">
      <c r="A436" s="66"/>
    </row>
    <row r="437">
      <c r="A437" s="66"/>
    </row>
    <row r="438">
      <c r="A438" s="66"/>
    </row>
    <row r="439">
      <c r="A439" s="66"/>
    </row>
    <row r="440">
      <c r="A440" s="66"/>
    </row>
    <row r="441">
      <c r="A441" s="66"/>
    </row>
    <row r="442">
      <c r="A442" s="66"/>
    </row>
    <row r="443">
      <c r="A443" s="66"/>
    </row>
    <row r="444">
      <c r="A444" s="66"/>
    </row>
    <row r="445">
      <c r="A445" s="66"/>
    </row>
    <row r="446">
      <c r="A446" s="66"/>
    </row>
    <row r="447">
      <c r="A447" s="66"/>
    </row>
    <row r="448">
      <c r="A448" s="66"/>
    </row>
    <row r="449">
      <c r="A449" s="66"/>
    </row>
    <row r="450">
      <c r="A450" s="66"/>
    </row>
    <row r="451">
      <c r="A451" s="66"/>
    </row>
    <row r="452">
      <c r="A452" s="66"/>
    </row>
    <row r="453">
      <c r="A453" s="66"/>
    </row>
    <row r="454">
      <c r="A454" s="66"/>
    </row>
    <row r="455">
      <c r="A455" s="66"/>
    </row>
    <row r="456">
      <c r="A456" s="66"/>
    </row>
    <row r="457">
      <c r="A457" s="66"/>
    </row>
    <row r="458">
      <c r="A458" s="66"/>
    </row>
    <row r="459">
      <c r="A459" s="66"/>
    </row>
    <row r="460">
      <c r="A460" s="66"/>
    </row>
    <row r="461">
      <c r="A461" s="66"/>
    </row>
    <row r="462">
      <c r="A462" s="66"/>
    </row>
    <row r="463">
      <c r="A463" s="66"/>
    </row>
    <row r="464">
      <c r="A464" s="66"/>
    </row>
    <row r="465">
      <c r="A465" s="66"/>
    </row>
    <row r="466">
      <c r="A466" s="66"/>
    </row>
    <row r="467">
      <c r="A467" s="66"/>
    </row>
    <row r="468">
      <c r="A468" s="66"/>
    </row>
    <row r="469">
      <c r="A469" s="66"/>
    </row>
    <row r="470">
      <c r="A470" s="66"/>
    </row>
    <row r="471">
      <c r="A471" s="66"/>
    </row>
    <row r="472">
      <c r="A472" s="66"/>
    </row>
    <row r="473">
      <c r="A473" s="66"/>
    </row>
    <row r="474">
      <c r="A474" s="66"/>
    </row>
    <row r="475">
      <c r="A475" s="66"/>
    </row>
    <row r="476">
      <c r="A476" s="66"/>
    </row>
    <row r="477">
      <c r="A477" s="66"/>
    </row>
    <row r="478">
      <c r="A478" s="66"/>
    </row>
    <row r="479">
      <c r="A479" s="66"/>
    </row>
    <row r="480">
      <c r="A480" s="66"/>
    </row>
    <row r="481">
      <c r="A481" s="66"/>
    </row>
    <row r="482">
      <c r="A482" s="66"/>
    </row>
    <row r="483">
      <c r="A483" s="66"/>
    </row>
    <row r="484">
      <c r="A484" s="66"/>
    </row>
    <row r="485">
      <c r="A485" s="66"/>
    </row>
    <row r="486">
      <c r="A486" s="66"/>
    </row>
    <row r="487">
      <c r="A487" s="66"/>
    </row>
    <row r="488">
      <c r="A488" s="66"/>
    </row>
    <row r="489">
      <c r="A489" s="66"/>
    </row>
    <row r="490">
      <c r="A490" s="66"/>
    </row>
    <row r="491">
      <c r="A491" s="66"/>
    </row>
    <row r="492">
      <c r="A492" s="66"/>
    </row>
    <row r="493">
      <c r="A493" s="66"/>
    </row>
    <row r="494">
      <c r="A494" s="66"/>
    </row>
    <row r="495">
      <c r="A495" s="66"/>
    </row>
    <row r="496">
      <c r="A496" s="66"/>
    </row>
    <row r="497">
      <c r="A497" s="66"/>
    </row>
    <row r="498">
      <c r="A498" s="66"/>
    </row>
    <row r="499">
      <c r="A499" s="66"/>
    </row>
    <row r="500">
      <c r="A500" s="66"/>
    </row>
    <row r="501">
      <c r="A501" s="66"/>
    </row>
    <row r="502">
      <c r="A502" s="66"/>
    </row>
    <row r="503">
      <c r="A503" s="66"/>
    </row>
    <row r="504">
      <c r="A504" s="66"/>
    </row>
    <row r="505">
      <c r="A505" s="66"/>
    </row>
    <row r="506">
      <c r="A506" s="66"/>
    </row>
    <row r="507">
      <c r="A507" s="66"/>
    </row>
    <row r="508">
      <c r="A508" s="66"/>
    </row>
    <row r="509">
      <c r="A509" s="66"/>
    </row>
    <row r="510">
      <c r="A510" s="66"/>
    </row>
    <row r="511">
      <c r="A511" s="66"/>
    </row>
    <row r="512">
      <c r="A512" s="66"/>
    </row>
    <row r="513">
      <c r="A513" s="66"/>
    </row>
    <row r="514">
      <c r="A514" s="66"/>
    </row>
    <row r="515">
      <c r="A515" s="66"/>
    </row>
    <row r="516">
      <c r="A516" s="66"/>
    </row>
    <row r="517">
      <c r="A517" s="66"/>
    </row>
    <row r="518">
      <c r="A518" s="66"/>
    </row>
    <row r="519">
      <c r="A519" s="66"/>
    </row>
    <row r="520">
      <c r="A520" s="66"/>
    </row>
    <row r="521">
      <c r="A521" s="66"/>
    </row>
    <row r="522">
      <c r="A522" s="66"/>
    </row>
    <row r="523">
      <c r="A523" s="66"/>
    </row>
    <row r="524">
      <c r="A524" s="66"/>
    </row>
    <row r="525">
      <c r="A525" s="66"/>
    </row>
    <row r="526">
      <c r="A526" s="66"/>
    </row>
    <row r="527">
      <c r="A527" s="66"/>
    </row>
    <row r="528">
      <c r="A528" s="66"/>
    </row>
    <row r="529">
      <c r="A529" s="66"/>
    </row>
    <row r="530">
      <c r="A530" s="66"/>
    </row>
    <row r="531">
      <c r="A531" s="66"/>
    </row>
    <row r="532">
      <c r="A532" s="66"/>
    </row>
    <row r="533">
      <c r="A533" s="66"/>
    </row>
    <row r="534">
      <c r="A534" s="66"/>
    </row>
    <row r="535">
      <c r="A535" s="66"/>
    </row>
    <row r="536">
      <c r="A536" s="66"/>
    </row>
    <row r="537">
      <c r="A537" s="66"/>
    </row>
    <row r="538">
      <c r="A538" s="66"/>
    </row>
    <row r="539">
      <c r="A539" s="66"/>
    </row>
    <row r="540">
      <c r="A540" s="66"/>
    </row>
    <row r="541">
      <c r="A541" s="66"/>
    </row>
    <row r="542">
      <c r="A542" s="66"/>
    </row>
    <row r="543">
      <c r="A543" s="66"/>
    </row>
    <row r="544">
      <c r="A544" s="66"/>
    </row>
    <row r="545">
      <c r="A545" s="66"/>
    </row>
    <row r="546">
      <c r="A546" s="66"/>
    </row>
    <row r="547">
      <c r="A547" s="66"/>
    </row>
    <row r="548">
      <c r="A548" s="66"/>
    </row>
    <row r="549">
      <c r="A549" s="66"/>
    </row>
    <row r="550">
      <c r="A550" s="66"/>
    </row>
    <row r="551">
      <c r="A551" s="66"/>
    </row>
    <row r="552">
      <c r="A552" s="66"/>
    </row>
    <row r="553">
      <c r="A553" s="66"/>
    </row>
    <row r="554">
      <c r="A554" s="66"/>
    </row>
    <row r="555">
      <c r="A555" s="66"/>
    </row>
    <row r="556">
      <c r="A556" s="66"/>
    </row>
    <row r="557">
      <c r="A557" s="66"/>
    </row>
    <row r="558">
      <c r="A558" s="66"/>
    </row>
    <row r="559">
      <c r="A559" s="66"/>
    </row>
    <row r="560">
      <c r="A560" s="66"/>
    </row>
    <row r="561">
      <c r="A561" s="66"/>
    </row>
    <row r="562">
      <c r="A562" s="66"/>
    </row>
    <row r="563">
      <c r="A563" s="66"/>
    </row>
    <row r="564">
      <c r="A564" s="66"/>
    </row>
    <row r="565">
      <c r="A565" s="66"/>
    </row>
    <row r="566">
      <c r="A566" s="66"/>
    </row>
    <row r="567">
      <c r="A567" s="66"/>
    </row>
    <row r="568">
      <c r="A568" s="66"/>
    </row>
    <row r="569">
      <c r="A569" s="66"/>
    </row>
    <row r="570">
      <c r="A570" s="66"/>
    </row>
    <row r="571">
      <c r="A571" s="66"/>
    </row>
    <row r="572">
      <c r="A572" s="66"/>
    </row>
    <row r="573">
      <c r="A573" s="66"/>
    </row>
    <row r="574">
      <c r="A574" s="66"/>
    </row>
    <row r="575">
      <c r="A575" s="66"/>
    </row>
    <row r="576">
      <c r="A576" s="66"/>
    </row>
    <row r="577">
      <c r="A577" s="66"/>
    </row>
    <row r="578">
      <c r="A578" s="66"/>
    </row>
    <row r="579">
      <c r="A579" s="66"/>
    </row>
    <row r="580">
      <c r="A580" s="66"/>
    </row>
    <row r="581">
      <c r="A581" s="66"/>
    </row>
    <row r="582">
      <c r="A582" s="66"/>
    </row>
    <row r="583">
      <c r="A583" s="66"/>
    </row>
    <row r="584">
      <c r="A584" s="66"/>
    </row>
    <row r="585">
      <c r="A585" s="66"/>
    </row>
    <row r="586">
      <c r="A586" s="66"/>
    </row>
    <row r="587">
      <c r="A587" s="66"/>
    </row>
    <row r="588">
      <c r="A588" s="66"/>
    </row>
    <row r="589">
      <c r="A589" s="66"/>
    </row>
    <row r="590">
      <c r="A590" s="66"/>
    </row>
    <row r="591">
      <c r="A591" s="66"/>
    </row>
    <row r="592">
      <c r="A592" s="66"/>
    </row>
    <row r="593">
      <c r="A593" s="66"/>
    </row>
    <row r="594">
      <c r="A594" s="66"/>
    </row>
    <row r="595">
      <c r="A595" s="66"/>
    </row>
    <row r="596">
      <c r="A596" s="66"/>
    </row>
    <row r="597">
      <c r="A597" s="66"/>
    </row>
    <row r="598">
      <c r="A598" s="66"/>
    </row>
    <row r="599">
      <c r="A599" s="66"/>
    </row>
    <row r="600">
      <c r="A600" s="66"/>
    </row>
    <row r="601">
      <c r="A601" s="66"/>
    </row>
    <row r="602">
      <c r="A602" s="66"/>
    </row>
    <row r="603">
      <c r="A603" s="66"/>
    </row>
    <row r="604">
      <c r="A604" s="66"/>
    </row>
    <row r="605">
      <c r="A605" s="66"/>
    </row>
    <row r="606">
      <c r="A606" s="66"/>
    </row>
    <row r="607">
      <c r="A607" s="66"/>
    </row>
    <row r="608">
      <c r="A608" s="66"/>
    </row>
    <row r="609">
      <c r="A609" s="66"/>
    </row>
    <row r="610">
      <c r="A610" s="66"/>
    </row>
    <row r="611">
      <c r="A611" s="66"/>
    </row>
    <row r="612">
      <c r="A612" s="66"/>
    </row>
    <row r="613">
      <c r="A613" s="66"/>
    </row>
    <row r="614">
      <c r="A614" s="66"/>
    </row>
    <row r="615">
      <c r="A615" s="66"/>
    </row>
    <row r="616">
      <c r="A616" s="66"/>
    </row>
    <row r="617">
      <c r="A617" s="66"/>
    </row>
    <row r="618">
      <c r="A618" s="66"/>
    </row>
    <row r="619">
      <c r="A619" s="66"/>
    </row>
    <row r="620">
      <c r="A620" s="66"/>
    </row>
    <row r="621">
      <c r="A621" s="66"/>
    </row>
    <row r="622">
      <c r="A622" s="66"/>
    </row>
    <row r="623">
      <c r="A623" s="66"/>
    </row>
    <row r="624">
      <c r="A624" s="66"/>
    </row>
    <row r="625">
      <c r="A625" s="66"/>
    </row>
    <row r="626">
      <c r="A626" s="66"/>
    </row>
    <row r="627">
      <c r="A627" s="66"/>
    </row>
    <row r="628">
      <c r="A628" s="66"/>
    </row>
    <row r="629">
      <c r="A629" s="66"/>
    </row>
    <row r="630">
      <c r="A630" s="66"/>
    </row>
    <row r="631">
      <c r="A631" s="66"/>
    </row>
    <row r="632">
      <c r="A632" s="66"/>
    </row>
    <row r="633">
      <c r="A633" s="66"/>
    </row>
    <row r="634">
      <c r="A634" s="66"/>
    </row>
    <row r="635">
      <c r="A635" s="66"/>
    </row>
    <row r="636">
      <c r="A636" s="66"/>
    </row>
    <row r="637">
      <c r="A637" s="66"/>
    </row>
    <row r="638">
      <c r="A638" s="66"/>
    </row>
    <row r="639">
      <c r="A639" s="66"/>
    </row>
    <row r="640">
      <c r="A640" s="66"/>
    </row>
    <row r="641">
      <c r="A641" s="66"/>
    </row>
    <row r="642">
      <c r="A642" s="66"/>
    </row>
    <row r="643">
      <c r="A643" s="66"/>
    </row>
    <row r="644">
      <c r="A644" s="66"/>
    </row>
    <row r="645">
      <c r="A645" s="66"/>
    </row>
    <row r="646">
      <c r="A646" s="66"/>
    </row>
    <row r="647">
      <c r="A647" s="66"/>
    </row>
    <row r="648">
      <c r="A648" s="66"/>
    </row>
    <row r="649">
      <c r="A649" s="66"/>
    </row>
    <row r="650">
      <c r="A650" s="66"/>
    </row>
    <row r="651">
      <c r="A651" s="66"/>
    </row>
    <row r="652">
      <c r="A652" s="66"/>
    </row>
    <row r="653">
      <c r="A653" s="66"/>
    </row>
    <row r="654">
      <c r="A654" s="66"/>
    </row>
    <row r="655">
      <c r="A655" s="66"/>
    </row>
    <row r="656">
      <c r="A656" s="66"/>
    </row>
    <row r="657">
      <c r="A657" s="66"/>
    </row>
    <row r="658">
      <c r="A658" s="66"/>
    </row>
    <row r="659">
      <c r="A659" s="66"/>
    </row>
    <row r="660">
      <c r="A660" s="66"/>
    </row>
    <row r="661">
      <c r="A661" s="66"/>
    </row>
    <row r="662">
      <c r="A662" s="66"/>
    </row>
    <row r="663">
      <c r="A663" s="66"/>
    </row>
    <row r="664">
      <c r="A664" s="66"/>
    </row>
    <row r="665">
      <c r="A665" s="66"/>
    </row>
    <row r="666">
      <c r="A666" s="66"/>
    </row>
    <row r="667">
      <c r="A667" s="66"/>
    </row>
    <row r="668">
      <c r="A668" s="66"/>
    </row>
    <row r="669">
      <c r="A669" s="66"/>
    </row>
    <row r="670">
      <c r="A670" s="66"/>
    </row>
    <row r="671">
      <c r="A671" s="66"/>
    </row>
    <row r="672">
      <c r="A672" s="66"/>
    </row>
    <row r="673">
      <c r="A673" s="66"/>
    </row>
    <row r="674">
      <c r="A674" s="66"/>
    </row>
    <row r="675">
      <c r="A675" s="66"/>
    </row>
    <row r="676">
      <c r="A676" s="66"/>
    </row>
    <row r="677">
      <c r="A677" s="66"/>
    </row>
    <row r="678">
      <c r="A678" s="66"/>
    </row>
    <row r="679">
      <c r="A679" s="66"/>
    </row>
    <row r="680">
      <c r="A680" s="66"/>
    </row>
    <row r="681">
      <c r="A681" s="66"/>
    </row>
    <row r="682">
      <c r="A682" s="66"/>
    </row>
    <row r="683">
      <c r="A683" s="66"/>
    </row>
    <row r="684">
      <c r="A684" s="66"/>
    </row>
    <row r="685">
      <c r="A685" s="66"/>
    </row>
    <row r="686">
      <c r="A686" s="66"/>
    </row>
    <row r="687">
      <c r="A687" s="66"/>
    </row>
    <row r="688">
      <c r="A688" s="66"/>
    </row>
    <row r="689">
      <c r="A689" s="66"/>
    </row>
    <row r="690">
      <c r="A690" s="66"/>
    </row>
    <row r="691">
      <c r="A691" s="66"/>
    </row>
    <row r="692">
      <c r="A692" s="66"/>
    </row>
    <row r="693">
      <c r="A693" s="66"/>
    </row>
    <row r="694">
      <c r="A694" s="66"/>
    </row>
    <row r="695">
      <c r="A695" s="66"/>
    </row>
    <row r="696">
      <c r="A696" s="66"/>
    </row>
    <row r="697">
      <c r="A697" s="66"/>
    </row>
    <row r="698">
      <c r="A698" s="66"/>
    </row>
    <row r="699">
      <c r="A699" s="66"/>
    </row>
    <row r="700">
      <c r="A700" s="66"/>
    </row>
    <row r="701">
      <c r="A701" s="66"/>
    </row>
    <row r="702">
      <c r="A702" s="66"/>
    </row>
    <row r="703">
      <c r="A703" s="66"/>
    </row>
    <row r="704">
      <c r="A704" s="66"/>
    </row>
    <row r="705">
      <c r="A705" s="66"/>
    </row>
    <row r="706">
      <c r="A706" s="66"/>
    </row>
    <row r="707">
      <c r="A707" s="66"/>
    </row>
    <row r="708">
      <c r="A708" s="66"/>
    </row>
    <row r="709">
      <c r="A709" s="66"/>
    </row>
    <row r="710">
      <c r="A710" s="66"/>
    </row>
    <row r="711">
      <c r="A711" s="66"/>
    </row>
    <row r="712">
      <c r="A712" s="66"/>
    </row>
    <row r="713">
      <c r="A713" s="66"/>
    </row>
    <row r="714">
      <c r="A714" s="66"/>
    </row>
    <row r="715">
      <c r="A715" s="66"/>
    </row>
    <row r="716">
      <c r="A716" s="66"/>
    </row>
    <row r="717">
      <c r="A717" s="66"/>
    </row>
    <row r="718">
      <c r="A718" s="66"/>
    </row>
    <row r="719">
      <c r="A719" s="66"/>
    </row>
    <row r="720">
      <c r="A720" s="66"/>
    </row>
    <row r="721">
      <c r="A721" s="66"/>
    </row>
    <row r="722">
      <c r="A722" s="66"/>
    </row>
    <row r="723">
      <c r="A723" s="66"/>
    </row>
    <row r="724">
      <c r="A724" s="66"/>
    </row>
    <row r="725">
      <c r="A725" s="66"/>
    </row>
    <row r="726">
      <c r="A726" s="66"/>
    </row>
    <row r="727">
      <c r="A727" s="66"/>
    </row>
    <row r="728">
      <c r="A728" s="66"/>
    </row>
    <row r="729">
      <c r="A729" s="66"/>
    </row>
    <row r="730">
      <c r="A730" s="66"/>
    </row>
    <row r="731">
      <c r="A731" s="66"/>
    </row>
    <row r="732">
      <c r="A732" s="66"/>
    </row>
    <row r="733">
      <c r="A733" s="66"/>
    </row>
    <row r="734">
      <c r="A734" s="66"/>
    </row>
    <row r="735">
      <c r="A735" s="66"/>
    </row>
    <row r="736">
      <c r="A736" s="66"/>
    </row>
    <row r="737">
      <c r="A737" s="66"/>
    </row>
    <row r="738">
      <c r="A738" s="66"/>
    </row>
    <row r="739">
      <c r="A739" s="66"/>
    </row>
    <row r="740">
      <c r="A740" s="66"/>
    </row>
    <row r="741">
      <c r="A741" s="66"/>
    </row>
    <row r="742">
      <c r="A742" s="66"/>
    </row>
    <row r="743">
      <c r="A743" s="66"/>
    </row>
    <row r="744">
      <c r="A744" s="66"/>
    </row>
    <row r="745">
      <c r="A745" s="66"/>
    </row>
    <row r="746">
      <c r="A746" s="66"/>
    </row>
    <row r="747">
      <c r="A747" s="66"/>
    </row>
    <row r="748">
      <c r="A748" s="66"/>
    </row>
    <row r="749">
      <c r="A749" s="66"/>
    </row>
    <row r="750">
      <c r="A750" s="66"/>
    </row>
    <row r="751">
      <c r="A751" s="66"/>
    </row>
    <row r="752">
      <c r="A752" s="66"/>
    </row>
    <row r="753">
      <c r="A753" s="66"/>
    </row>
    <row r="754">
      <c r="A754" s="66"/>
    </row>
    <row r="755">
      <c r="A755" s="66"/>
    </row>
    <row r="756">
      <c r="A756" s="66"/>
    </row>
    <row r="757">
      <c r="A757" s="66"/>
    </row>
    <row r="758">
      <c r="A758" s="66"/>
    </row>
    <row r="759">
      <c r="A759" s="66"/>
    </row>
    <row r="760">
      <c r="A760" s="66"/>
    </row>
    <row r="761">
      <c r="A761" s="66"/>
    </row>
    <row r="762">
      <c r="A762" s="66"/>
    </row>
    <row r="763">
      <c r="A763" s="66"/>
    </row>
    <row r="764">
      <c r="A764" s="66"/>
    </row>
    <row r="765">
      <c r="A765" s="66"/>
    </row>
    <row r="766">
      <c r="A766" s="66"/>
    </row>
    <row r="767">
      <c r="A767" s="66"/>
    </row>
    <row r="768">
      <c r="A768" s="66"/>
    </row>
    <row r="769">
      <c r="A769" s="66"/>
    </row>
    <row r="770">
      <c r="A770" s="66"/>
    </row>
    <row r="771">
      <c r="A771" s="66"/>
    </row>
    <row r="772">
      <c r="A772" s="66"/>
    </row>
    <row r="773">
      <c r="A773" s="66"/>
    </row>
    <row r="774">
      <c r="A774" s="66"/>
    </row>
    <row r="775">
      <c r="A775" s="66"/>
    </row>
    <row r="776">
      <c r="A776" s="66"/>
    </row>
    <row r="777">
      <c r="A777" s="66"/>
    </row>
    <row r="778">
      <c r="A778" s="66"/>
    </row>
    <row r="779">
      <c r="A779" s="66"/>
    </row>
    <row r="780">
      <c r="A780" s="66"/>
    </row>
    <row r="781">
      <c r="A781" s="66"/>
    </row>
    <row r="782">
      <c r="A782" s="66"/>
    </row>
    <row r="783">
      <c r="A783" s="66"/>
    </row>
    <row r="784">
      <c r="A784" s="66"/>
    </row>
    <row r="785">
      <c r="A785" s="66"/>
    </row>
    <row r="786">
      <c r="A786" s="66"/>
    </row>
    <row r="787">
      <c r="A787" s="66"/>
    </row>
    <row r="788">
      <c r="A788" s="66"/>
    </row>
    <row r="789">
      <c r="A789" s="66"/>
    </row>
    <row r="790">
      <c r="A790" s="66"/>
    </row>
    <row r="791">
      <c r="A791" s="66"/>
    </row>
    <row r="792">
      <c r="A792" s="66"/>
    </row>
    <row r="793">
      <c r="A793" s="66"/>
    </row>
    <row r="794">
      <c r="A794" s="66"/>
    </row>
    <row r="795">
      <c r="A795" s="66"/>
    </row>
    <row r="796">
      <c r="A796" s="66"/>
    </row>
    <row r="797">
      <c r="A797" s="66"/>
    </row>
    <row r="798">
      <c r="A798" s="66"/>
    </row>
    <row r="799">
      <c r="A799" s="66"/>
    </row>
    <row r="800">
      <c r="A800" s="66"/>
    </row>
    <row r="801">
      <c r="A801" s="66"/>
    </row>
    <row r="802">
      <c r="A802" s="66"/>
    </row>
    <row r="803">
      <c r="A803" s="66"/>
    </row>
    <row r="804">
      <c r="A804" s="66"/>
    </row>
    <row r="805">
      <c r="A805" s="66"/>
    </row>
    <row r="806">
      <c r="A806" s="66"/>
    </row>
    <row r="807">
      <c r="A807" s="66"/>
    </row>
    <row r="808">
      <c r="A808" s="66"/>
    </row>
    <row r="809">
      <c r="A809" s="66"/>
    </row>
    <row r="810">
      <c r="A810" s="66"/>
    </row>
    <row r="811">
      <c r="A811" s="66"/>
    </row>
    <row r="812">
      <c r="A812" s="66"/>
    </row>
    <row r="813">
      <c r="A813" s="66"/>
    </row>
    <row r="814">
      <c r="A814" s="66"/>
    </row>
    <row r="815">
      <c r="A815" s="66"/>
    </row>
    <row r="816">
      <c r="A816" s="66"/>
    </row>
    <row r="817">
      <c r="A817" s="66"/>
    </row>
    <row r="818">
      <c r="A818" s="66"/>
    </row>
    <row r="819">
      <c r="A819" s="66"/>
    </row>
    <row r="820">
      <c r="A820" s="66"/>
    </row>
    <row r="821">
      <c r="A821" s="66"/>
    </row>
    <row r="822">
      <c r="A822" s="66"/>
    </row>
    <row r="823">
      <c r="A823" s="66"/>
    </row>
    <row r="824">
      <c r="A824" s="66"/>
    </row>
    <row r="825">
      <c r="A825" s="66"/>
    </row>
    <row r="826">
      <c r="A826" s="66"/>
    </row>
    <row r="827">
      <c r="A827" s="66"/>
    </row>
    <row r="828">
      <c r="A828" s="66"/>
    </row>
    <row r="829">
      <c r="A829" s="66"/>
    </row>
    <row r="830">
      <c r="A830" s="66"/>
    </row>
    <row r="831">
      <c r="A831" s="66"/>
    </row>
    <row r="832">
      <c r="A832" s="66"/>
    </row>
    <row r="833">
      <c r="A833" s="66"/>
    </row>
    <row r="834">
      <c r="A834" s="66"/>
    </row>
    <row r="835">
      <c r="A835" s="66"/>
    </row>
    <row r="836">
      <c r="A836" s="66"/>
    </row>
    <row r="837">
      <c r="A837" s="66"/>
    </row>
    <row r="838">
      <c r="A838" s="66"/>
    </row>
    <row r="839">
      <c r="A839" s="66"/>
    </row>
    <row r="840">
      <c r="A840" s="66"/>
    </row>
    <row r="841">
      <c r="A841" s="66"/>
    </row>
    <row r="842">
      <c r="A842" s="66"/>
    </row>
    <row r="843">
      <c r="A843" s="66"/>
    </row>
    <row r="844">
      <c r="A844" s="66"/>
    </row>
    <row r="845">
      <c r="A845" s="66"/>
    </row>
    <row r="846">
      <c r="A846" s="66"/>
    </row>
    <row r="847">
      <c r="A847" s="66"/>
    </row>
    <row r="848">
      <c r="A848" s="66"/>
    </row>
    <row r="849">
      <c r="A849" s="66"/>
    </row>
    <row r="850">
      <c r="A850" s="66"/>
    </row>
    <row r="851">
      <c r="A851" s="66"/>
    </row>
    <row r="852">
      <c r="A852" s="66"/>
    </row>
    <row r="853">
      <c r="A853" s="66"/>
    </row>
    <row r="854">
      <c r="A854" s="66"/>
    </row>
    <row r="855">
      <c r="A855" s="66"/>
    </row>
    <row r="856">
      <c r="A856" s="66"/>
    </row>
    <row r="857">
      <c r="A857" s="66"/>
    </row>
    <row r="858">
      <c r="A858" s="66"/>
    </row>
    <row r="859">
      <c r="A859" s="66"/>
    </row>
    <row r="860">
      <c r="A860" s="66"/>
    </row>
    <row r="861">
      <c r="A861" s="66"/>
    </row>
    <row r="862">
      <c r="A862" s="66"/>
    </row>
    <row r="863">
      <c r="A863" s="66"/>
    </row>
    <row r="864">
      <c r="A864" s="66"/>
    </row>
    <row r="865">
      <c r="A865" s="66"/>
    </row>
    <row r="866">
      <c r="A866" s="66"/>
    </row>
    <row r="867">
      <c r="A867" s="66"/>
    </row>
    <row r="868">
      <c r="A868" s="66"/>
    </row>
    <row r="869">
      <c r="A869" s="66"/>
    </row>
    <row r="870">
      <c r="A870" s="66"/>
    </row>
    <row r="871">
      <c r="A871" s="66"/>
    </row>
    <row r="872">
      <c r="A872" s="66"/>
    </row>
    <row r="873">
      <c r="A873" s="66"/>
    </row>
    <row r="874">
      <c r="A874" s="66"/>
    </row>
    <row r="875">
      <c r="A875" s="66"/>
    </row>
    <row r="876">
      <c r="A876" s="66"/>
    </row>
    <row r="877">
      <c r="A877" s="66"/>
    </row>
    <row r="878">
      <c r="A878" s="66"/>
    </row>
    <row r="879">
      <c r="A879" s="66"/>
    </row>
    <row r="880">
      <c r="A880" s="66"/>
    </row>
    <row r="881">
      <c r="A881" s="66"/>
    </row>
    <row r="882">
      <c r="A882" s="66"/>
    </row>
    <row r="883">
      <c r="A883" s="66"/>
    </row>
    <row r="884">
      <c r="A884" s="66"/>
    </row>
    <row r="885">
      <c r="A885" s="66"/>
    </row>
    <row r="886">
      <c r="A886" s="66"/>
    </row>
    <row r="887">
      <c r="A887" s="66"/>
    </row>
    <row r="888">
      <c r="A888" s="66"/>
    </row>
    <row r="889">
      <c r="A889" s="66"/>
    </row>
    <row r="890">
      <c r="A890" s="66"/>
    </row>
    <row r="891">
      <c r="A891" s="66"/>
    </row>
    <row r="892">
      <c r="A892" s="66"/>
    </row>
    <row r="893">
      <c r="A893" s="66"/>
    </row>
    <row r="894">
      <c r="A894" s="66"/>
    </row>
    <row r="895">
      <c r="A895" s="66"/>
    </row>
    <row r="896">
      <c r="A896" s="66"/>
    </row>
    <row r="897">
      <c r="A897" s="66"/>
    </row>
    <row r="898">
      <c r="A898" s="66"/>
    </row>
    <row r="899">
      <c r="A899" s="66"/>
    </row>
    <row r="900">
      <c r="A900" s="66"/>
    </row>
    <row r="901">
      <c r="A901" s="66"/>
    </row>
    <row r="902">
      <c r="A902" s="66"/>
    </row>
    <row r="903">
      <c r="A903" s="66"/>
    </row>
    <row r="904">
      <c r="A904" s="66"/>
    </row>
    <row r="905">
      <c r="A905" s="66"/>
    </row>
    <row r="906">
      <c r="A906" s="66"/>
    </row>
    <row r="907">
      <c r="A907" s="66"/>
    </row>
    <row r="908">
      <c r="A908" s="66"/>
    </row>
    <row r="909">
      <c r="A909" s="66"/>
    </row>
    <row r="910">
      <c r="A910" s="66"/>
    </row>
    <row r="911">
      <c r="A911" s="66"/>
    </row>
    <row r="912">
      <c r="A912" s="66"/>
    </row>
    <row r="913">
      <c r="A913" s="66"/>
    </row>
    <row r="914">
      <c r="A914" s="66"/>
    </row>
    <row r="915">
      <c r="A915" s="66"/>
    </row>
    <row r="916">
      <c r="A916" s="66"/>
    </row>
    <row r="917">
      <c r="A917" s="66"/>
    </row>
    <row r="918">
      <c r="A918" s="66"/>
    </row>
    <row r="919">
      <c r="A919" s="66"/>
    </row>
    <row r="920">
      <c r="A920" s="66"/>
    </row>
    <row r="921">
      <c r="A921" s="66"/>
    </row>
    <row r="922">
      <c r="A922" s="66"/>
    </row>
    <row r="923">
      <c r="A923" s="66"/>
    </row>
    <row r="924">
      <c r="A924" s="66"/>
    </row>
    <row r="925">
      <c r="A925" s="66"/>
    </row>
    <row r="926">
      <c r="A926" s="66"/>
    </row>
    <row r="927">
      <c r="A927" s="66"/>
    </row>
    <row r="928">
      <c r="A928" s="66"/>
    </row>
    <row r="929">
      <c r="A929" s="66"/>
    </row>
    <row r="930">
      <c r="A930" s="66"/>
    </row>
    <row r="931">
      <c r="A931" s="66"/>
    </row>
    <row r="932">
      <c r="A932" s="66"/>
    </row>
    <row r="933">
      <c r="A933" s="66"/>
    </row>
    <row r="934">
      <c r="A934" s="66"/>
    </row>
    <row r="935">
      <c r="A935" s="66"/>
    </row>
    <row r="936">
      <c r="A936" s="66"/>
    </row>
    <row r="937">
      <c r="A937" s="66"/>
    </row>
    <row r="938">
      <c r="A938" s="66"/>
    </row>
    <row r="939">
      <c r="A939" s="66"/>
    </row>
    <row r="940">
      <c r="A940" s="66"/>
    </row>
    <row r="941">
      <c r="A941" s="66"/>
    </row>
    <row r="942">
      <c r="A942" s="66"/>
    </row>
    <row r="943">
      <c r="A943" s="66"/>
    </row>
    <row r="944">
      <c r="A944" s="66"/>
    </row>
    <row r="945">
      <c r="A945" s="66"/>
    </row>
    <row r="946">
      <c r="A946" s="66"/>
    </row>
    <row r="947">
      <c r="A947" s="66"/>
    </row>
    <row r="948">
      <c r="A948" s="66"/>
    </row>
    <row r="949">
      <c r="A949" s="66"/>
    </row>
    <row r="950">
      <c r="A950" s="66"/>
    </row>
    <row r="951">
      <c r="A951" s="66"/>
    </row>
    <row r="952">
      <c r="A952" s="66"/>
    </row>
    <row r="953">
      <c r="A953" s="66"/>
    </row>
    <row r="954">
      <c r="A954" s="66"/>
    </row>
    <row r="955">
      <c r="A955" s="66"/>
    </row>
    <row r="956">
      <c r="A956" s="66"/>
    </row>
    <row r="957">
      <c r="A957" s="66"/>
    </row>
    <row r="958">
      <c r="A958" s="66"/>
    </row>
    <row r="959">
      <c r="A959" s="66"/>
    </row>
    <row r="960">
      <c r="A960" s="66"/>
    </row>
    <row r="961">
      <c r="A961" s="66"/>
    </row>
    <row r="962">
      <c r="A962" s="66"/>
    </row>
    <row r="963">
      <c r="A963" s="66"/>
    </row>
    <row r="964">
      <c r="A964" s="66"/>
    </row>
    <row r="965">
      <c r="A965" s="66"/>
    </row>
    <row r="966">
      <c r="A966" s="66"/>
    </row>
    <row r="967">
      <c r="A967" s="66"/>
    </row>
    <row r="968">
      <c r="A968" s="66"/>
    </row>
    <row r="969">
      <c r="A969" s="66"/>
    </row>
    <row r="970">
      <c r="A970" s="66"/>
    </row>
    <row r="971">
      <c r="A971" s="66"/>
    </row>
    <row r="972">
      <c r="A972" s="66"/>
    </row>
    <row r="973">
      <c r="A973" s="66"/>
    </row>
    <row r="974">
      <c r="A974" s="66"/>
    </row>
    <row r="975">
      <c r="A975" s="66"/>
    </row>
    <row r="976">
      <c r="A976" s="66"/>
    </row>
    <row r="977">
      <c r="A977" s="66"/>
    </row>
    <row r="978">
      <c r="A978" s="66"/>
    </row>
    <row r="979">
      <c r="A979" s="66"/>
    </row>
    <row r="980">
      <c r="A980" s="66"/>
    </row>
    <row r="981">
      <c r="A981" s="66"/>
    </row>
    <row r="982">
      <c r="A982" s="66"/>
    </row>
    <row r="983">
      <c r="A983" s="66"/>
    </row>
    <row r="984">
      <c r="A984" s="66"/>
    </row>
    <row r="985">
      <c r="A985" s="66"/>
    </row>
    <row r="986">
      <c r="A986" s="66"/>
    </row>
    <row r="987">
      <c r="A987" s="66"/>
    </row>
    <row r="988">
      <c r="A988" s="66"/>
    </row>
    <row r="989">
      <c r="A989" s="66"/>
    </row>
    <row r="990">
      <c r="A990" s="66"/>
    </row>
    <row r="991">
      <c r="A991" s="66"/>
    </row>
    <row r="992">
      <c r="A992" s="66"/>
    </row>
    <row r="993">
      <c r="A993" s="66"/>
    </row>
    <row r="994">
      <c r="A994" s="66"/>
    </row>
    <row r="995">
      <c r="A995" s="66"/>
    </row>
    <row r="996">
      <c r="A996" s="66"/>
    </row>
    <row r="997">
      <c r="A997" s="66"/>
    </row>
    <row r="998">
      <c r="A998" s="66"/>
    </row>
    <row r="999">
      <c r="A999" s="66"/>
    </row>
    <row r="1000">
      <c r="A1000" s="66"/>
    </row>
  </sheetData>
  <conditionalFormatting sqref="A23:B29">
    <cfRule type="notContainsBlanks" dxfId="0" priority="1">
      <formula>LEN(TRIM(A23))&gt;0</formula>
    </cfRule>
  </conditionalFormatting>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38"/>
    <col customWidth="1" min="2" max="2" width="23.0"/>
    <col customWidth="1" min="3" max="26" width="14.38"/>
  </cols>
  <sheetData>
    <row r="1" ht="15.75" customHeight="1">
      <c r="A1" s="69" t="s">
        <v>407</v>
      </c>
    </row>
    <row r="2" ht="15.75" customHeight="1">
      <c r="A2" s="70">
        <v>0.0</v>
      </c>
      <c r="B2" s="70" t="s">
        <v>408</v>
      </c>
      <c r="G2" s="70" t="s">
        <v>215</v>
      </c>
    </row>
    <row r="3" ht="15.75" customHeight="1">
      <c r="A3" s="70">
        <v>1.0</v>
      </c>
      <c r="B3" s="70" t="s">
        <v>409</v>
      </c>
    </row>
    <row r="4" ht="15.75" customHeight="1">
      <c r="A4" s="71" t="s">
        <v>112</v>
      </c>
      <c r="B4" s="70" t="s">
        <v>410</v>
      </c>
    </row>
    <row r="5" ht="15.75" customHeight="1"/>
    <row r="6" ht="15.75" customHeight="1"/>
    <row r="7" ht="15.75" customHeight="1"/>
    <row r="8" ht="15.75" customHeight="1"/>
    <row r="9" ht="15.75" customHeight="1">
      <c r="A9" s="69" t="s">
        <v>411</v>
      </c>
    </row>
    <row r="10" ht="15.75" customHeight="1">
      <c r="A10" s="70" t="s">
        <v>412</v>
      </c>
      <c r="B10" s="70" t="s">
        <v>413</v>
      </c>
    </row>
    <row r="11" ht="15.75" customHeight="1">
      <c r="A11" s="70" t="s">
        <v>414</v>
      </c>
      <c r="B11" s="70" t="s">
        <v>415</v>
      </c>
    </row>
    <row r="12" ht="15.75" customHeight="1">
      <c r="A12" s="70" t="s">
        <v>416</v>
      </c>
      <c r="B12" s="70" t="s">
        <v>417</v>
      </c>
    </row>
    <row r="13" ht="15.75" customHeight="1">
      <c r="A13" s="70" t="s">
        <v>418</v>
      </c>
      <c r="B13" s="70" t="s">
        <v>419</v>
      </c>
    </row>
    <row r="14" ht="15.75" customHeight="1">
      <c r="A14" s="72" t="s">
        <v>420</v>
      </c>
      <c r="B14" s="70" t="s">
        <v>421</v>
      </c>
    </row>
    <row r="15" ht="15.75" customHeight="1"/>
    <row r="16" ht="15.75" customHeight="1">
      <c r="A16" s="70" t="s">
        <v>422</v>
      </c>
      <c r="B16" s="70" t="s">
        <v>207</v>
      </c>
      <c r="C16" s="70" t="s">
        <v>423</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2020-05-30T16:18:04Z</dcterms:created>
  <dc:creator>Mario Zuñiga Lossio</dc:creator>
</cp:coreProperties>
</file>